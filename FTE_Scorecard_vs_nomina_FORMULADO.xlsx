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dss-ib-dfs-228\SSC Valladolid\9.- Continuous Improvement\3.- BSC\Reparto FTEs\"/>
    </mc:Choice>
  </mc:AlternateContent>
  <xr:revisionPtr revIDLastSave="0" documentId="13_ncr:1_{EF6EC953-F3C5-4CD6-B306-98248A7B5AA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S Reconciliation" sheetId="64" r:id="rId1"/>
    <sheet name="IP Reconciliation" sheetId="97" r:id="rId2"/>
    <sheet name="FTE Scorecard" sheetId="60" r:id="rId3"/>
    <sheet name="Payroll" sheetId="63" r:id="rId4"/>
    <sheet name="DIV table" sheetId="14" state="hidden" r:id="rId5"/>
    <sheet name="Mapping" sheetId="99" r:id="rId6"/>
    <sheet name="Instrucciones" sheetId="98" r:id="rId7"/>
  </sheets>
  <definedNames>
    <definedName name="_xlnm._FilterDatabase" localSheetId="3" hidden="1">Payroll!$A$1:$K$5000</definedName>
    <definedName name="aaa">#REF!</definedName>
    <definedName name="ACTIONLOG">{1,2,3,4,5,6,7;"M","T","W","T","F","S","S"}</definedName>
    <definedName name="Assumptions">#REF!</definedName>
    <definedName name="BLPG_ex_works_4020_€_Non_Oil_mtrls_plus">#REF!</definedName>
    <definedName name="BLPG_ex_works_4020_€_Pricelist_plus">#REF!</definedName>
    <definedName name="Bob">#REF!</definedName>
    <definedName name="ColorStatusIndicators">#REF!</definedName>
    <definedName name="Countries">#REF!</definedName>
    <definedName name="_xlnm.Criteria">#REF!</definedName>
    <definedName name="CurrentQuarter">#REF!</definedName>
    <definedName name="cvp">#REF!</definedName>
    <definedName name="DatosExternos_1" localSheetId="2" hidden="1">'FTE Scorecard'!$A$1:$F$26</definedName>
    <definedName name="Day_lookup">{1,2,3,4,5,6,7;"M","T","W","T","F","S","S"}</definedName>
    <definedName name="DiscountRate">#REF!</definedName>
    <definedName name="EV__LASTREFTIME__" hidden="1">40877.5646064815</definedName>
    <definedName name="ex">#REF!</definedName>
    <definedName name="FX">#REF!</definedName>
    <definedName name="G">#REF!</definedName>
    <definedName name="grades">#REF!</definedName>
    <definedName name="GRCs">#REF!</definedName>
    <definedName name="Manuf_Antwerp">#REF!</definedName>
    <definedName name="Manuf_Hyde">#REF!</definedName>
    <definedName name="Manuf_Stanlow">#REF!</definedName>
    <definedName name="NumberStatus">#REF!</definedName>
    <definedName name="NumberStatusIndicators">#REF!</definedName>
    <definedName name="P">#REF!</definedName>
    <definedName name="pivot">#REF!</definedName>
    <definedName name="Plan16nocapex">#REF!</definedName>
    <definedName name="PRINTS">#REF!</definedName>
    <definedName name="RM">#REF!</definedName>
    <definedName name="SC_Summary">#REF!</definedName>
    <definedName name="SChain_BE">#REF!</definedName>
    <definedName name="SChain_DK">#REF!</definedName>
    <definedName name="SChain_IR">#REF!</definedName>
    <definedName name="SChain_NOR">#REF!</definedName>
    <definedName name="SChain_SWE">#REF!</definedName>
    <definedName name="SChain_UK">#REF!</definedName>
    <definedName name="SEVERITY">#REF!</definedName>
    <definedName name="stage">#REF!</definedName>
    <definedName name="Start_Date">#REF!</definedName>
    <definedName name="StatusIndicators">#REF!</definedName>
    <definedName name="StatusNumber">#REF!</definedName>
    <definedName name="Tax_GRE">#REF!</definedName>
    <definedName name="Tax_RoE">#REF!</definedName>
    <definedName name="TemporaryPermanent">#REF!</definedName>
    <definedName name="ThreeStatusNumber">#REF!</definedName>
    <definedName name="Todays_Date">#REF!</definedName>
    <definedName name="WHNoMonths">#REF!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binar1_7bf2a03e-9cd2-4551-84a9-11a553f37cbd" name="Combinar1" connection="Consulta - Combinar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Escobar</author>
  </authors>
  <commentList>
    <comment ref="E5" authorId="0" shapeId="0" xr:uid="{4E2061AD-FD46-441C-BC03-7EB16D43836B}">
      <text>
        <r>
          <rPr>
            <b/>
            <sz val="9"/>
            <color indexed="81"/>
            <rFont val="Tahoma"/>
            <family val="2"/>
          </rPr>
          <t>Angela Escobar:</t>
        </r>
        <r>
          <rPr>
            <sz val="9"/>
            <color indexed="81"/>
            <rFont val="Tahoma"/>
            <family val="2"/>
          </rPr>
          <t xml:space="preserve">
Apoyo IP Marruecos</t>
        </r>
      </text>
    </comment>
    <comment ref="E6" authorId="0" shapeId="0" xr:uid="{44A3FEC2-61C4-4822-A534-57AAC55ED424}">
      <text>
        <r>
          <rPr>
            <b/>
            <sz val="9"/>
            <color indexed="81"/>
            <rFont val="Tahoma"/>
            <family val="2"/>
          </rPr>
          <t>Angela Escobar:</t>
        </r>
        <r>
          <rPr>
            <sz val="9"/>
            <color indexed="81"/>
            <rFont val="Tahoma"/>
            <family val="2"/>
          </rPr>
          <t xml:space="preserve">
Kunheim</t>
        </r>
      </text>
    </comment>
    <comment ref="E11" authorId="0" shapeId="0" xr:uid="{51528B28-011B-440D-AF02-45F16C4E919D}">
      <text>
        <r>
          <rPr>
            <b/>
            <sz val="9"/>
            <color indexed="81"/>
            <rFont val="Tahoma"/>
            <family val="2"/>
          </rPr>
          <t>Angela Escobar:
Expensys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944616-4EA0-4990-9332-8C20D1AE909E}" keepAlive="1" name="Consulta - (Data_Paper IB)(1)" description="Conexión a la consulta '(Data_Paper IB)' en el libro." type="5" refreshedVersion="8" background="1" saveData="1">
    <dbPr connection="Provider=Microsoft.Mashup.OleDb.1;Data Source=$Workbook$;Location=&quot;(Data_Paper IB)&quot;;Extended Properties=&quot;&quot;" command="SELECT * FROM [(Data_Paper IB)]"/>
  </connection>
  <connection id="2" xr16:uid="{E809595F-8FED-4EAB-90B8-1CD1C44C2FB1}" keepAlive="1" name="Consulta - Anexar1" description="Conexión a la consulta 'Anexar1' en el libro." type="5" refreshedVersion="8" saveData="1">
    <dbPr connection="Provider=Microsoft.Mashup.OleDb.1;Data Source=$Workbook$;Location=Anexar1;Extended Properties=&quot;&quot;" command="SELECT * FROM [Anexar1]"/>
  </connection>
  <connection id="3" xr16:uid="{6B2E290B-C98E-439E-96D4-2D87AFD6D019}" name="Consulta - Combinar1" description="Conexión a la consulta 'Combinar1' en el libro." type="100" refreshedVersion="8" minRefreshableVersion="5">
    <extLst>
      <ext xmlns:x15="http://schemas.microsoft.com/office/spreadsheetml/2010/11/main" uri="{DE250136-89BD-433C-8126-D09CA5730AF9}">
        <x15:connection id="1e6b7800-b1c7-48e5-8eb9-8d0fbfe8bda2"/>
      </ext>
    </extLst>
  </connection>
  <connection id="4" xr16:uid="{9EB81E46-80E4-448B-9B53-6F7321959CD0}" keepAlive="1" name="Consulta - Combinar1 (2)" description="Conexión a la consulta 'Combinar1 (2)' en el libro." type="5" refreshedVersion="8" background="1" saveData="1">
    <dbPr connection="Provider=Microsoft.Mashup.OleDb.1;Data Source=$Workbook$;Location=&quot;Combinar1 (2)&quot;;Extended Properties=&quot;&quot;" command="SELECT * FROM [Combinar1 (2)]"/>
  </connection>
  <connection id="5" xr16:uid="{A4221373-404F-43D6-BB8A-6B99430A4FB8}" keepAlive="1" name="Consulta - Data_ Recycling" description="Conexión a la consulta 'Data_ Recycling' en el libro." type="5" refreshedVersion="0" saveData="1">
    <dbPr connection="Provider=Microsoft.Mashup.OleDb.1;Data Source=$Workbook$;Location=&quot;Data_ Recycling&quot;;Extended Properties=&quot;&quot;" command="SELECT * FROM [Data_ Recycling]"/>
  </connection>
  <connection id="6" xr16:uid="{DA33D28B-DD70-40E4-B17F-AA4B2A6E9F0F}" keepAlive="1" name="Consulta - Data_BE_Pack" description="Conexión a la consulta 'Data_BE_Pack' en el libro." type="5" refreshedVersion="0" saveData="1">
    <dbPr connection="Provider=Microsoft.Mashup.OleDb.1;Data Source=$Workbook$;Location=Data_BE_Pack;Extended Properties=&quot;&quot;" command="SELECT * FROM [Data_BE_Pack]"/>
  </connection>
  <connection id="7" xr16:uid="{4E447161-8D3F-4549-9D5B-94A8DAE77D1B}" keepAlive="1" name="Consulta - Data_DE_Pack" description="Conexión a la consulta 'Data_DE_Pack' en el libro." type="5" refreshedVersion="8" saveData="1">
    <dbPr connection="Provider=Microsoft.Mashup.OleDb.1;Data Source=$Workbook$;Location=Data_DE_Pack;Extended Properties=&quot;&quot;" command="SELECT * FROM [Data_DE_Pack]"/>
  </connection>
  <connection id="8" xr16:uid="{60E81464-8393-43C5-923E-D626F38F417C}" keepAlive="1" name="Consulta - Data_FR_Navision" description="Conexión a la consulta 'Data_FR_Navision' en el libro." type="5" refreshedVersion="0" saveData="1">
    <dbPr connection="Provider=Microsoft.Mashup.OleDb.1;Data Source=$Workbook$;Location=Data_FR_Navision;Extended Properties=&quot;&quot;" command="SELECT * FROM [Data_FR_Navision]"/>
  </connection>
  <connection id="9" xr16:uid="{8F35EBB2-14ED-4B22-BB9B-428F08FFC41F}" keepAlive="1" name="Consulta - Data_FR_Qualiac" description="Conexión a la consulta 'Data_FR_Qualiac' en el libro." type="5" refreshedVersion="0" saveData="1">
    <dbPr connection="Provider=Microsoft.Mashup.OleDb.1;Data Source=$Workbook$;Location=Data_FR_Qualiac;Extended Properties=&quot;&quot;" command="SELECT * FROM [Data_FR_Qualiac]"/>
  </connection>
  <connection id="10" xr16:uid="{ABD59332-BFF6-4083-9984-32FF8C26D2E1}" keepAlive="1" name="Consulta - Data_IT_Paper" description="Conexión a la consulta 'Data_IT_Paper' en el libro." type="5" refreshedVersion="0" saveData="1">
    <dbPr connection="Provider=Microsoft.Mashup.OleDb.1;Data Source=$Workbook$;Location=Data_IT_Paper;Extended Properties=&quot;&quot;" command="SELECT * FROM [Data_IT_Paper]"/>
  </connection>
  <connection id="11" xr16:uid="{1B71AE41-7D41-45DB-AE1B-2369DDF597F2}" keepAlive="1" name="Consulta - Data_NL_Pack" description="Conexión a la consulta 'Data_NL_Pack' en el libro." type="5" refreshedVersion="0" saveData="1">
    <dbPr connection="Provider=Microsoft.Mashup.OleDb.1;Data Source=$Workbook$;Location=Data_NL_Pack;Extended Properties=&quot;&quot;" command="SELECT * FROM [Data_NL_Pack]"/>
  </connection>
  <connection id="12" xr16:uid="{CB8D5EC7-A8A1-4063-9CEE-24635DB4A6BC}" keepAlive="1" name="Consulta - Data_NL_Paper_Sourc" description="Conexión a la consulta 'Data_NL_Paper_Sourc' en el libro." type="5" refreshedVersion="0" saveData="1">
    <dbPr connection="Provider=Microsoft.Mashup.OleDb.1;Data Source=$Workbook$;Location=Data_NL_Paper_Sourc;Extended Properties=&quot;&quot;" command="SELECT * FROM [Data_NL_Paper_Sourc]"/>
  </connection>
  <connection id="13" xr16:uid="{0A977A49-AFEE-4CA1-8796-C5D03C45A6D2}" keepAlive="1" name="Consulta - Data_NL_PMS" description="Conexión a la consulta 'Data_NL_PMS' en el libro." type="5" refreshedVersion="0" saveData="1">
    <dbPr connection="Provider=Microsoft.Mashup.OleDb.1;Data Source=$Workbook$;Location=Data_NL_PMS;Extended Properties=&quot;&quot;" command="SELECT * FROM [Data_NL_PMS]"/>
  </connection>
  <connection id="14" xr16:uid="{590F19E4-D39A-4915-9593-C262917DB6C3}" keepAlive="1" name="Consulta - Data_Others" description="Conexión a la consulta 'Data_Others' en el libro." type="5" refreshedVersion="0" saveData="1">
    <dbPr connection="Provider=Microsoft.Mashup.OleDb.1;Data Source=$Workbook$;Location=Data_Others;Extended Properties=&quot;&quot;" command="SELECT * FROM [Data_Others]"/>
  </connection>
  <connection id="15" xr16:uid="{81610AD5-03EE-44CA-B892-E02352672416}" keepAlive="1" name="Consulta - Data_Pack France" description="Conexión a la consulta 'Data_Pack France' en el libro." type="5" refreshedVersion="0" saveData="1">
    <dbPr connection="Provider=Microsoft.Mashup.OleDb.1;Data Source=$Workbook$;Location=&quot;Data_Pack France&quot;;Extended Properties=&quot;&quot;" command="SELECT * FROM [Data_Pack France]"/>
  </connection>
  <connection id="16" xr16:uid="{E17BFF94-D132-479E-BAF5-9DDA64535A45}" keepAlive="1" name="Consulta - Data_Pack Gopaca" description="Conexión a la consulta 'Data_Pack Gopaca' en el libro." type="5" refreshedVersion="0" saveData="1">
    <dbPr connection="Provider=Microsoft.Mashup.OleDb.1;Data Source=$Workbook$;Location=&quot;Data_Pack Gopaca&quot;;Extended Properties=&quot;&quot;" command="SELECT * FROM [Data_Pack Gopaca]"/>
  </connection>
  <connection id="17" xr16:uid="{98E7491A-CC96-4892-98E6-47DAAE258676}" keepAlive="1" name="Consulta - Data_Pack Iberia EPAC" description="Conexión a la consulta 'Data_Pack Iberia EPAC' en el libro." type="5" refreshedVersion="0" saveData="1">
    <dbPr connection="Provider=Microsoft.Mashup.OleDb.1;Data Source=$Workbook$;Location=&quot;Data_Pack Iberia EPAC&quot;;Extended Properties=&quot;&quot;" command="SELECT * FROM [Data_Pack Iberia EPAC]"/>
  </connection>
  <connection id="18" xr16:uid="{153C2629-2361-4BAF-903C-876A8D8E2810}" keepAlive="1" name="Consulta - Data_Pack SFR" description="Conexión a la consulta 'Data_Pack SFR' en el libro." type="5" refreshedVersion="0" saveData="1">
    <dbPr connection="Provider=Microsoft.Mashup.OleDb.1;Data Source=$Workbook$;Location=&quot;Data_Pack SFR&quot;;Extended Properties=&quot;&quot;" command="SELECT * FROM [Data_Pack SFR]"/>
  </connection>
  <connection id="19" xr16:uid="{391E8301-2237-45DE-AE0B-6D60E98E959E}" keepAlive="1" name="Consulta - Data_Paper" description="Conexión a la consulta 'Data_Paper' en el libro." type="5" refreshedVersion="0" saveData="1">
    <dbPr connection="Provider=Microsoft.Mashup.OleDb.1;Data Source=$Workbook$;Location=Data_Paper;Extended Properties=&quot;&quot;" command="SELECT * FROM [Data_Paper]"/>
  </connection>
  <connection id="20" xr16:uid="{B3AC2F33-0FBC-4A2E-87D9-25C8CA69168B}" keepAlive="1" name="Consulta - Data_Paper FR" description="Conexión a la consulta 'Data_Paper FR' en el libro." type="5" refreshedVersion="8" background="1" saveData="1">
    <dbPr connection="Provider=Microsoft.Mashup.OleDb.1;Data Source=$Workbook$;Location=&quot;Data_Paper FR&quot;;Extended Properties=&quot;&quot;" command="SELECT * FROM [Data_Paper FR]"/>
  </connection>
  <connection id="21" xr16:uid="{A84EA41B-5C59-4D2B-B179-C5D89F781BBE}" keepAlive="1" name="Consulta - Data_UK_Pack" description="Conexión a la consulta 'Data_UK_Pack' en el libro." type="5" refreshedVersion="0" saveData="1">
    <dbPr connection="Provider=Microsoft.Mashup.OleDb.1;Data Source=$Workbook$;Location=Data_UK_Pack;Extended Properties=&quot;&quot;" command="SELECT * FROM [Data_UK_Pack]"/>
  </connection>
  <connection id="22" xr16:uid="{BCF61C15-15FC-49BE-87E8-74E7BC696BB7}" keepAlive="1" name="Consulta - Data_UK_Paper" description="Conexión a la consulta 'Data_UK_Paper' en el libro." type="5" refreshedVersion="0" saveData="1">
    <dbPr connection="Provider=Microsoft.Mashup.OleDb.1;Data Source=$Workbook$;Location=Data_UK_Paper;Extended Properties=&quot;&quot;" command="SELECT * FROM [Data_UK_Paper]"/>
  </connection>
  <connection id="23" xr16:uid="{F334156E-BD4D-4C91-90C6-01CF851ED557}" keepAlive="1" name="Consulta - Data_UK_PLC" description="Conexión a la consulta 'Data_UK_PLC' en el libro." type="5" refreshedVersion="0" saveData="1">
    <dbPr connection="Provider=Microsoft.Mashup.OleDb.1;Data Source=$Workbook$;Location=Data_UK_PLC;Extended Properties=&quot;&quot;" command="SELECT * FROM [Data_UK_PLC]"/>
  </connection>
  <connection id="24" xr16:uid="{0FD491D2-6117-4B73-8066-DF24E3792DE4}" keepAlive="1" name="Consulta - Data_UK_Recycling" description="Conexión a la consulta 'Data_UK_Recycling' en el libro." type="5" refreshedVersion="0" saveData="1">
    <dbPr connection="Provider=Microsoft.Mashup.OleDb.1;Data Source=$Workbook$;Location=Data_UK_Recycling;Extended Properties=&quot;&quot;" command="SELECT * FROM [Data_UK_Recycling]"/>
  </connection>
  <connection id="25" xr16:uid="{0245ABC3-1025-4A87-BDF5-244681D6C9E1}" keepAlive="1" name="Consulta - Data_UK_TMS" description="Conexión a la consulta 'Data_UK_TMS' en el libro." type="5" refreshedVersion="0" saveData="1">
    <dbPr connection="Provider=Microsoft.Mashup.OleDb.1;Data Source=$Workbook$;Location=Data_UK_TMS;Extended Properties=&quot;&quot;" command="SELECT * FROM [Data_UK_TMS]"/>
  </connection>
  <connection id="26" xr16:uid="{01EC37D0-22BC-417F-9239-C80ED0717B6F}" keepAlive="1" name="Consulta - DIV" description="Conexión a la consulta 'DIV' en el libro." type="5" refreshedVersion="0" saveData="1">
    <dbPr connection="Provider=Microsoft.Mashup.OleDb.1;Data Source=$Workbook$;Location=DIV;Extended Properties=&quot;&quot;" command="SELECT * FROM [DIV]"/>
  </connection>
  <connection id="27" xr16:uid="{EB5A31B1-9696-4AAE-A161-78FA3782A8B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<sst xmlns="http://schemas.openxmlformats.org/spreadsheetml/2006/main" count="1557" uniqueCount="396">
  <si>
    <t>DE</t>
  </si>
  <si>
    <t>FR</t>
  </si>
  <si>
    <t>IB</t>
  </si>
  <si>
    <t>IT</t>
  </si>
  <si>
    <t>BE</t>
  </si>
  <si>
    <t>PMS</t>
  </si>
  <si>
    <t>TMS</t>
  </si>
  <si>
    <t>UK</t>
  </si>
  <si>
    <t>PS</t>
  </si>
  <si>
    <t>-</t>
  </si>
  <si>
    <t>Label</t>
  </si>
  <si>
    <t>Definitions</t>
  </si>
  <si>
    <t>Total AP FTEs (all, incl. payments, team leaders, manager)</t>
  </si>
  <si>
    <t>Recycling</t>
  </si>
  <si>
    <t>Others</t>
  </si>
  <si>
    <t>Pack_France</t>
  </si>
  <si>
    <t>Pack_Gopaca</t>
  </si>
  <si>
    <t>Pack_Iberia_EPAC</t>
  </si>
  <si>
    <t>Pack_SFR</t>
  </si>
  <si>
    <t>Paper</t>
  </si>
  <si>
    <t>DE_Pack</t>
  </si>
  <si>
    <t>FR_Navision</t>
  </si>
  <si>
    <t>IT_Paper</t>
  </si>
  <si>
    <t>BE_Pack</t>
  </si>
  <si>
    <t>NL_Pack</t>
  </si>
  <si>
    <t>NL_PMS</t>
  </si>
  <si>
    <t>UK_TMS</t>
  </si>
  <si>
    <t>NL_Paper</t>
  </si>
  <si>
    <t>UK_Pack</t>
  </si>
  <si>
    <t>UK_Paper</t>
  </si>
  <si>
    <t>UK_PLC</t>
  </si>
  <si>
    <t>Paper Iberia</t>
  </si>
  <si>
    <t>Paper FR</t>
  </si>
  <si>
    <t>UK_Recycling</t>
  </si>
  <si>
    <t>FR_Qualiac</t>
  </si>
  <si>
    <t>Div</t>
  </si>
  <si>
    <t>Subdivisión</t>
  </si>
  <si>
    <t>Fecha</t>
  </si>
  <si>
    <t>FTE</t>
  </si>
  <si>
    <t>Total AR FTEs (all, incl. team leaders and manager)</t>
  </si>
  <si>
    <t>Calendar year</t>
  </si>
  <si>
    <t>Equipo</t>
  </si>
  <si>
    <t>ES1101</t>
  </si>
  <si>
    <t>BRUNO TIAGO FERRO MARTINS</t>
  </si>
  <si>
    <t>DM</t>
  </si>
  <si>
    <t>DSS</t>
  </si>
  <si>
    <t>Iberia</t>
  </si>
  <si>
    <t>ALFONSO BARRIOS RABAZAS</t>
  </si>
  <si>
    <t>OoS</t>
  </si>
  <si>
    <t>Out Scope</t>
  </si>
  <si>
    <t>Graduate</t>
  </si>
  <si>
    <t>MONGIL GONZALEZ, MARIA</t>
  </si>
  <si>
    <t>HR</t>
  </si>
  <si>
    <t>RIU ALVAREZ, CRISTINA</t>
  </si>
  <si>
    <t>PAVON BERNARDO, CARLA</t>
  </si>
  <si>
    <t>IP</t>
  </si>
  <si>
    <t>ARES GARCIA, ALEJANDRA</t>
  </si>
  <si>
    <t>Q2C</t>
  </si>
  <si>
    <t>10000570</t>
  </si>
  <si>
    <t>Banking</t>
  </si>
  <si>
    <t xml:space="preserve">INGELMO GOMEZ MARCOS </t>
  </si>
  <si>
    <t>ZOILO  GIL PEREZ</t>
  </si>
  <si>
    <t>MARÍA DEL CARMEN  CONDE SAN JOSÉ</t>
  </si>
  <si>
    <t>MARIA EVA ALVARO REDONDO</t>
  </si>
  <si>
    <t>MARCIA PRADO ARGIBAY</t>
  </si>
  <si>
    <t>MARÍA   MOREDA RETORTILLO</t>
  </si>
  <si>
    <t>ALINE   SANTIAGO GARCIA</t>
  </si>
  <si>
    <t>DIEGO REVUELTA CABALLERO</t>
  </si>
  <si>
    <t>NACHER MARTIN, SALOME</t>
  </si>
  <si>
    <t>DOMINGO LOZANO, ENRIQUE</t>
  </si>
  <si>
    <t>RODRIGUEZ VAZQUEZ, TERESA</t>
  </si>
  <si>
    <t>SERGIO ESCUDERO VERDUGO</t>
  </si>
  <si>
    <t>COSTILLA BLANCO, JULIO</t>
  </si>
  <si>
    <t>ALCALDE GEERDES, NOËMI</t>
  </si>
  <si>
    <t>APOSTOL APOSTOL, GABRIELA</t>
  </si>
  <si>
    <t>VULCANO SORIANO, ROCIO</t>
  </si>
  <si>
    <t>CAMINO FOMBELLIDA, IRENE</t>
  </si>
  <si>
    <t>MACI, MICHELE</t>
  </si>
  <si>
    <t>GARCIA-ROJO MARTORELL, CRISTINA</t>
  </si>
  <si>
    <t>BERRUGUETE GONZALO, MARIA DE LAS NIEVES</t>
  </si>
  <si>
    <t>TEJERO GARCIA, DAVID</t>
  </si>
  <si>
    <t>SANZ SANCHEZ, JULIA</t>
  </si>
  <si>
    <t>MELERO HURTADO, JUAN</t>
  </si>
  <si>
    <t>CAMARERO CARRION, CRISTINA</t>
  </si>
  <si>
    <t>R2R</t>
  </si>
  <si>
    <t>Kunheim</t>
  </si>
  <si>
    <t>DIEZ GONZALEZ, BELEN</t>
  </si>
  <si>
    <t>MERINO LOPEZ, VICTOR</t>
  </si>
  <si>
    <t>VARELA RICO, CRISTINA</t>
  </si>
  <si>
    <t>TORRES BARRIENTOS, OLGA PATRICIA</t>
  </si>
  <si>
    <t>FRANCISCO JOSE MANZANILLA MULLOR</t>
  </si>
  <si>
    <t>ANA MARÍA NUÑEZ MAGRO</t>
  </si>
  <si>
    <t>PABLO LUIS MARTIN ARRIBAS</t>
  </si>
  <si>
    <t>DANIEL  MENDEZ SILVA</t>
  </si>
  <si>
    <t>RUT ALVAREZ DOMINGUEZ</t>
  </si>
  <si>
    <t>NESTOR NIETO RAPOSO</t>
  </si>
  <si>
    <t>MARIA MARTINEZ  SIMÓN</t>
  </si>
  <si>
    <t>EVA MARTIN SANGINÉS</t>
  </si>
  <si>
    <t>MARÍA DEL PILAR BLANCO ESCALONA</t>
  </si>
  <si>
    <t>DE LA FUENTE PEÑA, SILVIA</t>
  </si>
  <si>
    <t>SAROBE EZPONDA, BEATRIZ MARTA</t>
  </si>
  <si>
    <t>MONTES LOPEZ, JORGE</t>
  </si>
  <si>
    <t>HERNANDEZ MARTIN, MIGUEL</t>
  </si>
  <si>
    <t>ARCE IBAÑEZ, MARIO</t>
  </si>
  <si>
    <t>LEZCANO MAMBRILLA, JIMENA</t>
  </si>
  <si>
    <t>MARTIN ALONSO, MARCOS</t>
  </si>
  <si>
    <t>ARMBRUSTER UMPIERREZ, RICARDO</t>
  </si>
  <si>
    <t>ANGOSO GUTIERREZ, MANUEL</t>
  </si>
  <si>
    <t>CALLEJA GUERRA, JULIO JOSE</t>
  </si>
  <si>
    <t>ADRIAN LOPEZ ARIAS</t>
  </si>
  <si>
    <t>PEREZ MUCIENTES, JAVIER</t>
  </si>
  <si>
    <t>ARROYO MATESANZ, ALEJANDRO</t>
  </si>
  <si>
    <t>ESCORIHUELA EIZAGA, ISMENIA INDIRA</t>
  </si>
  <si>
    <t>GARCIA HERNANDEZ, CARLA</t>
  </si>
  <si>
    <t>CEINOS ORTEGA, RUTH</t>
  </si>
  <si>
    <t>RIESCO TORRES, JAIME</t>
  </si>
  <si>
    <t>MAZON HERNANDEZ, NOELIA</t>
  </si>
  <si>
    <t>Yolanda Lazaro Esteban</t>
  </si>
  <si>
    <t>P2P</t>
  </si>
  <si>
    <t>BLANCO TIJERO, RITA</t>
  </si>
  <si>
    <t>ALFONSO DEL VALLE, ALICIA</t>
  </si>
  <si>
    <t>SULLIVAN, EVE KATHLEEN</t>
  </si>
  <si>
    <t>General</t>
  </si>
  <si>
    <t>ESCAÑO CASTAÑO, LAURA</t>
  </si>
  <si>
    <t>ANGELA ESCOBAR BARBOSA</t>
  </si>
  <si>
    <t>Mejora</t>
  </si>
  <si>
    <t>RAÚL  VIÑAS ZAMORA</t>
  </si>
  <si>
    <t>ALBA FERNÁNDEZ LÓPEZ</t>
  </si>
  <si>
    <t>NL</t>
  </si>
  <si>
    <t>ISABEL DAMASO</t>
  </si>
  <si>
    <t>IRIS LÓPEZ ALMARAZ</t>
  </si>
  <si>
    <t>JENNIFER CAROLINA JUANEDA PALACIOS</t>
  </si>
  <si>
    <t>HECTOR  CRESPO  SOUSA</t>
  </si>
  <si>
    <t>ALONSO SEVILLANO, ANGEL</t>
  </si>
  <si>
    <t>CRISTINA ORTEGA PICÓN</t>
  </si>
  <si>
    <t>DIANA  GARCIA  MORATE</t>
  </si>
  <si>
    <t>CASTELAO GOMEZ, ALVARO</t>
  </si>
  <si>
    <t>Idoya de la Puente Alvarez</t>
  </si>
  <si>
    <t>FLOREZ GEIJO, JESÚS ALBERTO</t>
  </si>
  <si>
    <t>RESCIGNO, LUCIANO PASCUAL</t>
  </si>
  <si>
    <t>PEREZ VARELA, CELIA</t>
  </si>
  <si>
    <t>SANZ ESTEBANEZ, SAMUEL</t>
  </si>
  <si>
    <t>EDUARDO ANGEL DAVIES CARVAJAL</t>
  </si>
  <si>
    <t>CAQUI BARRUETA, WALTER AARON</t>
  </si>
  <si>
    <t>MARTINEZ PALLIN, ALEJANDRO</t>
  </si>
  <si>
    <t>LOZANO DE CASTRO, RAUL</t>
  </si>
  <si>
    <t>HERNANDEZ DOMINGUEZ, PAULA</t>
  </si>
  <si>
    <t>ANGUITA SUAZ, ALVARO</t>
  </si>
  <si>
    <t>PEREZ CALDERON, JAVIER</t>
  </si>
  <si>
    <t>VIEIRA PALOMINO, MAYARA FERNANDA</t>
  </si>
  <si>
    <t>ESCUDERO PIÑEYROA, JORGE</t>
  </si>
  <si>
    <t>GARCIA SAN JOSE, JAVIER</t>
  </si>
  <si>
    <t>GAGO MIGUEL, PAULA</t>
  </si>
  <si>
    <t>POSADAS GAÑAN, PAULA</t>
  </si>
  <si>
    <t>REBOLLO GOMEZ, PAULA</t>
  </si>
  <si>
    <t>BARBADO DIEZ, CARMEN</t>
  </si>
  <si>
    <t>LAMARIANO URIZAR, YERAY</t>
  </si>
  <si>
    <t>BALTANAS PALOMAR, ANDREA</t>
  </si>
  <si>
    <t>ELENA CARRASCAL CANO</t>
  </si>
  <si>
    <t>WITKOWSKA WISNIEWSKA, ZUZANNA KAMILA</t>
  </si>
  <si>
    <t>BUJIDOS CHACON, NEREA</t>
  </si>
  <si>
    <t>PRIETO ROJO, MARIA NATALIA</t>
  </si>
  <si>
    <t>PATRICIA GALLEGO FERNANDEZ</t>
  </si>
  <si>
    <t>MARIYA MAGDALENA STEFANOVA DELCHEVA</t>
  </si>
  <si>
    <t>CITORES GARCÍA, ALBA</t>
  </si>
  <si>
    <t>IMAZ MATEOS, OLAYA</t>
  </si>
  <si>
    <t>LABRADOR SIMON, GONZALO</t>
  </si>
  <si>
    <t>PENA ANNUNZIATA, ANDREA VICTORIA</t>
  </si>
  <si>
    <t>PEÑA MORAN, RUBÉN</t>
  </si>
  <si>
    <t>FERNANDEZ PRIETO, PAULA</t>
  </si>
  <si>
    <t>FRANCISCO VELAZQUEZ BLANCO</t>
  </si>
  <si>
    <t>HERNANDEZ DE LA RED, MIGUEL</t>
  </si>
  <si>
    <t>KILA, JEFFREY</t>
  </si>
  <si>
    <t>BLANCO PEREZ, CARMEN</t>
  </si>
  <si>
    <t>GARCIA ORTEGA, CLARA</t>
  </si>
  <si>
    <t>FONTANEDA FERNANDEZ, EVA</t>
  </si>
  <si>
    <t>OVEJERO ALONSO, JAIME</t>
  </si>
  <si>
    <t>JELASSI, OUSSAMA</t>
  </si>
  <si>
    <t>iberia</t>
  </si>
  <si>
    <t>SANCHEZ NIETO, MIRIAM</t>
  </si>
  <si>
    <t>TRASCHIKOFF ARAUZO, BORIS RAUL</t>
  </si>
  <si>
    <t>DOMINGUEZ JUANES, LYDIA</t>
  </si>
  <si>
    <t>SANCHEZ GONZALEZ, ANDREA</t>
  </si>
  <si>
    <t>HERRUZO DE LA FUENTE, RAUL</t>
  </si>
  <si>
    <t>MONTEIRO WARREN FONSECA FRANCO, HANNAH B</t>
  </si>
  <si>
    <t>JIMENEZ HERRERAS, LARA</t>
  </si>
  <si>
    <t>PRIETO VALLES, FRUCTUS</t>
  </si>
  <si>
    <t xml:space="preserve">MUTLU SUHAT DOLAPCHIEV  </t>
  </si>
  <si>
    <t>EGAÑA LETE, LUCIA</t>
  </si>
  <si>
    <t>PICO SANCHEZ, GUILLERMO</t>
  </si>
  <si>
    <t>RUTH TEREFE GEBREYES</t>
  </si>
  <si>
    <t>SARA GARCIA MERINO</t>
  </si>
  <si>
    <t>FERNANDEZ PEREZ, DIEGO</t>
  </si>
  <si>
    <t>SADORNIL CUEVAS, JUAN</t>
  </si>
  <si>
    <t>EL KHALQI KARIM, REDOUAN</t>
  </si>
  <si>
    <t>RAMAJO RODRIGUEZ, ALVARO</t>
  </si>
  <si>
    <t>ROJAS SOLORZANO, FIORELLA MARIZA</t>
  </si>
  <si>
    <t>PAIS BLANCO, JOSE IGNACIO</t>
  </si>
  <si>
    <t>CID LOPEZ, GONZALO</t>
  </si>
  <si>
    <t>ALVAREZ IGLESIAS, GUILLERMO</t>
  </si>
  <si>
    <t>DOMINGUEZ RAMIREZ, ARIANA</t>
  </si>
  <si>
    <t>CALDERON AGUADO, LUIS JAVIER</t>
  </si>
  <si>
    <t>MARTIN ARROYO, SOFÍA</t>
  </si>
  <si>
    <t>CAMARGO ARES, MARINA</t>
  </si>
  <si>
    <t>LUNA MARIN, VICTOR NAHUEL</t>
  </si>
  <si>
    <t>CORRADETTI, SARA</t>
  </si>
  <si>
    <t>O2C</t>
  </si>
  <si>
    <t>GOMEZ MARTIN, OSCAR</t>
  </si>
  <si>
    <t>DURANTE ZURRO, ALVARO</t>
  </si>
  <si>
    <t>TORIBIO ENRIQUEZ, TOMAS</t>
  </si>
  <si>
    <t>PRINCIPE VILLAR, VALERY DAYANA</t>
  </si>
  <si>
    <t>DONOSO ALONSO, CELIA</t>
  </si>
  <si>
    <t>GORDILLO AGUZA, ELENA</t>
  </si>
  <si>
    <t>LLANOS AREÑOS, ENRIQUE</t>
  </si>
  <si>
    <t>AYLLON CALVO, ENRIQUE</t>
  </si>
  <si>
    <t>CRESPO MORAL, JESUS</t>
  </si>
  <si>
    <t>POZA DOMINGUEZ, LUIS JAVIER</t>
  </si>
  <si>
    <t>Scorecard País</t>
  </si>
  <si>
    <t>Scorecard Division</t>
  </si>
  <si>
    <t>Vacancy</t>
  </si>
  <si>
    <t>Sick leave</t>
  </si>
  <si>
    <t>Adjustment</t>
  </si>
  <si>
    <t>AP DE</t>
  </si>
  <si>
    <t>AP FR</t>
  </si>
  <si>
    <t>AP IB</t>
  </si>
  <si>
    <t>AP UK</t>
  </si>
  <si>
    <t>AP TMS</t>
  </si>
  <si>
    <t>AP PMS</t>
  </si>
  <si>
    <t>AP IT</t>
  </si>
  <si>
    <t>AP BE</t>
  </si>
  <si>
    <t>AP PS</t>
  </si>
  <si>
    <t>AP Help Desk</t>
  </si>
  <si>
    <t>AP General</t>
  </si>
  <si>
    <t>AR</t>
  </si>
  <si>
    <t>FTE Scorecard</t>
  </si>
  <si>
    <t>MD</t>
  </si>
  <si>
    <t xml:space="preserve">AP Clerk </t>
  </si>
  <si>
    <t>TL</t>
  </si>
  <si>
    <t>Mng.</t>
  </si>
  <si>
    <t>H. Desk</t>
  </si>
  <si>
    <t>Bank.</t>
  </si>
  <si>
    <t>Period:</t>
  </si>
  <si>
    <t>Year:</t>
  </si>
  <si>
    <t>SC date:</t>
  </si>
  <si>
    <t>Item</t>
  </si>
  <si>
    <t>Difference</t>
  </si>
  <si>
    <t>Status</t>
  </si>
  <si>
    <t>Comments</t>
  </si>
  <si>
    <t>Breakdown &gt;&gt;</t>
  </si>
  <si>
    <t>AP Manager</t>
  </si>
  <si>
    <t>Subtotal (processes above)</t>
  </si>
  <si>
    <t>Out of scope (OoS)</t>
  </si>
  <si>
    <t>TOTAL PAYROLL (DSS)</t>
  </si>
  <si>
    <t>Unexplained difference</t>
  </si>
  <si>
    <t>IP RECONCILIATION   ·   Payroll  vs  Scorecard</t>
  </si>
  <si>
    <t>Payroll FTE</t>
  </si>
  <si>
    <t>TOTAL PAYROLL (IP)</t>
  </si>
  <si>
    <t>INSTRUCCIONES  ·  Control mensual de FTE  (el libro está en inglés)</t>
  </si>
  <si>
    <t>Qué hace este fichero</t>
  </si>
  <si>
    <t>Compara, para el periodo elegido, los FTE que constan en la NÓMINA ('Payroll') con los FTE reportados en el SCORECARD, por proceso (P2P/AP, AR, R2R) y por país. La diferencia se calcula sola y se marca con un semáforo.</t>
  </si>
  <si>
    <t>Uso mensual  (2 pasos)</t>
  </si>
  <si>
    <t>2.  En 'FTE Reconciliation' escribe el periodo en la celda I1 (p. ej. AP07) y el año en K1.  Todo se recalcula solo.</t>
  </si>
  <si>
    <t>Hojas del libro</t>
  </si>
  <si>
    <t>Hoja</t>
  </si>
  <si>
    <t>Para qué sirve</t>
  </si>
  <si>
    <t>¿La tocas?</t>
  </si>
  <si>
    <t>FTE Reconciliation</t>
  </si>
  <si>
    <t>Cuadre del negocio DSS (BAU). Hoja de presentación.</t>
  </si>
  <si>
    <t>Solo I1 (periodo) y K1 (año), más las columnas amarillas C, D y E.</t>
  </si>
  <si>
    <t>IP Reconciliation</t>
  </si>
  <si>
    <t>Mismo cuadre para el negocio IP. Aún no hay Scorecard de IP: la columna F (FTE Scorecard) es entrada manual hasta que llegue.</t>
  </si>
  <si>
    <t>I1, K1 y las columnas amarillas C, D, E y F.</t>
  </si>
  <si>
    <t>Payroll</t>
  </si>
  <si>
    <t>Detalle por persona. La columna K clasifica sola cada persona.</t>
  </si>
  <si>
    <t>Pegar los datos del mes (columnas A a J).</t>
  </si>
  <si>
    <t>FTE reportados por país, mes y definición.</t>
  </si>
  <si>
    <t>Pegar / actualizar.</t>
  </si>
  <si>
    <t>Mapping</t>
  </si>
  <si>
    <t>Reglas que traducen cada persona a su fila de la hoja de cuadre.</t>
  </si>
  <si>
    <t>Solo al cambiar equipos o funciones.</t>
  </si>
  <si>
    <t>Summary</t>
  </si>
  <si>
    <t>Análisis previo, se conserva como referencia.</t>
  </si>
  <si>
    <t>No.</t>
  </si>
  <si>
    <t>DIV table</t>
  </si>
  <si>
    <t>Tabla auxiliar de divisiones.</t>
  </si>
  <si>
    <t>Cómo se leen las columnas de la hoja de cuadre</t>
  </si>
  <si>
    <t>Columna</t>
  </si>
  <si>
    <t>Significado</t>
  </si>
  <si>
    <t>B  ·  Payroll FTE</t>
  </si>
  <si>
    <t>Personas en nómina del periodo (se extrae de la hoja 'Payroll'). Fórmula: no tocar.</t>
  </si>
  <si>
    <t>C  ·  Vacancy</t>
  </si>
  <si>
    <t>Vacantes. Entrada manual.</t>
  </si>
  <si>
    <t>D  ·  Sick leave</t>
  </si>
  <si>
    <t>Bajas. Entrada manual.</t>
  </si>
  <si>
    <t>E  ·  Adjustment</t>
  </si>
  <si>
    <t>Ajustes. Entrada manual.</t>
  </si>
  <si>
    <t>F  ·  FTE Scorecard</t>
  </si>
  <si>
    <t>FTE reportados en el Scorecard. Fórmula: no tocar.</t>
  </si>
  <si>
    <t>H a L  ·  Breakdown</t>
  </si>
  <si>
    <t>Reparto del FTE del Scorecard por rol. Entrada manual.</t>
  </si>
  <si>
    <t>M  ·  Difference</t>
  </si>
  <si>
    <t>Descuadre:  C + D + E + F  −  B.</t>
  </si>
  <si>
    <t>N  ·  Status</t>
  </si>
  <si>
    <t>Semáforo automático:  OK si la diferencia está dentro de ±0,02;  Review en el resto de casos.</t>
  </si>
  <si>
    <t>O  ·  Comments</t>
  </si>
  <si>
    <t>Justificación de la diferencia. Entrada manual.</t>
  </si>
  <si>
    <t>Color de M</t>
  </si>
  <si>
    <t>Verde: la diferencia está dentro de ±0,02 (cuadra).  Rojo: fuera de ese margen.</t>
  </si>
  <si>
    <t>Control: que no se escape nadie</t>
  </si>
  <si>
    <t>Al pie de cada cuadre hay cuatro filas encadenadas:  B27 Subtotal (suma de los procesos de arriba)  +  B28 Out of scope (OoS)  frente a  B29 TOTAL PAYROLL, que suma toda la nómina del negocio y del periodo directamente de la hoja 'Payroll'.  B30 es la diferencia sin explicar y debe ser 0.</t>
  </si>
  <si>
    <t>Si B30 no es 0, hay líneas de nómina que no está recogiendo ninguna fila: normalmente un proceso nuevo que no tiene fila propia, o una persona cuya categoría queda como (unmapped) por un Team o Subproceso que falta en 'Mapping'. La nota del pie indica cuántas filas están sin mapear.</t>
  </si>
  <si>
    <t>Comentarios y categorías</t>
  </si>
  <si>
    <t>Comentarios: escribe directamente en la columna O (Comments) de cada hoja de cuadre la justificación de la diferencia. El fichero es de un solo periodo, así que no se guarda histórico: cada mes se parte de un fichero nuevo.</t>
  </si>
  <si>
    <t>Categorías: AP solo existe dentro del proceso P2P, así que las filas AP se alimentan del mapeo Team → categoría AP y del mapeo Subproceso → categoría AP (tablas de la izquierda de 'Mapping'). En el resto de procesos la categoría es Proceso + Team (por ejemplo Q2C Iberia, R2R Iberia, HR Iberia), usando la tabla Team → etiqueta. Si una persona debe ir en otra categoría, añádela en EXCEPCIONES (columnas G y H de 'Mapping'): manda sobre todo lo demás.</t>
  </si>
  <si>
    <t>Notas técnicas</t>
  </si>
  <si>
    <t>·  Las fórmulas usan referencias de columna completa: admiten cualquier número de filas, aumenten o disminuyan.</t>
  </si>
  <si>
    <t>·  La columna K de 'Payroll' está preparada hasta la fila 5000 (unos 30 meses). La nota del pie (A32) avisa si se supera.</t>
  </si>
  <si>
    <t>·  El libro no contiene macros.</t>
  </si>
  <si>
    <t>Period</t>
  </si>
  <si>
    <t>Business</t>
  </si>
  <si>
    <t>Team</t>
  </si>
  <si>
    <t>Cost centre</t>
  </si>
  <si>
    <t>Employee no.</t>
  </si>
  <si>
    <t>Employee name</t>
  </si>
  <si>
    <t>Process</t>
  </si>
  <si>
    <t>Sub-process</t>
  </si>
  <si>
    <t>Category</t>
  </si>
  <si>
    <t>This table is the one that organises the divisions</t>
  </si>
  <si>
    <t>P2P only:  Team → AP category</t>
  </si>
  <si>
    <t>P2P only:  Sub-process → AP category</t>
  </si>
  <si>
    <t>EXCEPTIONS by employee (highest priority)</t>
  </si>
  <si>
    <t>Name (auto)</t>
  </si>
  <si>
    <t>Manager</t>
  </si>
  <si>
    <t>Improvement</t>
  </si>
  <si>
    <t>DS RECONCILIATION   ·   Payroll  vs  Scorecard</t>
  </si>
  <si>
    <t>HANSEN, ALAINA MAY</t>
  </si>
  <si>
    <t>BARRIENTOS RIVAS, MIDALY ANGELICA</t>
  </si>
  <si>
    <t>LORA SAN ANTOLIN, LUCIA</t>
  </si>
  <si>
    <t>PONTE DOMINGUEZ, CESAR</t>
  </si>
  <si>
    <t>SOBAS PRIETO, TERESA</t>
  </si>
  <si>
    <t>TORIBIO SANZ, LAURA</t>
  </si>
  <si>
    <t>GRANADOS SANTANA, GIAN PAUL</t>
  </si>
  <si>
    <t>PT1</t>
  </si>
  <si>
    <t>Ines Martins</t>
  </si>
  <si>
    <t>PT2</t>
  </si>
  <si>
    <t>Claudia Couto</t>
  </si>
  <si>
    <t>PETRARCA, MARIA FRANCESCA</t>
  </si>
  <si>
    <t>Helpdesk</t>
  </si>
  <si>
    <t>AP Continuos improvement</t>
  </si>
  <si>
    <t>Benelux</t>
  </si>
  <si>
    <t>MA</t>
  </si>
  <si>
    <t>FTE Real</t>
  </si>
  <si>
    <t>AP Total Clerk+TL</t>
  </si>
  <si>
    <t>AP MA</t>
  </si>
  <si>
    <t>Banking - Collections</t>
  </si>
  <si>
    <t>Banking - Payment</t>
  </si>
  <si>
    <t>Banking - Treasury</t>
  </si>
  <si>
    <t>BSC</t>
  </si>
  <si>
    <t>Incluidos en UK</t>
  </si>
  <si>
    <t>AR Continuos improvement</t>
  </si>
  <si>
    <t>AR Banking</t>
  </si>
  <si>
    <t>AR Clerk+TL</t>
  </si>
  <si>
    <t>R2R Continuos improvement</t>
  </si>
  <si>
    <t>R2R Banking</t>
  </si>
  <si>
    <t>R2R Junior+Senior</t>
  </si>
  <si>
    <t>AR IB</t>
  </si>
  <si>
    <t>AR FR</t>
  </si>
  <si>
    <t>AR IT</t>
  </si>
  <si>
    <t>AR MA</t>
  </si>
  <si>
    <t>R2R IB</t>
  </si>
  <si>
    <t>R2R FR</t>
  </si>
  <si>
    <t>R2R IT</t>
  </si>
  <si>
    <t>R2R MA</t>
  </si>
  <si>
    <t>Other processes:  Process → label</t>
  </si>
  <si>
    <t>Other processes:  Team → country code</t>
  </si>
  <si>
    <t>Country</t>
  </si>
  <si>
    <t>OUNI, MOHAMED ALI</t>
  </si>
  <si>
    <t>HERNANDEZ LAM, DANIELA</t>
  </si>
  <si>
    <t>01/09/2026</t>
  </si>
  <si>
    <t>1.  Actualiza los datos:  pega la nómina del mes en la hoja 'Payroll'  y  actualiza la hoja 'FTE Scorecard', cambiar el filtro por el mes actual en la consulta combinar 2</t>
  </si>
  <si>
    <t>AP09</t>
  </si>
  <si>
    <t>P2P Vuelta</t>
  </si>
  <si>
    <t>MBAYE TOURE, MOHAMED</t>
  </si>
  <si>
    <t>BEDERA DE CASTRO, IRINA</t>
  </si>
  <si>
    <t>CAVALLÉ, GIANCARLO</t>
  </si>
  <si>
    <t>PONCE PEINADOR, ANDRES</t>
  </si>
  <si>
    <t>VECILLA SAMPEDRO, JUAN LUIS</t>
  </si>
  <si>
    <t>LAIZ ALONSO, JUAN</t>
  </si>
  <si>
    <t>REAL REGUEIRA, ERIC</t>
  </si>
  <si>
    <t>BERMEJO EGIDO, CESAR</t>
  </si>
  <si>
    <t>DELGADO DE VEGA, ANGEL</t>
  </si>
  <si>
    <t>ESGUEVA MIRAÑO, GONZALO</t>
  </si>
  <si>
    <t>SUSSOHO DIALLO, IBRAHIMA</t>
  </si>
  <si>
    <t>BURGOA ESCUDERO, RAQUEL</t>
  </si>
  <si>
    <t>GRANADOS SANATANA, GIAN PAUL</t>
  </si>
  <si>
    <t xml:space="preserve">Categorías: AP solo existe dentro del proceso P2P, así que las filas AP se alimentan del mapeo Team → categoría AP y del mapeo Subproceso → categoría AP (tablas de la izquierda de 'Mapping'). En el resto de procesos la categoría es Proceso + Team (por ejemplo Q2C Iberia, R2R Iberia, HR Iberia), usando la tabla Team → etiqueta. Si una persona debe ir en otra categoría, añádela en EXCEPCIONES (columnas G y H de 'Mapping'): manda sobre todo lo demás.  El proceso puede venir como 'P2P' o como 'P2P Vuelta': las formulas tratan las dos variantes como P2P (cualquier proceso que empiece por P2P), de modo que esas personas caen en las filas AP igual que el resto.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</si>
</sst>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#,##0.00;[Red]\-#,##0.00;&quot;-&quot;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D6E4F0"/>
      <name val="Calibri"/>
      <family val="2"/>
    </font>
    <font>
      <b/>
      <sz val="11"/>
      <color rgb="FF1F3864"/>
      <name val="Calibri"/>
      <family val="2"/>
    </font>
    <font>
      <sz val="10"/>
      <color rgb="FF404040"/>
      <name val="Calibri"/>
      <family val="2"/>
    </font>
    <font>
      <i/>
      <sz val="9"/>
      <color rgb="FF808080"/>
      <name val="Calibri"/>
      <family val="2"/>
    </font>
    <font>
      <b/>
      <sz val="10"/>
      <color rgb="FF1F3864"/>
      <name val="Calibri"/>
      <family val="2"/>
    </font>
    <font>
      <b/>
      <sz val="11"/>
      <color rgb="FFFFFFFF"/>
      <name val="Calibri"/>
      <family val="2"/>
    </font>
    <font>
      <b/>
      <sz val="12"/>
      <color rgb="FF1F3864"/>
      <name val="Calibri"/>
      <family val="2"/>
    </font>
    <font>
      <sz val="11"/>
      <color rgb="FF404040"/>
      <name val="Calibri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/>
    <xf numFmtId="43" fontId="5" fillId="0" borderId="0" xfId="1" applyFont="1"/>
    <xf numFmtId="0" fontId="1" fillId="0" borderId="1" xfId="0" applyFont="1" applyBorder="1"/>
    <xf numFmtId="43" fontId="0" fillId="0" borderId="0" xfId="1" applyFont="1" applyBorder="1"/>
    <xf numFmtId="43" fontId="5" fillId="0" borderId="2" xfId="1" applyFont="1" applyBorder="1"/>
    <xf numFmtId="0" fontId="0" fillId="0" borderId="1" xfId="0" applyBorder="1"/>
    <xf numFmtId="0" fontId="0" fillId="0" borderId="2" xfId="0" applyBorder="1"/>
    <xf numFmtId="43" fontId="1" fillId="0" borderId="0" xfId="1" applyFont="1" applyFill="1"/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indent="1"/>
    </xf>
    <xf numFmtId="165" fontId="9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3"/>
    </xf>
    <xf numFmtId="165" fontId="10" fillId="0" borderId="3" xfId="0" applyNumberFormat="1" applyFont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indent="3"/>
    </xf>
    <xf numFmtId="165" fontId="10" fillId="5" borderId="3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 indent="1"/>
    </xf>
    <xf numFmtId="165" fontId="13" fillId="2" borderId="4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right" vertical="center" indent="3"/>
    </xf>
    <xf numFmtId="0" fontId="10" fillId="5" borderId="3" xfId="0" applyFont="1" applyFill="1" applyBorder="1" applyAlignment="1">
      <alignment horizontal="right" vertical="center" indent="3"/>
    </xf>
    <xf numFmtId="0" fontId="1" fillId="8" borderId="5" xfId="0" applyFont="1" applyFill="1" applyBorder="1"/>
    <xf numFmtId="0" fontId="1" fillId="8" borderId="6" xfId="0" applyFont="1" applyFill="1" applyBorder="1" applyAlignment="1">
      <alignment horizontal="centerContinuous" vertical="center" wrapText="1"/>
    </xf>
    <xf numFmtId="4" fontId="0" fillId="8" borderId="0" xfId="2" applyNumberFormat="1" applyFont="1" applyFill="1" applyBorder="1"/>
    <xf numFmtId="4" fontId="1" fillId="8" borderId="7" xfId="2" applyNumberFormat="1" applyFont="1" applyFill="1" applyBorder="1"/>
    <xf numFmtId="0" fontId="6" fillId="2" borderId="0" xfId="0" applyFont="1" applyFill="1" applyAlignment="1">
      <alignment vertical="center"/>
    </xf>
    <xf numFmtId="14" fontId="0" fillId="0" borderId="0" xfId="0" applyNumberFormat="1"/>
    <xf numFmtId="0" fontId="0" fillId="9" borderId="0" xfId="0" applyFill="1"/>
    <xf numFmtId="0" fontId="16" fillId="9" borderId="0" xfId="0" applyFont="1" applyFill="1"/>
    <xf numFmtId="0" fontId="11" fillId="7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/>
  </cellXfs>
  <cellStyles count="3">
    <cellStyle name="Millares" xfId="1" builtinId="3"/>
    <cellStyle name="Normal" xfId="0" builtinId="0"/>
    <cellStyle name="Porcentaje" xfId="2" builtinId="5"/>
  </cellStyles>
  <dxfs count="15"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7941E"/>
      <color rgb="FF00B050"/>
      <color rgb="FF5D8837"/>
      <color rgb="FFBD88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47" Type="http://schemas.openxmlformats.org/officeDocument/2006/relationships/customXml" Target="../customXml/item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9" Type="http://schemas.openxmlformats.org/officeDocument/2006/relationships/customXml" Target="../customXml/item1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45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49" Type="http://schemas.openxmlformats.org/officeDocument/2006/relationships/customXml" Target="../customXml/item36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48" Type="http://schemas.openxmlformats.org/officeDocument/2006/relationships/customXml" Target="../customXml/item35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46" Type="http://schemas.openxmlformats.org/officeDocument/2006/relationships/customXml" Target="../customXml/item33.xml"/><Relationship Id="rId20" Type="http://schemas.openxmlformats.org/officeDocument/2006/relationships/customXml" Target="../customXml/item7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20431B9C-71DD-4A80-BCE8-971FDFC8555B}" autoFormatId="16" applyNumberFormats="0" applyBorderFormats="0" applyFontFormats="0" applyPatternFormats="0" applyAlignmentFormats="0" applyWidthHeightFormats="0">
  <queryTableRefresh nextId="14">
    <queryTableFields count="6">
      <queryTableField id="1" name="Definitions" tableColumnId="1"/>
      <queryTableField id="8" name="Scorecard Division" tableColumnId="7"/>
      <queryTableField id="9" name="Scorecard País" tableColumnId="8"/>
      <queryTableField id="10" name="Equipo" tableColumnId="9"/>
      <queryTableField id="4" name="Fecha" tableColumnId="4"/>
      <queryTableField id="5" name="F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66C3B3-9EF5-42E2-A92A-DCC80405EE2A}" name="Combinar1__2" displayName="Combinar1__2" ref="A1:F26" tableType="queryTable" totalsRowShown="0">
  <autoFilter ref="A1:F26" xr:uid="{EC66C3B3-9EF5-42E2-A92A-DCC80405EE2A}"/>
  <tableColumns count="6">
    <tableColumn id="1" xr3:uid="{46F4C7E6-C601-459E-8EAB-A372BF0A67CB}" uniqueName="1" name="Definitions" queryTableFieldId="1"/>
    <tableColumn id="7" xr3:uid="{0F0DBCC3-0493-46F7-83F2-B263E6737080}" uniqueName="7" name="Scorecard Division" queryTableFieldId="8"/>
    <tableColumn id="8" xr3:uid="{023BA820-EAE1-4844-9352-D69BFC26CEF5}" uniqueName="8" name="Scorecard País" queryTableFieldId="9" dataDxfId="14"/>
    <tableColumn id="9" xr3:uid="{2C291737-F6B0-42AA-858D-E3C4D45AA2B0}" uniqueName="9" name="Equipo" queryTableFieldId="10"/>
    <tableColumn id="4" xr3:uid="{C3C7A903-8B84-4772-9C94-550B26027984}" uniqueName="4" name="Fecha" queryTableFieldId="4" dataDxfId="0"/>
    <tableColumn id="5" xr3:uid="{280E3907-2A84-4CD2-8AD7-DAAFC72B4052}" uniqueName="5" name="FT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1F3C2A-1461-4B64-B107-BF9CB9D063EC}" name="DIV" displayName="DIV" ref="A1:C23" totalsRowShown="0">
  <autoFilter ref="A1:C23" xr:uid="{2C1F3C2A-1461-4B64-B107-BF9CB9D063EC}"/>
  <tableColumns count="3">
    <tableColumn id="1" xr3:uid="{3F06AB47-665D-4C4A-9999-DC255345EF66}" name="Label" dataDxfId="13"/>
    <tableColumn id="2" xr3:uid="{58CCF945-6242-43C1-B2AC-D6D51B33040D}" name="Div" dataDxfId="12"/>
    <tableColumn id="3" xr3:uid="{25E41378-7488-4B9A-9E24-749294669893}" name="Subdivisión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AAE2-2CCE-4E54-B149-256A531AA96D}">
  <dimension ref="A1:T39"/>
  <sheetViews>
    <sheetView showGridLines="0" workbookViewId="0">
      <pane ySplit="2" topLeftCell="A3" activePane="bottomLeft" state="frozen"/>
      <selection pane="bottomLeft" activeCell="F11" sqref="F11"/>
    </sheetView>
  </sheetViews>
  <sheetFormatPr baseColWidth="10" defaultRowHeight="14.4" outlineLevelRow="1" outlineLevelCol="1" x14ac:dyDescent="0.3"/>
  <cols>
    <col min="1" max="1" width="30.44140625" customWidth="1"/>
    <col min="2" max="2" width="14" customWidth="1"/>
    <col min="3" max="6" width="11.44140625" customWidth="1"/>
    <col min="7" max="7" width="14" customWidth="1"/>
    <col min="8" max="13" width="11" customWidth="1" outlineLevel="1"/>
    <col min="14" max="14" width="12" customWidth="1"/>
    <col min="15" max="15" width="11" customWidth="1"/>
    <col min="16" max="16" width="56.21875" customWidth="1"/>
    <col min="19" max="19" width="18" customWidth="1"/>
  </cols>
  <sheetData>
    <row r="1" spans="1:20" ht="30" customHeight="1" x14ac:dyDescent="0.3">
      <c r="A1" s="40" t="s">
        <v>334</v>
      </c>
      <c r="B1" s="40"/>
      <c r="C1" s="40"/>
      <c r="D1" s="40"/>
      <c r="E1" s="40"/>
      <c r="F1" s="40"/>
      <c r="G1" s="40"/>
      <c r="H1" s="11" t="s">
        <v>241</v>
      </c>
      <c r="I1" s="11"/>
      <c r="J1" s="13" t="s">
        <v>380</v>
      </c>
      <c r="K1" s="11" t="s">
        <v>242</v>
      </c>
      <c r="L1" s="13">
        <v>2026</v>
      </c>
      <c r="M1" s="11" t="s">
        <v>243</v>
      </c>
      <c r="N1" s="12" t="str">
        <f>"01/"&amp;RIGHT($J$1,2)&amp;"/"&amp;$L$1</f>
        <v>01/09/2026</v>
      </c>
    </row>
    <row r="2" spans="1:20" ht="34.049999999999997" customHeight="1" x14ac:dyDescent="0.3">
      <c r="A2" s="14" t="s">
        <v>324</v>
      </c>
      <c r="B2" s="14" t="str">
        <f>"Payroll FTE "&amp;$J$1</f>
        <v>Payroll FTE AP09</v>
      </c>
      <c r="C2" s="14" t="s">
        <v>219</v>
      </c>
      <c r="D2" s="14" t="s">
        <v>220</v>
      </c>
      <c r="E2" s="14" t="s">
        <v>221</v>
      </c>
      <c r="F2" s="14" t="s">
        <v>351</v>
      </c>
      <c r="G2" s="14" t="s">
        <v>234</v>
      </c>
      <c r="H2" s="14"/>
      <c r="I2" s="14" t="s">
        <v>236</v>
      </c>
      <c r="J2" s="14" t="s">
        <v>237</v>
      </c>
      <c r="K2" s="14" t="s">
        <v>238</v>
      </c>
      <c r="L2" s="14" t="s">
        <v>239</v>
      </c>
      <c r="M2" s="14" t="s">
        <v>240</v>
      </c>
      <c r="N2" s="14" t="s">
        <v>245</v>
      </c>
      <c r="O2" s="14" t="s">
        <v>246</v>
      </c>
      <c r="P2" s="14" t="s">
        <v>247</v>
      </c>
      <c r="T2" s="32" t="s">
        <v>357</v>
      </c>
    </row>
    <row r="3" spans="1:20" ht="19.95" customHeight="1" x14ac:dyDescent="0.3">
      <c r="A3" s="15" t="s">
        <v>118</v>
      </c>
      <c r="B3" s="16">
        <f>SUM(B4:B8)</f>
        <v>14.3125</v>
      </c>
      <c r="C3" s="16">
        <f>+SUM(C4:C8)</f>
        <v>2</v>
      </c>
      <c r="D3" s="16">
        <f>+SUM(D4:D8)</f>
        <v>3</v>
      </c>
      <c r="E3" s="16">
        <f>+SUM(E4:E8)</f>
        <v>1.8</v>
      </c>
      <c r="F3" s="16">
        <f>+B3+C3-D3-E3</f>
        <v>11.512499999999999</v>
      </c>
      <c r="G3" s="16">
        <f>SUM(G9:G17)</f>
        <v>50.07</v>
      </c>
      <c r="H3" s="39" t="s">
        <v>248</v>
      </c>
      <c r="I3" s="16">
        <f>+SUM(I9:I17)</f>
        <v>31.139999999999997</v>
      </c>
      <c r="J3" s="16">
        <f>+SUM(J9:J17)</f>
        <v>7</v>
      </c>
      <c r="K3" s="16">
        <f>+SUM(K9:K17)</f>
        <v>2.0000000000000004</v>
      </c>
      <c r="L3" s="16">
        <f>+SUM(L9:L17)</f>
        <v>6.5</v>
      </c>
      <c r="M3" s="16">
        <f>+SUM(M9:M17)</f>
        <v>4.0049311926605515</v>
      </c>
      <c r="N3" s="16">
        <f>G3-F3</f>
        <v>38.557500000000005</v>
      </c>
      <c r="O3" s="17" t="str">
        <f>IF(N(G3)=0,"",IF(ABS(N3)&lt;=0.02,"OK","Review"))</f>
        <v>Review</v>
      </c>
      <c r="P3" s="24"/>
      <c r="S3" s="31" t="s">
        <v>354</v>
      </c>
      <c r="T3" s="33">
        <v>3</v>
      </c>
    </row>
    <row r="4" spans="1:20" ht="16.95" customHeight="1" x14ac:dyDescent="0.3">
      <c r="A4" s="18" t="s">
        <v>348</v>
      </c>
      <c r="B4" s="19">
        <f>SUMIFS(Payroll!$I:$I,Payroll!$D:$D,$J$1,Payroll!$H:$H,"DSS",Payroll!$F:$F,"P2P*",Payroll!$K:$K,$A4)</f>
        <v>1</v>
      </c>
      <c r="C4" s="19"/>
      <c r="D4" s="19">
        <v>0</v>
      </c>
      <c r="E4" s="19"/>
      <c r="F4" s="16">
        <f t="shared" ref="F4:F17" si="0">+B4+C4-D4-E4</f>
        <v>1</v>
      </c>
      <c r="G4" s="19">
        <v>1</v>
      </c>
      <c r="H4" s="39"/>
      <c r="I4" s="19"/>
      <c r="J4" s="19"/>
      <c r="K4" s="19"/>
      <c r="L4" s="19"/>
      <c r="M4" s="19"/>
      <c r="N4" s="16">
        <f t="shared" ref="N4:N8" si="1">G4-F4</f>
        <v>0</v>
      </c>
      <c r="O4" s="17" t="str">
        <f t="shared" ref="O4:O17" si="2">IF(N(G4)=0,"",IF(ABS(N4)&lt;=0.02,"OK","Review"))</f>
        <v>OK</v>
      </c>
      <c r="P4" s="24"/>
      <c r="S4" s="31" t="s">
        <v>355</v>
      </c>
      <c r="T4" s="33">
        <v>5</v>
      </c>
    </row>
    <row r="5" spans="1:20" ht="16.95" customHeight="1" x14ac:dyDescent="0.3">
      <c r="A5" s="20" t="s">
        <v>231</v>
      </c>
      <c r="B5" s="21">
        <f>SUMIFS(Payroll!$I:$I,Payroll!$D:$D,$J$1,Payroll!$H:$H,"DSS",Payroll!$F:$F,"P2P*",Payroll!$K:$K,$A5)</f>
        <v>1</v>
      </c>
      <c r="C5" s="21"/>
      <c r="D5" s="21">
        <v>1</v>
      </c>
      <c r="E5" s="21">
        <v>0.5</v>
      </c>
      <c r="F5" s="16">
        <f t="shared" si="0"/>
        <v>-0.5</v>
      </c>
      <c r="G5" s="21">
        <f>SUM(L9:L17)</f>
        <v>6.5</v>
      </c>
      <c r="H5" s="39"/>
      <c r="I5" s="21"/>
      <c r="J5" s="21"/>
      <c r="K5" s="21"/>
      <c r="L5" s="21"/>
      <c r="M5" s="21"/>
      <c r="N5" s="16">
        <f t="shared" si="1"/>
        <v>7</v>
      </c>
      <c r="O5" s="17" t="str">
        <f t="shared" si="2"/>
        <v>Review</v>
      </c>
      <c r="P5" s="25"/>
      <c r="S5" s="31" t="s">
        <v>356</v>
      </c>
      <c r="T5" s="33">
        <v>2</v>
      </c>
    </row>
    <row r="6" spans="1:20" ht="16.95" customHeight="1" x14ac:dyDescent="0.3">
      <c r="A6" s="18" t="s">
        <v>59</v>
      </c>
      <c r="B6" s="19">
        <f>SUMIFS(Payroll!$I:$I,Payroll!$D:$D,$J$1,Payroll!$H:$H,"DSS",Payroll!$F:$F,"P2P*",Payroll!$K:$K,$A6)</f>
        <v>1</v>
      </c>
      <c r="C6" s="19"/>
      <c r="D6" s="19">
        <v>0</v>
      </c>
      <c r="E6" s="19">
        <v>1</v>
      </c>
      <c r="F6" s="16">
        <f t="shared" si="0"/>
        <v>0</v>
      </c>
      <c r="G6" s="19">
        <f>+SUM(M9:M17)</f>
        <v>4.0049311926605515</v>
      </c>
      <c r="H6" s="39"/>
      <c r="I6" s="19"/>
      <c r="J6" s="19"/>
      <c r="K6" s="19"/>
      <c r="L6" s="19"/>
      <c r="M6" s="19"/>
      <c r="N6" s="16">
        <f t="shared" si="1"/>
        <v>4.0049311926605515</v>
      </c>
      <c r="O6" s="17" t="str">
        <f t="shared" si="2"/>
        <v>Review</v>
      </c>
      <c r="P6" s="24"/>
      <c r="T6" s="34">
        <f>SUM(T3:T5)</f>
        <v>10</v>
      </c>
    </row>
    <row r="7" spans="1:20" ht="16.95" customHeight="1" x14ac:dyDescent="0.3">
      <c r="A7" s="20" t="s">
        <v>232</v>
      </c>
      <c r="B7" s="21">
        <f>SUMIFS(Payroll!$I:$I,Payroll!$D:$D,$J$1,Payroll!$H:$H,"DSS",Payroll!$F:$F,"P2P*",Payroll!$K:$K,$A7)</f>
        <v>1</v>
      </c>
      <c r="C7" s="21"/>
      <c r="D7" s="21">
        <v>0</v>
      </c>
      <c r="E7" s="21"/>
      <c r="F7" s="16">
        <f t="shared" si="0"/>
        <v>1</v>
      </c>
      <c r="G7" s="21">
        <v>1</v>
      </c>
      <c r="H7" s="39"/>
      <c r="I7" s="21"/>
      <c r="J7" s="21"/>
      <c r="K7" s="21"/>
      <c r="L7" s="21"/>
      <c r="M7" s="21"/>
      <c r="N7" s="16">
        <f t="shared" si="1"/>
        <v>0</v>
      </c>
      <c r="O7" s="17" t="str">
        <f t="shared" si="2"/>
        <v>OK</v>
      </c>
      <c r="P7" s="25"/>
    </row>
    <row r="8" spans="1:20" ht="32.4" customHeight="1" x14ac:dyDescent="0.3">
      <c r="A8" s="20" t="s">
        <v>352</v>
      </c>
      <c r="B8" s="21">
        <f>+SUM(B9:B17)</f>
        <v>10.3125</v>
      </c>
      <c r="C8" s="21">
        <f t="shared" ref="C8:E8" si="3">+SUM(C9:C17)</f>
        <v>2</v>
      </c>
      <c r="D8" s="21">
        <f t="shared" si="3"/>
        <v>2</v>
      </c>
      <c r="E8" s="21">
        <f t="shared" si="3"/>
        <v>0.3</v>
      </c>
      <c r="F8" s="16">
        <f t="shared" si="0"/>
        <v>10.012499999999999</v>
      </c>
      <c r="G8" s="21">
        <f>+SUM(I9:J17)</f>
        <v>38.14</v>
      </c>
      <c r="H8" s="39"/>
      <c r="I8" s="21"/>
      <c r="J8" s="21"/>
      <c r="K8" s="21"/>
      <c r="L8" s="21"/>
      <c r="M8" s="21"/>
      <c r="N8" s="16">
        <f t="shared" si="1"/>
        <v>28.127500000000001</v>
      </c>
      <c r="O8" s="17" t="str">
        <f t="shared" si="2"/>
        <v>Review</v>
      </c>
      <c r="P8" s="25"/>
    </row>
    <row r="9" spans="1:20" ht="16.95" customHeight="1" outlineLevel="1" x14ac:dyDescent="0.3">
      <c r="A9" s="29" t="s">
        <v>222</v>
      </c>
      <c r="B9" s="19">
        <f>SUMIFS(Payroll!$I:$I,Payroll!$D:$D,$J$1,Payroll!$H:$H,"DSS",Payroll!$F:$F,"P2P*",Payroll!$K:$K,$A9)</f>
        <v>0</v>
      </c>
      <c r="C9" s="19"/>
      <c r="D9" s="19">
        <v>0</v>
      </c>
      <c r="E9" s="19"/>
      <c r="F9" s="16">
        <f t="shared" si="0"/>
        <v>0</v>
      </c>
      <c r="G9" s="19">
        <f>SUMIFS('FTE Scorecard'!$F:$F,'FTE Scorecard'!$A:$A,"Total AP FTEs*",'FTE Scorecard'!$D:$D,TRIM(MID($A9,4,10)),'FTE Scorecard'!$E:$E,$N$1)</f>
        <v>4.32</v>
      </c>
      <c r="H9" s="39"/>
      <c r="I9" s="19">
        <v>3</v>
      </c>
      <c r="J9" s="19">
        <v>0.5</v>
      </c>
      <c r="K9" s="19">
        <v>0.18353434714210803</v>
      </c>
      <c r="L9" s="19">
        <v>0.45</v>
      </c>
      <c r="M9" s="19">
        <v>0.1878440366972477</v>
      </c>
      <c r="N9" s="19">
        <f>+SUM(I9:J9)-F9</f>
        <v>3.5</v>
      </c>
      <c r="O9" s="17" t="str">
        <f t="shared" si="2"/>
        <v>Review</v>
      </c>
      <c r="P9" s="24"/>
    </row>
    <row r="10" spans="1:20" ht="16.95" customHeight="1" outlineLevel="1" x14ac:dyDescent="0.3">
      <c r="A10" s="30" t="s">
        <v>223</v>
      </c>
      <c r="B10" s="21">
        <f>SUMIFS(Payroll!$I:$I,Payroll!$D:$D,$J$1,Payroll!$H:$H,"DSS",Payroll!$F:$F,"P2P*",Payroll!$K:$K,$A10)</f>
        <v>1.3125</v>
      </c>
      <c r="C10" s="21"/>
      <c r="D10" s="21">
        <v>1</v>
      </c>
      <c r="E10" s="21"/>
      <c r="F10" s="16">
        <f t="shared" si="0"/>
        <v>0.3125</v>
      </c>
      <c r="G10" s="21">
        <f>SUMIFS('FTE Scorecard'!$F:$F,'FTE Scorecard'!$A:$A,"Total AP FTEs*",'FTE Scorecard'!$D:$D,TRIM(MID($A10,4,10)),'FTE Scorecard'!$E:$E,$N$1)</f>
        <v>10.629999999999999</v>
      </c>
      <c r="H10" s="39"/>
      <c r="I10" s="21">
        <v>7.81</v>
      </c>
      <c r="J10" s="21">
        <v>1</v>
      </c>
      <c r="K10" s="21">
        <v>0.46198217094913469</v>
      </c>
      <c r="L10" s="21">
        <v>1.3</v>
      </c>
      <c r="M10" s="21">
        <v>0.63520642201834876</v>
      </c>
      <c r="N10" s="19">
        <f>+(SUM(I10:J10)-F10)</f>
        <v>8.4974999999999987</v>
      </c>
      <c r="O10" s="17" t="str">
        <f t="shared" si="2"/>
        <v>Review</v>
      </c>
      <c r="P10" s="25"/>
    </row>
    <row r="11" spans="1:20" ht="16.95" customHeight="1" outlineLevel="1" x14ac:dyDescent="0.3">
      <c r="A11" s="29" t="s">
        <v>224</v>
      </c>
      <c r="B11" s="19">
        <f>SUMIFS(Payroll!$I:$I,Payroll!$D:$D,$J$1,Payroll!$H:$H,"DSS",Payroll!$F:$F,"P2P*",Payroll!$K:$K,$A11)</f>
        <v>8</v>
      </c>
      <c r="C11" s="19"/>
      <c r="D11" s="19">
        <v>0</v>
      </c>
      <c r="E11" s="19">
        <v>0.3</v>
      </c>
      <c r="F11" s="16">
        <f t="shared" si="0"/>
        <v>7.7</v>
      </c>
      <c r="G11" s="19">
        <f>SUMIFS('FTE Scorecard'!$F:$F,'FTE Scorecard'!$A:$A,"Total AP FTEs*",'FTE Scorecard'!$D:$D,TRIM(MID($A11,4,10)),'FTE Scorecard'!$E:$E,$N$1)</f>
        <v>10.190000000000001</v>
      </c>
      <c r="H11" s="39"/>
      <c r="I11" s="19">
        <v>5.7</v>
      </c>
      <c r="J11" s="19">
        <v>2</v>
      </c>
      <c r="K11" s="19">
        <v>0.40377556371263768</v>
      </c>
      <c r="L11" s="19">
        <v>1.2</v>
      </c>
      <c r="M11" s="19">
        <v>0.88979357798165137</v>
      </c>
      <c r="N11" s="19">
        <f>+(SUM(I11:J11)-F11)</f>
        <v>0</v>
      </c>
      <c r="O11" s="17" t="str">
        <f t="shared" si="2"/>
        <v>OK</v>
      </c>
      <c r="P11" s="24"/>
    </row>
    <row r="12" spans="1:20" ht="16.95" customHeight="1" outlineLevel="1" x14ac:dyDescent="0.3">
      <c r="A12" s="30" t="s">
        <v>225</v>
      </c>
      <c r="B12" s="21">
        <f>SUMIFS(Payroll!$I:$I,Payroll!$D:$D,$J$1,Payroll!$H:$H,"DSS",Payroll!$F:$F,"P2P*",Payroll!$K:$K,$A12)</f>
        <v>0</v>
      </c>
      <c r="C12" s="21">
        <v>1</v>
      </c>
      <c r="D12" s="21">
        <v>0</v>
      </c>
      <c r="E12" s="21"/>
      <c r="F12" s="16">
        <f>+B12+C12-D12-E12</f>
        <v>1</v>
      </c>
      <c r="G12" s="21">
        <f>SUMIFS('FTE Scorecard'!$F:$F,'FTE Scorecard'!$A:$A,"Total AP FTEs*",'FTE Scorecard'!$D:$D,TRIM(MID($A12,4,10)),'FTE Scorecard'!$E:$E,$N$1)</f>
        <v>10</v>
      </c>
      <c r="H12" s="39"/>
      <c r="I12" s="21">
        <v>6</v>
      </c>
      <c r="J12" s="21">
        <v>0.5</v>
      </c>
      <c r="K12" s="21">
        <v>0.34084950183534346</v>
      </c>
      <c r="L12" s="21">
        <v>2</v>
      </c>
      <c r="M12" s="21">
        <v>1.1596616972477067</v>
      </c>
      <c r="N12" s="21">
        <f>+(SUM(I12:J14)-F12)</f>
        <v>8</v>
      </c>
      <c r="O12" s="17" t="str">
        <f t="shared" si="2"/>
        <v>Review</v>
      </c>
      <c r="P12" s="25"/>
    </row>
    <row r="13" spans="1:20" ht="16.95" customHeight="1" outlineLevel="1" x14ac:dyDescent="0.3">
      <c r="A13" s="29" t="s">
        <v>226</v>
      </c>
      <c r="B13" s="19">
        <f>SUMIFS(Payroll!$I:$I,Payroll!$D:$D,$J$1,Payroll!$H:$H,"DSS",Payroll!$F:$F,"P2P*",Payroll!$K:$K,$A13)</f>
        <v>0</v>
      </c>
      <c r="C13" s="19"/>
      <c r="D13" s="19">
        <v>0</v>
      </c>
      <c r="E13" s="19"/>
      <c r="F13" s="16">
        <f t="shared" si="0"/>
        <v>0</v>
      </c>
      <c r="G13" s="19">
        <f>SUMIFS('FTE Scorecard'!$F:$F,'FTE Scorecard'!$A:$A,"Total AP FTEs*",'FTE Scorecard'!$D:$D,TRIM(MID($A13,4,10)),'FTE Scorecard'!$E:$E,$N$1)</f>
        <v>2</v>
      </c>
      <c r="H13" s="39"/>
      <c r="I13" s="19">
        <v>1</v>
      </c>
      <c r="J13" s="19">
        <v>0.25</v>
      </c>
      <c r="K13" s="19">
        <v>6.5547981122181437E-2</v>
      </c>
      <c r="L13" s="19">
        <v>0.5</v>
      </c>
      <c r="M13" s="19">
        <v>0.18043577981651382</v>
      </c>
      <c r="N13" s="19" t="s">
        <v>9</v>
      </c>
      <c r="O13" s="19"/>
      <c r="P13" s="24" t="s">
        <v>358</v>
      </c>
    </row>
    <row r="14" spans="1:20" ht="16.95" customHeight="1" outlineLevel="1" x14ac:dyDescent="0.3">
      <c r="A14" s="30" t="s">
        <v>227</v>
      </c>
      <c r="B14" s="21">
        <f>SUMIFS(Payroll!$I:$I,Payroll!$D:$D,$J$1,Payroll!$H:$H,"DSS",Payroll!$F:$F,"P2P*",Payroll!$K:$K,$A14)</f>
        <v>0</v>
      </c>
      <c r="C14" s="21"/>
      <c r="D14" s="21">
        <v>0</v>
      </c>
      <c r="E14" s="21"/>
      <c r="F14" s="16">
        <f t="shared" si="0"/>
        <v>0</v>
      </c>
      <c r="G14" s="21">
        <f>SUMIFS('FTE Scorecard'!$F:$F,'FTE Scorecard'!$A:$A,"Total AP FTEs*",'FTE Scorecard'!$D:$D,TRIM(MID($A14,4,10)),'FTE Scorecard'!$E:$E,$N$1)</f>
        <v>1.75</v>
      </c>
      <c r="H14" s="39"/>
      <c r="I14" s="21">
        <v>1</v>
      </c>
      <c r="J14" s="21">
        <v>0.25</v>
      </c>
      <c r="K14" s="21">
        <v>6.5547981122181437E-2</v>
      </c>
      <c r="L14" s="21">
        <v>0.25</v>
      </c>
      <c r="M14" s="21">
        <v>0.18</v>
      </c>
      <c r="N14" s="21" t="s">
        <v>9</v>
      </c>
      <c r="O14" s="19"/>
      <c r="P14" s="24" t="s">
        <v>358</v>
      </c>
    </row>
    <row r="15" spans="1:20" ht="16.95" customHeight="1" outlineLevel="1" x14ac:dyDescent="0.3">
      <c r="A15" s="29" t="s">
        <v>228</v>
      </c>
      <c r="B15" s="19">
        <f>SUMIFS(Payroll!$I:$I,Payroll!$D:$D,$J$1,Payroll!$H:$H,"DSS",Payroll!$F:$F,"P2P*",Payroll!$K:$K,$A15)</f>
        <v>1</v>
      </c>
      <c r="C15" s="19"/>
      <c r="D15" s="19">
        <v>0</v>
      </c>
      <c r="E15" s="19"/>
      <c r="F15" s="16">
        <f t="shared" si="0"/>
        <v>1</v>
      </c>
      <c r="G15" s="19">
        <f>SUMIFS('FTE Scorecard'!$F:$F,'FTE Scorecard'!$A:$A,"Total AP FTEs*",'FTE Scorecard'!$D:$D,TRIM(MID($A15,4,10)),'FTE Scorecard'!$E:$E,$N$1)</f>
        <v>1.79</v>
      </c>
      <c r="H15" s="39"/>
      <c r="I15" s="19">
        <v>1</v>
      </c>
      <c r="J15" s="19">
        <v>0.5</v>
      </c>
      <c r="K15" s="19">
        <v>7.8657577346617727E-2</v>
      </c>
      <c r="L15" s="19">
        <v>0.05</v>
      </c>
      <c r="M15" s="19">
        <v>0.16100917431192663</v>
      </c>
      <c r="N15" s="19">
        <f>+(SUM(I15:J15)-F15)</f>
        <v>0.5</v>
      </c>
      <c r="O15" s="17" t="str">
        <f t="shared" si="2"/>
        <v>Review</v>
      </c>
      <c r="P15" s="24"/>
    </row>
    <row r="16" spans="1:20" ht="16.95" customHeight="1" outlineLevel="1" x14ac:dyDescent="0.3">
      <c r="A16" s="30" t="s">
        <v>229</v>
      </c>
      <c r="B16" s="21">
        <f>SUMIFS(Payroll!$I:$I,Payroll!$D:$D,$J$1,Payroll!$H:$H,"DSS",Payroll!$F:$F,"P2P*",Payroll!$K:$K,$A16)</f>
        <v>0</v>
      </c>
      <c r="C16" s="21">
        <v>1</v>
      </c>
      <c r="D16" s="21">
        <v>0</v>
      </c>
      <c r="E16" s="21"/>
      <c r="F16" s="16">
        <f>+B16+C16-D16-E16</f>
        <v>1</v>
      </c>
      <c r="G16" s="21">
        <f>SUMIFS('FTE Scorecard'!$F:$F,'FTE Scorecard'!$A:$A,"Total AP FTEs*",'FTE Scorecard'!$D:$D,TRIM(MID($A16,4,10)),'FTE Scorecard'!$E:$E,$N$1)</f>
        <v>4.8899999999999997</v>
      </c>
      <c r="H16" s="39"/>
      <c r="I16" s="21">
        <v>3</v>
      </c>
      <c r="J16" s="21">
        <v>1</v>
      </c>
      <c r="K16" s="21">
        <v>0.20975353959098059</v>
      </c>
      <c r="L16" s="21">
        <v>0.5</v>
      </c>
      <c r="M16" s="21">
        <v>0.18491972477064222</v>
      </c>
      <c r="N16" s="19">
        <f>+(SUM(I16:J16)-F16)</f>
        <v>3</v>
      </c>
      <c r="O16" s="17" t="str">
        <f t="shared" si="2"/>
        <v>Review</v>
      </c>
      <c r="P16" s="25"/>
    </row>
    <row r="17" spans="1:16" ht="16.95" customHeight="1" outlineLevel="1" x14ac:dyDescent="0.3">
      <c r="A17" s="29" t="s">
        <v>230</v>
      </c>
      <c r="B17" s="19">
        <f>SUMIFS(Payroll!$I:$I,Payroll!$D:$D,$J$1,Payroll!$H:$H,"DSS",Payroll!$F:$F,"P2P*",Payroll!$K:$K,$A17)</f>
        <v>0</v>
      </c>
      <c r="C17" s="19"/>
      <c r="D17" s="19">
        <v>1</v>
      </c>
      <c r="E17" s="19"/>
      <c r="F17" s="16">
        <f t="shared" si="0"/>
        <v>-1</v>
      </c>
      <c r="G17" s="19">
        <f>SUMIFS('FTE Scorecard'!$F:$F,'FTE Scorecard'!$A:$A,"Total AP FTEs*",'FTE Scorecard'!$D:$D,TRIM(MID($A17,4,10)),'FTE Scorecard'!$E:$E,$N$1)</f>
        <v>4.5</v>
      </c>
      <c r="H17" s="39"/>
      <c r="I17" s="19">
        <v>2.63</v>
      </c>
      <c r="J17" s="19">
        <v>1</v>
      </c>
      <c r="K17" s="19">
        <v>0.19035133717881489</v>
      </c>
      <c r="L17" s="19">
        <v>0.25</v>
      </c>
      <c r="M17" s="19">
        <v>0.4260607798165138</v>
      </c>
      <c r="N17" s="19">
        <f>+(SUM(I17:J17)-F17)</f>
        <v>4.63</v>
      </c>
      <c r="O17" s="17" t="str">
        <f t="shared" si="2"/>
        <v>Review</v>
      </c>
      <c r="P17" s="24"/>
    </row>
    <row r="18" spans="1:16" ht="7.05" customHeight="1" x14ac:dyDescent="0.3">
      <c r="A18" s="8"/>
      <c r="G18" s="9"/>
    </row>
    <row r="19" spans="1:16" ht="7.05" customHeight="1" x14ac:dyDescent="0.3">
      <c r="A19" s="5"/>
      <c r="B19" s="3"/>
      <c r="C19" s="3"/>
      <c r="D19" s="6"/>
      <c r="E19" s="6"/>
      <c r="F19" s="6"/>
      <c r="G19" s="7"/>
      <c r="H19" s="4"/>
    </row>
    <row r="20" spans="1:16" ht="19.95" customHeight="1" x14ac:dyDescent="0.3">
      <c r="A20" s="15" t="s">
        <v>233</v>
      </c>
      <c r="B20" s="16">
        <f>SUM(B21:B23)</f>
        <v>19</v>
      </c>
      <c r="C20" s="16">
        <f>+SUM(C21:C23)</f>
        <v>0</v>
      </c>
      <c r="D20" s="16">
        <f>+SUM(D21:D23)</f>
        <v>0</v>
      </c>
      <c r="E20" s="16">
        <f t="shared" ref="E20" si="4">+SUM(E21:E23)</f>
        <v>0</v>
      </c>
      <c r="F20" s="16">
        <f>+B20+C20-D20-E20</f>
        <v>19</v>
      </c>
      <c r="G20" s="16">
        <f>SUMIFS('FTE Scorecard'!$F:$F,'FTE Scorecard'!$A:$A,"Total AR FTEs*",'FTE Scorecard'!$E:$E,$N$1)</f>
        <v>23.1</v>
      </c>
      <c r="H20" s="10"/>
      <c r="I20" s="16"/>
      <c r="J20" s="16"/>
      <c r="K20" s="16"/>
      <c r="L20" s="16"/>
      <c r="M20" s="16"/>
      <c r="N20" s="16">
        <f>G20-F20</f>
        <v>4.1000000000000014</v>
      </c>
      <c r="O20" s="17" t="str">
        <f>IF(N(G20)=0,"",IF(ABS(N20)&lt;=0.02,"OK","Review"))</f>
        <v>Review</v>
      </c>
      <c r="P20" s="24"/>
    </row>
    <row r="21" spans="1:16" x14ac:dyDescent="0.3">
      <c r="A21" s="18" t="s">
        <v>359</v>
      </c>
      <c r="B21" s="19">
        <f>SUMIFS(Payroll!$I:$I,Payroll!$D:$D,$J$1,Payroll!$H:$H,"DSS",Payroll!$F:$F,"Q2C",Payroll!$J:$J,"Mejora")</f>
        <v>1</v>
      </c>
      <c r="C21" s="21"/>
      <c r="D21" s="21"/>
      <c r="E21" s="21"/>
      <c r="F21" s="16">
        <f>+B21+C21-D21-E21</f>
        <v>1</v>
      </c>
      <c r="G21" s="21">
        <v>1</v>
      </c>
      <c r="N21" s="16">
        <f>G21-F21</f>
        <v>0</v>
      </c>
      <c r="O21" s="17" t="str">
        <f>IF(N(G21)=0,"",IF(ABS(N21)&lt;=0.02,"OK","Review"))</f>
        <v>OK</v>
      </c>
    </row>
    <row r="22" spans="1:16" x14ac:dyDescent="0.3">
      <c r="A22" s="18" t="s">
        <v>360</v>
      </c>
      <c r="B22" s="19">
        <f>SUMIFS(Payroll!$I:$I,Payroll!$D:$D,$J$1,Payroll!$H:$H,"DSS",Payroll!$F:$F,"Q2C",Payroll!$G:$G,"Banking")</f>
        <v>2</v>
      </c>
      <c r="C22" s="21"/>
      <c r="D22" s="21"/>
      <c r="E22" s="21"/>
      <c r="F22" s="16">
        <f>+B22+C22-D22-E22</f>
        <v>2</v>
      </c>
      <c r="G22" s="19">
        <v>2</v>
      </c>
      <c r="N22" s="16">
        <f>G22-F22</f>
        <v>0</v>
      </c>
      <c r="O22" s="17" t="str">
        <f>IF(N(G22)=0,"",IF(ABS(N22)&lt;=0.02,"OK","Review"))</f>
        <v>OK</v>
      </c>
    </row>
    <row r="23" spans="1:16" x14ac:dyDescent="0.3">
      <c r="A23" s="18" t="s">
        <v>361</v>
      </c>
      <c r="B23" s="19">
        <f>SUMIFS(Payroll!$I:$I,Payroll!$D:$D,$J$1,Payroll!$H:$H,"DSS",Payroll!$F:$F,"Q2C")-B21-B22</f>
        <v>16</v>
      </c>
      <c r="C23" s="21"/>
      <c r="D23" s="21"/>
      <c r="E23" s="21"/>
      <c r="F23" s="16">
        <f>+B23+C23-D23-E23</f>
        <v>16</v>
      </c>
      <c r="G23" s="21">
        <v>16</v>
      </c>
      <c r="N23" s="16">
        <f>G23-F23</f>
        <v>0</v>
      </c>
      <c r="O23" s="17" t="str">
        <f>IF(N(G23)=0,"",IF(ABS(N23)&lt;=0.02,"OK","Review"))</f>
        <v>OK</v>
      </c>
    </row>
    <row r="24" spans="1:16" ht="7.05" customHeight="1" x14ac:dyDescent="0.3">
      <c r="A24" s="8"/>
      <c r="G24" s="9"/>
    </row>
    <row r="25" spans="1:16" ht="19.95" customHeight="1" x14ac:dyDescent="0.3">
      <c r="A25" s="15" t="s">
        <v>84</v>
      </c>
      <c r="B25" s="16">
        <f>SUM(B26:B28)</f>
        <v>25.625</v>
      </c>
      <c r="C25" s="16">
        <f>+SUM(C26:C28)</f>
        <v>1</v>
      </c>
      <c r="D25" s="16">
        <f t="shared" ref="D25:E25" si="5">+SUM(D26:D28)</f>
        <v>0</v>
      </c>
      <c r="E25" s="16">
        <f t="shared" si="5"/>
        <v>5</v>
      </c>
      <c r="F25" s="16">
        <f>+B25+C25-D25-E25</f>
        <v>21.625</v>
      </c>
      <c r="G25" s="16">
        <f>SUMIFS('FTE Scorecard'!$F:$F,'FTE Scorecard'!$A:$A,"Total R2R*",'FTE Scorecard'!$E:$E,$N$1)</f>
        <v>0</v>
      </c>
      <c r="H25" s="10"/>
      <c r="I25" s="16"/>
      <c r="J25" s="16"/>
      <c r="K25" s="16"/>
      <c r="L25" s="16"/>
      <c r="M25" s="16"/>
      <c r="N25" s="16">
        <f>G25-F25</f>
        <v>-21.625</v>
      </c>
      <c r="O25" s="17" t="str">
        <f>IF(N(G25)=0,"",IF(ABS(N25)&lt;=0.02,"OK","Review"))</f>
        <v/>
      </c>
      <c r="P25" s="24"/>
    </row>
    <row r="26" spans="1:16" x14ac:dyDescent="0.3">
      <c r="A26" s="18" t="s">
        <v>362</v>
      </c>
      <c r="B26" s="19">
        <f>SUMIFS(Payroll!$I:$I,Payroll!$D:$D,$J$1,Payroll!$H:$H,"DSS",Payroll!$F:$F,"R2R",Payroll!$J:$J,"Mejora")</f>
        <v>0</v>
      </c>
      <c r="C26" s="21"/>
      <c r="D26" s="21"/>
      <c r="E26" s="21"/>
      <c r="F26" s="16">
        <f>+B26+C26-D26-E26</f>
        <v>0</v>
      </c>
      <c r="G26" s="21">
        <v>0</v>
      </c>
      <c r="N26" s="16">
        <f>G26-F26</f>
        <v>0</v>
      </c>
      <c r="O26" s="17" t="str">
        <f>IF(N(G26)=0,"",IF(ABS(N26)&lt;=0.02,"OK","Review"))</f>
        <v/>
      </c>
    </row>
    <row r="27" spans="1:16" x14ac:dyDescent="0.3">
      <c r="A27" s="18" t="s">
        <v>363</v>
      </c>
      <c r="B27" s="19">
        <f>SUMIFS(Payroll!$I:$I,Payroll!$D:$D,$J$1,Payroll!$H:$H,"DSS",Payroll!$F:$F,"R2R",Payroll!$G:$G,"Banking")</f>
        <v>2</v>
      </c>
      <c r="C27" s="21"/>
      <c r="D27" s="21"/>
      <c r="E27" s="21"/>
      <c r="F27" s="16">
        <f>+B27+C27-D27-E27</f>
        <v>2</v>
      </c>
      <c r="G27" s="19">
        <v>2</v>
      </c>
      <c r="N27" s="16">
        <f>G27-F27</f>
        <v>0</v>
      </c>
      <c r="O27" s="17" t="str">
        <f>IF(N(G27)=0,"",IF(ABS(N27)&lt;=0.02,"OK","Review"))</f>
        <v>OK</v>
      </c>
    </row>
    <row r="28" spans="1:16" x14ac:dyDescent="0.3">
      <c r="A28" s="18" t="s">
        <v>364</v>
      </c>
      <c r="B28" s="19">
        <f>SUMIFS(Payroll!$I:$I,Payroll!$D:$D,$J$1,Payroll!$H:$H,"DSS",Payroll!$F:$F,"R2R")-B26-B27</f>
        <v>23.625</v>
      </c>
      <c r="C28" s="21">
        <v>1</v>
      </c>
      <c r="D28" s="21"/>
      <c r="E28" s="21">
        <v>5</v>
      </c>
      <c r="F28" s="16">
        <f>+B28+C28-D28-E28</f>
        <v>19.625</v>
      </c>
      <c r="G28" s="21">
        <v>18.75</v>
      </c>
      <c r="N28" s="16">
        <f>G28-F28</f>
        <v>-0.875</v>
      </c>
      <c r="O28" s="17" t="str">
        <f>IF(N(G28)=0,"",IF(ABS(N28)&lt;=0.02,"OK","Review"))</f>
        <v>Review</v>
      </c>
    </row>
    <row r="29" spans="1:16" ht="7.05" customHeight="1" x14ac:dyDescent="0.3">
      <c r="A29" s="8"/>
      <c r="G29" s="9"/>
    </row>
    <row r="30" spans="1:16" ht="19.95" customHeight="1" x14ac:dyDescent="0.3">
      <c r="A30" s="15" t="s">
        <v>52</v>
      </c>
      <c r="B30" s="16">
        <f>SUMIFS(Payroll!$I:$I,Payroll!$D:$D,$J$1,Payroll!$H:$H,"DSS",Payroll!$F:$F,"HR")</f>
        <v>1</v>
      </c>
      <c r="C30" s="16"/>
      <c r="D30" s="16"/>
      <c r="E30" s="16"/>
      <c r="F30" s="16">
        <f>+B30+C30-D30-E30</f>
        <v>1</v>
      </c>
      <c r="G30" s="16">
        <v>1</v>
      </c>
      <c r="H30" s="10"/>
      <c r="I30" s="16"/>
      <c r="J30" s="16"/>
      <c r="K30" s="16"/>
      <c r="L30" s="16"/>
      <c r="M30" s="16"/>
      <c r="N30" s="16">
        <f>G30-F30</f>
        <v>0</v>
      </c>
      <c r="O30" s="17" t="str">
        <f>IF(N(G30)=0,"",IF(ABS(N30)&lt;=0.02,"OK","Review"))</f>
        <v>OK</v>
      </c>
      <c r="P30" s="24"/>
    </row>
    <row r="31" spans="1:16" ht="7.05" customHeight="1" x14ac:dyDescent="0.3">
      <c r="A31" s="8"/>
      <c r="G31" s="9"/>
    </row>
    <row r="32" spans="1:16" ht="19.95" customHeight="1" x14ac:dyDescent="0.3">
      <c r="A32" s="15" t="s">
        <v>235</v>
      </c>
      <c r="B32" s="16">
        <f>SUMIFS(Payroll!$I:$I,Payroll!$D:$D,$J$1,Payroll!$H:$H,"DSS",Payroll!$F:$F,"DM")</f>
        <v>3</v>
      </c>
      <c r="C32" s="16"/>
      <c r="D32" s="16"/>
      <c r="E32" s="16"/>
      <c r="F32" s="16">
        <f>+B32+C32-D32-E32</f>
        <v>3</v>
      </c>
      <c r="G32" s="16">
        <v>3</v>
      </c>
      <c r="H32" s="2"/>
      <c r="I32" s="16"/>
      <c r="J32" s="16"/>
      <c r="K32" s="16"/>
      <c r="L32" s="16"/>
      <c r="M32" s="16"/>
      <c r="N32" s="16">
        <f>G32-F32</f>
        <v>0</v>
      </c>
      <c r="O32" s="17" t="str">
        <f>IF(N(G32)=0,"",IF(ABS(N32)&lt;=0.02,"OK","Review"))</f>
        <v>OK</v>
      </c>
      <c r="P32" s="24"/>
    </row>
    <row r="33" spans="1:16" ht="7.05" customHeight="1" x14ac:dyDescent="0.3">
      <c r="A33" s="8"/>
      <c r="G33" s="9"/>
    </row>
    <row r="34" spans="1:16" ht="19.95" customHeight="1" thickBot="1" x14ac:dyDescent="0.35">
      <c r="A34" s="15" t="s">
        <v>250</v>
      </c>
      <c r="B34" s="16">
        <f>B3+B20+B25+B30+B32</f>
        <v>62.9375</v>
      </c>
      <c r="C34" s="16">
        <f>C3+C20+C25+C30+C32</f>
        <v>3</v>
      </c>
      <c r="D34" s="16">
        <f>D3+D20+D25+D30+D32</f>
        <v>3</v>
      </c>
      <c r="E34" s="16">
        <f>E3+E20+E25+E30+E32</f>
        <v>6.8</v>
      </c>
      <c r="F34" s="16">
        <f>+B34+C34-D34-E34</f>
        <v>56.137500000000003</v>
      </c>
      <c r="G34" s="16">
        <f>+G3+G20+G25+G30+G32</f>
        <v>77.17</v>
      </c>
      <c r="I34" s="16"/>
      <c r="J34" s="16"/>
      <c r="K34" s="16"/>
      <c r="L34" s="16"/>
      <c r="M34" s="16"/>
      <c r="N34" s="16">
        <f>G34-F34</f>
        <v>21.032499999999999</v>
      </c>
      <c r="O34" s="17" t="str">
        <f>IF(N(G34)=0,"",IF(ABS(N34)&lt;=0.02,"OK","Review"))</f>
        <v>Review</v>
      </c>
      <c r="P34" s="24"/>
    </row>
    <row r="35" spans="1:16" ht="19.95" customHeight="1" x14ac:dyDescent="0.3">
      <c r="A35" s="18" t="s">
        <v>251</v>
      </c>
      <c r="B35" s="19">
        <f>SUMIFS(Payroll!$I:$I,Payroll!$D:$D,$J$1,Payroll!$H:$H,"DSS",Payroll!$F:$F,"OoS")</f>
        <v>0</v>
      </c>
      <c r="C35" s="19"/>
      <c r="D35" s="19"/>
      <c r="E35" s="19"/>
      <c r="F35" s="19"/>
      <c r="G35" s="19"/>
      <c r="I35" s="19"/>
      <c r="J35" s="19"/>
      <c r="K35" s="19"/>
      <c r="L35" s="19"/>
      <c r="M35" s="19"/>
      <c r="N35" s="19"/>
      <c r="O35" s="19"/>
      <c r="P35" s="24"/>
    </row>
    <row r="36" spans="1:16" ht="19.95" customHeight="1" x14ac:dyDescent="0.3">
      <c r="A36" s="22" t="s">
        <v>252</v>
      </c>
      <c r="B36" s="23">
        <f>SUMIFS(Payroll!$I:$I,Payroll!$D:$D,$J$1,Payroll!$H:$H,"DSS")</f>
        <v>104.375</v>
      </c>
      <c r="C36" s="23"/>
      <c r="D36" s="23"/>
      <c r="E36" s="23"/>
      <c r="F36" s="23"/>
      <c r="G36" s="23"/>
      <c r="I36" s="23"/>
      <c r="J36" s="23"/>
      <c r="K36" s="23"/>
      <c r="L36" s="23"/>
      <c r="M36" s="23"/>
      <c r="N36" s="23"/>
      <c r="O36" s="23"/>
      <c r="P36" s="23"/>
    </row>
    <row r="37" spans="1:16" ht="19.95" customHeight="1" x14ac:dyDescent="0.3">
      <c r="A37" s="15" t="s">
        <v>253</v>
      </c>
      <c r="B37" s="16">
        <f>B36-B34-B35</f>
        <v>41.4375</v>
      </c>
      <c r="C37" s="16"/>
      <c r="D37" s="16"/>
      <c r="E37" s="16"/>
      <c r="F37" s="16"/>
      <c r="G37" s="16"/>
      <c r="I37" s="16"/>
      <c r="J37" s="16"/>
      <c r="K37" s="16"/>
      <c r="L37" s="16"/>
      <c r="M37" s="16"/>
      <c r="N37" s="16"/>
      <c r="O37" s="17" t="str">
        <f>IF(ABS(B37)&lt;=0.02,"OK","Review")</f>
        <v>Review</v>
      </c>
      <c r="P37" s="24"/>
    </row>
    <row r="39" spans="1:16" x14ac:dyDescent="0.3">
      <c r="A39" s="41" t="str">
        <f>"Payroll rows in use: "&amp;TEXT(COUNTA(Payroll!$D:$D)-1,"#,##0")&amp;IF(COUNTA(Payroll!$D:$D)-1&gt;4999,"   ⚠ Beyond row 5000: drag column K of Payroll further down.","   ·  DSS "&amp;TEXT(SUMIFS(Payroll!$I:$I,Payroll!$D:$D,$J$1,Payroll!$H:$H,"DSS"),"#,##0.00")&amp;"  +  IP "&amp;TEXT(SUMIFS(Payroll!$I:$I,Payroll!$D:$D,$J$1,Payroll!$H:$H,"IP"),"#,##0.00")&amp;"  +  other business "&amp;TEXT(SUMIFS(Payroll!$I:$I,Payroll!$D:$D,$J$1)-SUMIFS(Payroll!$I:$I,Payroll!$D:$D,$J$1,Payroll!$H:$H,"DSS")-SUMIFS(Payroll!$I:$I,Payroll!$D:$D,$J$1,Payroll!$H:$H,"IP"),"#,##0.00")&amp;"  =  "&amp;TEXT(SUMIFS(Payroll!$I:$I,Payroll!$D:$D,$J$1),"#,##0.00")&amp;"   ·  unmapped: "&amp;TEXT(COUNTIF(Payroll!$K:$K,"(unmapped)"),"0"))</f>
        <v>Payroll rows in use: 180,0   ·  DSS 104,37500  +  IP 65,47500  +  other business 3,000  =  172,85000   ·  unmapped: 0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</sheetData>
  <mergeCells count="3">
    <mergeCell ref="H3:H17"/>
    <mergeCell ref="A1:G1"/>
    <mergeCell ref="A39:M39"/>
  </mergeCells>
  <conditionalFormatting sqref="N3:N37">
    <cfRule type="expression" dxfId="10" priority="3" stopIfTrue="1">
      <formula>AND(N3&lt;&gt;"",ABS(N3)&lt;=0.02)</formula>
    </cfRule>
    <cfRule type="expression" dxfId="9" priority="4">
      <formula>AND(N3&lt;&gt;"",ABS(N3)&gt;0.02)</formula>
    </cfRule>
  </conditionalFormatting>
  <conditionalFormatting sqref="O3:O12 O15:O37">
    <cfRule type="expression" dxfId="8" priority="6" stopIfTrue="1">
      <formula>EXACT(O3,"OK")</formula>
    </cfRule>
    <cfRule type="expression" dxfId="7" priority="7">
      <formula>EXACT(O3,"Review")</formula>
    </cfRule>
  </conditionalFormatting>
  <conditionalFormatting sqref="O13:O14">
    <cfRule type="expression" dxfId="6" priority="1" stopIfTrue="1">
      <formula>AND(O13&lt;&gt;"",ABS(O13)&lt;=0.02)</formula>
    </cfRule>
    <cfRule type="expression" dxfId="5" priority="2">
      <formula>AND(O13&lt;&gt;"",ABS(O13)&gt;0.02)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showGridLines="0" workbookViewId="0">
      <selection activeCell="F2" sqref="F2"/>
    </sheetView>
  </sheetViews>
  <sheetFormatPr baseColWidth="10" defaultColWidth="8.88671875" defaultRowHeight="14.4" x14ac:dyDescent="0.3"/>
  <cols>
    <col min="1" max="1" width="24" customWidth="1"/>
    <col min="2" max="2" width="14" customWidth="1"/>
    <col min="3" max="6" width="11.44140625" customWidth="1"/>
    <col min="7" max="7" width="14" customWidth="1"/>
    <col min="8" max="13" width="11" customWidth="1"/>
    <col min="14" max="14" width="12" customWidth="1"/>
    <col min="15" max="15" width="11" customWidth="1"/>
    <col min="16" max="16" width="46" customWidth="1"/>
  </cols>
  <sheetData>
    <row r="1" spans="1:10" ht="18" x14ac:dyDescent="0.3">
      <c r="A1" s="35" t="s">
        <v>254</v>
      </c>
      <c r="B1" s="35"/>
      <c r="C1" s="35"/>
      <c r="D1" s="11" t="s">
        <v>241</v>
      </c>
      <c r="E1" s="11"/>
      <c r="F1" s="13" t="s">
        <v>380</v>
      </c>
      <c r="G1" s="11" t="s">
        <v>242</v>
      </c>
      <c r="H1" s="13">
        <v>2026</v>
      </c>
      <c r="I1" s="11" t="s">
        <v>243</v>
      </c>
      <c r="J1" s="12" t="str">
        <f>"01/"&amp;RIGHT($F$1,2)&amp;"/"&amp;$H$1</f>
        <v>01/09/2026</v>
      </c>
    </row>
    <row r="2" spans="1:10" x14ac:dyDescent="0.3">
      <c r="A2" s="14" t="s">
        <v>244</v>
      </c>
      <c r="B2" s="14" t="s">
        <v>255</v>
      </c>
      <c r="C2" s="14" t="s">
        <v>219</v>
      </c>
      <c r="D2" s="14" t="s">
        <v>220</v>
      </c>
      <c r="E2" s="14" t="s">
        <v>221</v>
      </c>
      <c r="F2" s="14" t="s">
        <v>351</v>
      </c>
      <c r="G2" s="14" t="s">
        <v>234</v>
      </c>
      <c r="H2" s="14" t="s">
        <v>245</v>
      </c>
      <c r="I2" s="14" t="s">
        <v>246</v>
      </c>
      <c r="J2" s="14" t="s">
        <v>247</v>
      </c>
    </row>
    <row r="3" spans="1:10" x14ac:dyDescent="0.3">
      <c r="A3" s="15" t="s">
        <v>118</v>
      </c>
      <c r="B3" s="16">
        <f>SUM(B4:B9)</f>
        <v>23.8</v>
      </c>
      <c r="C3" s="16"/>
      <c r="D3" s="16"/>
      <c r="E3" s="16"/>
      <c r="F3" s="16">
        <f>+B3+C3-D3-E3</f>
        <v>23.8</v>
      </c>
      <c r="G3" s="16">
        <f t="shared" ref="G3:G9" si="0">+B3</f>
        <v>23.8</v>
      </c>
      <c r="H3" s="16">
        <f>+G3-F3</f>
        <v>0</v>
      </c>
      <c r="I3" s="17" t="str">
        <f t="shared" ref="I3:I9" si="1">IF(N(G3)=0,"",IF(ABS(H3)&lt;=0.02,"OK","Review"))</f>
        <v>OK</v>
      </c>
      <c r="J3" s="24"/>
    </row>
    <row r="4" spans="1:10" x14ac:dyDescent="0.3">
      <c r="A4" s="18" t="s">
        <v>224</v>
      </c>
      <c r="B4" s="19">
        <f>SUMIFS(Payroll!$I:$I,Payroll!$D:$D,$F$1,Payroll!$H:$H,"IP",Payroll!$F:$F,"P2P*",Payroll!$K:$K,$A4)</f>
        <v>7</v>
      </c>
      <c r="C4" s="19"/>
      <c r="D4" s="19"/>
      <c r="E4" s="19"/>
      <c r="F4" s="16">
        <f t="shared" ref="F4:F27" si="2">+B4+C4-D4-E4</f>
        <v>7</v>
      </c>
      <c r="G4" s="19">
        <f t="shared" si="0"/>
        <v>7</v>
      </c>
      <c r="H4" s="16">
        <f t="shared" ref="H4:H23" si="3">+G4-F4</f>
        <v>0</v>
      </c>
      <c r="I4" s="19" t="str">
        <f t="shared" si="1"/>
        <v>OK</v>
      </c>
      <c r="J4" s="24"/>
    </row>
    <row r="5" spans="1:10" x14ac:dyDescent="0.3">
      <c r="A5" s="18" t="s">
        <v>223</v>
      </c>
      <c r="B5" s="19">
        <f>SUMIFS(Payroll!$I:$I,Payroll!$D:$D,$F$1,Payroll!$H:$H,"IP",Payroll!$F:$F,"P2P*",Payroll!$K:$K,$A5)</f>
        <v>1.8</v>
      </c>
      <c r="C5" s="19"/>
      <c r="D5" s="19"/>
      <c r="E5" s="19"/>
      <c r="F5" s="16">
        <f t="shared" si="2"/>
        <v>1.8</v>
      </c>
      <c r="G5" s="19">
        <f t="shared" si="0"/>
        <v>1.8</v>
      </c>
      <c r="H5" s="16">
        <f t="shared" si="3"/>
        <v>0</v>
      </c>
      <c r="I5" s="19" t="str">
        <f t="shared" si="1"/>
        <v>OK</v>
      </c>
      <c r="J5" s="24"/>
    </row>
    <row r="6" spans="1:10" x14ac:dyDescent="0.3">
      <c r="A6" s="18" t="s">
        <v>228</v>
      </c>
      <c r="B6" s="19">
        <f>SUMIFS(Payroll!$I:$I,Payroll!$D:$D,$F$1,Payroll!$H:$H,"IP",Payroll!$F:$F,"P2P*",Payroll!$K:$K,$A6)</f>
        <v>4</v>
      </c>
      <c r="C6" s="19"/>
      <c r="D6" s="19"/>
      <c r="E6" s="19"/>
      <c r="F6" s="16">
        <f t="shared" si="2"/>
        <v>4</v>
      </c>
      <c r="G6" s="19">
        <f t="shared" si="0"/>
        <v>4</v>
      </c>
      <c r="H6" s="16">
        <f t="shared" si="3"/>
        <v>0</v>
      </c>
      <c r="I6" s="19" t="str">
        <f t="shared" si="1"/>
        <v>OK</v>
      </c>
      <c r="J6" s="24"/>
    </row>
    <row r="7" spans="1:10" x14ac:dyDescent="0.3">
      <c r="A7" s="18" t="s">
        <v>353</v>
      </c>
      <c r="B7" s="19">
        <f>SUMIFS(Payroll!$I:$I,Payroll!$D:$D,$F$1,Payroll!$H:$H,"IP",Payroll!$F:$F,"P2P*",Payroll!$K:$K,$A7)</f>
        <v>7</v>
      </c>
      <c r="C7" s="19"/>
      <c r="D7" s="19"/>
      <c r="E7" s="19"/>
      <c r="F7" s="16">
        <f t="shared" si="2"/>
        <v>7</v>
      </c>
      <c r="G7" s="19">
        <f t="shared" si="0"/>
        <v>7</v>
      </c>
      <c r="H7" s="16">
        <f t="shared" si="3"/>
        <v>0</v>
      </c>
      <c r="I7" s="19" t="str">
        <f t="shared" si="1"/>
        <v>OK</v>
      </c>
      <c r="J7" s="24"/>
    </row>
    <row r="8" spans="1:10" x14ac:dyDescent="0.3">
      <c r="A8" s="18" t="s">
        <v>231</v>
      </c>
      <c r="B8" s="19">
        <f>SUMIFS(Payroll!$I:$I,Payroll!$D:$D,$F$1,Payroll!$H:$H,"IP",Payroll!$F:$F,"P2P*",Payroll!$K:$K,$A8)</f>
        <v>1</v>
      </c>
      <c r="C8" s="19"/>
      <c r="D8" s="19"/>
      <c r="E8" s="19"/>
      <c r="F8" s="16">
        <f t="shared" si="2"/>
        <v>1</v>
      </c>
      <c r="G8" s="19">
        <f t="shared" si="0"/>
        <v>1</v>
      </c>
      <c r="H8" s="16">
        <f t="shared" si="3"/>
        <v>0</v>
      </c>
      <c r="I8" s="19" t="str">
        <f t="shared" si="1"/>
        <v>OK</v>
      </c>
      <c r="J8" s="24"/>
    </row>
    <row r="9" spans="1:10" x14ac:dyDescent="0.3">
      <c r="A9" s="18" t="s">
        <v>59</v>
      </c>
      <c r="B9" s="19">
        <f>SUMIFS(Payroll!$I:$I,Payroll!$D:$D,$F$1,Payroll!$H:$H,"IP",Payroll!$F:$F,"P2P*",Payroll!$K:$K,$A9)</f>
        <v>3</v>
      </c>
      <c r="C9" s="19"/>
      <c r="D9" s="19"/>
      <c r="E9" s="19"/>
      <c r="F9" s="16">
        <f t="shared" si="2"/>
        <v>3</v>
      </c>
      <c r="G9" s="19">
        <f t="shared" si="0"/>
        <v>3</v>
      </c>
      <c r="H9" s="16">
        <f t="shared" si="3"/>
        <v>0</v>
      </c>
      <c r="I9" s="19" t="str">
        <f t="shared" si="1"/>
        <v>OK</v>
      </c>
      <c r="J9" s="24"/>
    </row>
    <row r="11" spans="1:10" x14ac:dyDescent="0.3">
      <c r="A11" s="15" t="s">
        <v>233</v>
      </c>
      <c r="B11" s="16">
        <f>SUM(B12:B16)</f>
        <v>18.675000000000001</v>
      </c>
      <c r="C11" s="16"/>
      <c r="D11" s="16"/>
      <c r="E11" s="16"/>
      <c r="F11" s="16">
        <f t="shared" si="2"/>
        <v>18.675000000000001</v>
      </c>
      <c r="G11" s="16">
        <f t="shared" ref="G11:G16" si="4">+B11</f>
        <v>18.675000000000001</v>
      </c>
      <c r="H11" s="16">
        <f t="shared" si="3"/>
        <v>0</v>
      </c>
      <c r="I11" s="17" t="str">
        <f>IF(N(G11)=0,"",IF(ABS(H11)&lt;=0.02,"OK","Review"))</f>
        <v>OK</v>
      </c>
      <c r="J11" s="24"/>
    </row>
    <row r="12" spans="1:10" x14ac:dyDescent="0.3">
      <c r="A12" s="18" t="s">
        <v>365</v>
      </c>
      <c r="B12" s="19">
        <f>SUMIFS(Payroll!$I:$I,Payroll!$D:$D,$F$1,Payroll!$H:$H,"IP",Payroll!$K:$K,$A12)</f>
        <v>13.675000000000001</v>
      </c>
      <c r="C12" s="19"/>
      <c r="D12" s="19"/>
      <c r="E12" s="19"/>
      <c r="F12" s="16">
        <f t="shared" si="2"/>
        <v>13.675000000000001</v>
      </c>
      <c r="G12" s="19">
        <f t="shared" si="4"/>
        <v>13.675000000000001</v>
      </c>
      <c r="H12" s="16">
        <f t="shared" si="3"/>
        <v>0</v>
      </c>
      <c r="I12" s="19" t="str">
        <f>IF(N(G12)=0,"",IF(ABS(H12)&lt;=0.02,"OK","Review"))</f>
        <v>OK</v>
      </c>
      <c r="J12" s="24"/>
    </row>
    <row r="13" spans="1:10" x14ac:dyDescent="0.3">
      <c r="A13" s="18" t="s">
        <v>366</v>
      </c>
      <c r="B13" s="19">
        <f>SUMIFS(Payroll!$I:$I,Payroll!$D:$D,$F$1,Payroll!$H:$H,"IP",Payroll!$K:$K,$A13)</f>
        <v>0</v>
      </c>
      <c r="C13" s="19"/>
      <c r="D13" s="19"/>
      <c r="E13" s="19"/>
      <c r="F13" s="16">
        <f t="shared" si="2"/>
        <v>0</v>
      </c>
      <c r="G13" s="19">
        <f t="shared" si="4"/>
        <v>0</v>
      </c>
      <c r="H13" s="16">
        <f t="shared" si="3"/>
        <v>0</v>
      </c>
      <c r="I13" s="19" t="str">
        <f t="shared" ref="I13:I16" si="5">IF(N(G13)=0,"",IF(ABS(H13)&lt;=0.02,"OK","Review"))</f>
        <v/>
      </c>
      <c r="J13" s="24"/>
    </row>
    <row r="14" spans="1:10" x14ac:dyDescent="0.3">
      <c r="A14" s="18" t="s">
        <v>367</v>
      </c>
      <c r="B14" s="19">
        <f>SUMIFS(Payroll!$I:$I,Payroll!$D:$D,$F$1,Payroll!$H:$H,"IP",Payroll!$K:$K,$A14)</f>
        <v>1</v>
      </c>
      <c r="C14" s="19"/>
      <c r="D14" s="19"/>
      <c r="E14" s="19"/>
      <c r="F14" s="16">
        <f t="shared" si="2"/>
        <v>1</v>
      </c>
      <c r="G14" s="19">
        <f t="shared" si="4"/>
        <v>1</v>
      </c>
      <c r="H14" s="16">
        <f t="shared" si="3"/>
        <v>0</v>
      </c>
      <c r="I14" s="19" t="str">
        <f t="shared" si="5"/>
        <v>OK</v>
      </c>
      <c r="J14" s="24"/>
    </row>
    <row r="15" spans="1:10" x14ac:dyDescent="0.3">
      <c r="A15" s="18" t="s">
        <v>368</v>
      </c>
      <c r="B15" s="19">
        <f>SUMIFS(Payroll!$I:$I,Payroll!$D:$D,$F$1,Payroll!$H:$H,"IP",Payroll!$K:$K,$A15)</f>
        <v>0</v>
      </c>
      <c r="C15" s="19"/>
      <c r="D15" s="19"/>
      <c r="E15" s="19"/>
      <c r="F15" s="16">
        <f t="shared" si="2"/>
        <v>0</v>
      </c>
      <c r="G15" s="19">
        <f t="shared" si="4"/>
        <v>0</v>
      </c>
      <c r="H15" s="16">
        <f t="shared" si="3"/>
        <v>0</v>
      </c>
      <c r="I15" s="19" t="str">
        <f t="shared" si="5"/>
        <v/>
      </c>
      <c r="J15" s="24"/>
    </row>
    <row r="16" spans="1:10" x14ac:dyDescent="0.3">
      <c r="A16" s="18" t="s">
        <v>360</v>
      </c>
      <c r="B16" s="19">
        <f>SUMIFS(Payroll!$I:$I,Payroll!$D:$D,$F$1,Payroll!$H:$H,"IP",Payroll!$K:$K,$A16)</f>
        <v>4</v>
      </c>
      <c r="C16" s="19"/>
      <c r="D16" s="19"/>
      <c r="E16" s="19"/>
      <c r="F16" s="16">
        <f t="shared" si="2"/>
        <v>4</v>
      </c>
      <c r="G16" s="19">
        <f t="shared" si="4"/>
        <v>4</v>
      </c>
      <c r="H16" s="16">
        <f t="shared" si="3"/>
        <v>0</v>
      </c>
      <c r="I16" s="19" t="str">
        <f t="shared" si="5"/>
        <v>OK</v>
      </c>
      <c r="J16" s="24"/>
    </row>
    <row r="17" spans="1:10" x14ac:dyDescent="0.3">
      <c r="A17" s="18"/>
    </row>
    <row r="18" spans="1:10" x14ac:dyDescent="0.3">
      <c r="A18" s="15" t="s">
        <v>84</v>
      </c>
      <c r="B18" s="16">
        <f>SUM(B19:B23)</f>
        <v>21</v>
      </c>
      <c r="C18" s="16"/>
      <c r="D18" s="16"/>
      <c r="E18" s="16"/>
      <c r="F18" s="16">
        <f t="shared" si="2"/>
        <v>21</v>
      </c>
      <c r="G18" s="16">
        <f t="shared" ref="G18:G23" si="6">+B18</f>
        <v>21</v>
      </c>
      <c r="H18" s="16">
        <f t="shared" si="3"/>
        <v>0</v>
      </c>
      <c r="I18" s="17" t="str">
        <f>IF(N(G18)=0,"",IF(ABS(H18)&lt;=0.02,"OK","Review"))</f>
        <v>OK</v>
      </c>
      <c r="J18" s="24"/>
    </row>
    <row r="19" spans="1:10" x14ac:dyDescent="0.3">
      <c r="A19" s="18" t="s">
        <v>369</v>
      </c>
      <c r="B19" s="19">
        <f>SUMIFS(Payroll!$I:$I,Payroll!$D:$D,$F$1,Payroll!$H:$H,"IP",Payroll!$K:$K,$A19)</f>
        <v>19</v>
      </c>
      <c r="C19" s="19"/>
      <c r="D19" s="19"/>
      <c r="E19" s="19"/>
      <c r="F19" s="16">
        <f t="shared" si="2"/>
        <v>19</v>
      </c>
      <c r="G19" s="19">
        <f t="shared" si="6"/>
        <v>19</v>
      </c>
      <c r="H19" s="16">
        <f t="shared" si="3"/>
        <v>0</v>
      </c>
      <c r="I19" s="19" t="str">
        <f>IF(N(G19)=0,"",IF(ABS(H19)&lt;=0.02,"OK","Review"))</f>
        <v>OK</v>
      </c>
      <c r="J19" s="24"/>
    </row>
    <row r="20" spans="1:10" x14ac:dyDescent="0.3">
      <c r="A20" s="18" t="s">
        <v>370</v>
      </c>
      <c r="B20" s="19">
        <f>SUMIFS(Payroll!$I:$I,Payroll!$D:$D,$F$1,Payroll!$H:$H,"IP",Payroll!$K:$K,$A20)</f>
        <v>0</v>
      </c>
      <c r="C20" s="19"/>
      <c r="D20" s="19"/>
      <c r="E20" s="19"/>
      <c r="F20" s="16">
        <f t="shared" si="2"/>
        <v>0</v>
      </c>
      <c r="G20" s="19">
        <f t="shared" si="6"/>
        <v>0</v>
      </c>
      <c r="H20" s="16">
        <f t="shared" si="3"/>
        <v>0</v>
      </c>
      <c r="I20" s="19" t="str">
        <f t="shared" ref="I20:I22" si="7">IF(N(G20)=0,"",IF(ABS(H20)&lt;=0.02,"OK","Review"))</f>
        <v/>
      </c>
      <c r="J20" s="24"/>
    </row>
    <row r="21" spans="1:10" x14ac:dyDescent="0.3">
      <c r="A21" s="18" t="s">
        <v>371</v>
      </c>
      <c r="B21" s="19">
        <f>SUMIFS(Payroll!$I:$I,Payroll!$D:$D,$F$1,Payroll!$H:$H,"IP",Payroll!$K:$K,$A21)</f>
        <v>0</v>
      </c>
      <c r="C21" s="19"/>
      <c r="D21" s="19"/>
      <c r="E21" s="19"/>
      <c r="F21" s="16">
        <f t="shared" si="2"/>
        <v>0</v>
      </c>
      <c r="G21" s="19">
        <f t="shared" si="6"/>
        <v>0</v>
      </c>
      <c r="H21" s="16">
        <f t="shared" si="3"/>
        <v>0</v>
      </c>
      <c r="I21" s="19" t="str">
        <f t="shared" si="7"/>
        <v/>
      </c>
      <c r="J21" s="24"/>
    </row>
    <row r="22" spans="1:10" x14ac:dyDescent="0.3">
      <c r="A22" s="18" t="s">
        <v>372</v>
      </c>
      <c r="B22" s="19">
        <f>SUMIFS(Payroll!$I:$I,Payroll!$D:$D,$F$1,Payroll!$H:$H,"IP",Payroll!$K:$K,$A22)</f>
        <v>0</v>
      </c>
      <c r="C22" s="19"/>
      <c r="D22" s="19"/>
      <c r="E22" s="19"/>
      <c r="F22" s="16">
        <f t="shared" si="2"/>
        <v>0</v>
      </c>
      <c r="G22" s="19">
        <f t="shared" si="6"/>
        <v>0</v>
      </c>
      <c r="H22" s="16">
        <f t="shared" si="3"/>
        <v>0</v>
      </c>
      <c r="I22" s="19" t="str">
        <f t="shared" si="7"/>
        <v/>
      </c>
      <c r="J22" s="24"/>
    </row>
    <row r="23" spans="1:10" x14ac:dyDescent="0.3">
      <c r="A23" s="18" t="s">
        <v>363</v>
      </c>
      <c r="B23" s="19">
        <f>SUMIFS(Payroll!$I:$I,Payroll!$D:$D,$F$1,Payroll!$H:$H,"IP",Payroll!$K:$K,$A23)</f>
        <v>2</v>
      </c>
      <c r="C23" s="19"/>
      <c r="D23" s="19"/>
      <c r="E23" s="19"/>
      <c r="F23" s="16">
        <f t="shared" si="2"/>
        <v>2</v>
      </c>
      <c r="G23" s="19">
        <f t="shared" si="6"/>
        <v>2</v>
      </c>
      <c r="H23" s="16">
        <f t="shared" si="3"/>
        <v>0</v>
      </c>
      <c r="I23" s="19" t="str">
        <f>IF(N(G23)=0,"",IF(ABS(H23)&lt;=0.02,"OK","Review"))</f>
        <v>OK</v>
      </c>
      <c r="J23" s="24"/>
    </row>
    <row r="24" spans="1:10" x14ac:dyDescent="0.3">
      <c r="A24" s="18"/>
    </row>
    <row r="25" spans="1:10" x14ac:dyDescent="0.3">
      <c r="A25" s="15" t="s">
        <v>52</v>
      </c>
      <c r="B25" s="16">
        <f>SUMIFS(Payroll!$I:$I,Payroll!$D:$D,$F$1,Payroll!$H:$H,"IP",Payroll!$F:$F,"HR")</f>
        <v>1</v>
      </c>
      <c r="C25" s="16"/>
      <c r="D25" s="16"/>
      <c r="E25" s="16"/>
      <c r="F25" s="16">
        <f t="shared" si="2"/>
        <v>1</v>
      </c>
      <c r="G25" s="16">
        <f>+B25</f>
        <v>1</v>
      </c>
      <c r="H25" s="16">
        <f>+G25-B25</f>
        <v>0</v>
      </c>
      <c r="I25" s="17" t="str">
        <f>IF(N(G25)=0,"",IF(ABS(H25)&lt;=0.02,"OK","Review"))</f>
        <v>OK</v>
      </c>
      <c r="J25" s="24"/>
    </row>
    <row r="27" spans="1:10" x14ac:dyDescent="0.3">
      <c r="A27" s="15" t="s">
        <v>235</v>
      </c>
      <c r="B27" s="16">
        <f>SUMIFS(Payroll!$I:$I,Payroll!$D:$D,$F$1,Payroll!$H:$H,"IP",Payroll!$F:$F,"DM")</f>
        <v>0</v>
      </c>
      <c r="C27" s="16"/>
      <c r="D27" s="16"/>
      <c r="E27" s="16"/>
      <c r="F27" s="16">
        <f t="shared" si="2"/>
        <v>0</v>
      </c>
      <c r="G27" s="16">
        <f>+B27</f>
        <v>0</v>
      </c>
      <c r="H27" s="16">
        <f>+G27-B27</f>
        <v>0</v>
      </c>
      <c r="I27" s="19" t="str">
        <f>IF(N(G27)=0,"",IF(ABS(H27)&lt;=0.02,"OK","Review"))</f>
        <v/>
      </c>
      <c r="J27" s="24"/>
    </row>
    <row r="29" spans="1:10" x14ac:dyDescent="0.3">
      <c r="A29" s="15" t="s">
        <v>250</v>
      </c>
      <c r="B29" s="16">
        <f>B3+B11+B18+B25+B27</f>
        <v>64.474999999999994</v>
      </c>
      <c r="C29" s="16"/>
      <c r="D29" s="16"/>
      <c r="E29" s="16"/>
      <c r="F29" s="16">
        <f>F3+F11+F18+F25+F27</f>
        <v>64.474999999999994</v>
      </c>
      <c r="G29" s="16">
        <f>G3+G11+G18+G25+G27</f>
        <v>64.474999999999994</v>
      </c>
      <c r="H29" s="16">
        <f>+G29-B29</f>
        <v>0</v>
      </c>
      <c r="I29" s="17" t="str">
        <f>IF(N(G29)=0,"",IF(ABS(H29)&lt;=0.02,"OK","Review"))</f>
        <v>OK</v>
      </c>
      <c r="J29" s="24"/>
    </row>
    <row r="30" spans="1:10" ht="15" thickBot="1" x14ac:dyDescent="0.35">
      <c r="A30" s="18" t="s">
        <v>251</v>
      </c>
      <c r="B30" s="19">
        <f>SUMIFS(Payroll!$I:$I,Payroll!$D:$D,$F$1,Payroll!$H:$H,"IP",Payroll!$F:$F,"OoS")</f>
        <v>0</v>
      </c>
      <c r="C30" s="19"/>
      <c r="D30" s="19"/>
      <c r="E30" s="19"/>
      <c r="F30" s="19"/>
      <c r="G30" s="19"/>
      <c r="H30" s="19"/>
      <c r="I30" s="19"/>
      <c r="J30" s="24"/>
    </row>
    <row r="31" spans="1:10" x14ac:dyDescent="0.3">
      <c r="A31" s="22" t="s">
        <v>256</v>
      </c>
      <c r="B31" s="23">
        <f>SUMIFS(Payroll!$I:$I,Payroll!$D:$D,$F$1,Payroll!$H:$H,"IP")</f>
        <v>65.474999999999994</v>
      </c>
      <c r="C31" s="23"/>
      <c r="D31" s="23"/>
      <c r="E31" s="23"/>
      <c r="F31" s="23"/>
      <c r="G31" s="23"/>
      <c r="H31" s="23"/>
      <c r="I31" s="23"/>
      <c r="J31" s="23"/>
    </row>
    <row r="32" spans="1:10" x14ac:dyDescent="0.3">
      <c r="A32" s="15" t="s">
        <v>253</v>
      </c>
      <c r="B32" s="16">
        <f>B31-B29-B30</f>
        <v>1</v>
      </c>
      <c r="C32" s="16"/>
      <c r="D32" s="16"/>
      <c r="E32" s="16"/>
      <c r="F32" s="16"/>
      <c r="G32" s="16"/>
      <c r="H32" s="16"/>
      <c r="I32" s="17" t="str">
        <f>IF(ABS(B32)&lt;=0.02,"OK","Review")</f>
        <v>Review</v>
      </c>
      <c r="J32" s="24"/>
    </row>
    <row r="34" spans="1:13" x14ac:dyDescent="0.3">
      <c r="A34" s="41" t="str">
        <f>"Payroll "&amp;$F$1&amp;"   ·  DSS "&amp;TEXT(SUMIFS(Payroll!$I:$I,Payroll!$D:$D,$F$1,Payroll!$H:$H,"DSS"),"#,##0.00")&amp;"  +  IP "&amp;TEXT(SUMIFS(Payroll!$I:$I,Payroll!$D:$D,$F$1,Payroll!$H:$H,"IP"),"#,##0.00")&amp;"  +  other business "&amp;TEXT(SUMIFS(Payroll!$I:$I,Payroll!$D:$D,$F$1)-SUMIFS(Payroll!$I:$I,Payroll!$D:$D,$F$1,Payroll!$H:$H,"DSS")-SUMIFS(Payroll!$I:$I,Payroll!$D:$D,$F$1,Payroll!$H:$H,"IP"),"#,##0.00")&amp;"  =  "&amp;TEXT(SUMIFS(Payroll!$I:$I,Payroll!$D:$D,$F$1),"#,##0.00")&amp;"   ·  The IP Scorecard is not available yet: column F is a manual entry."</f>
        <v>Payroll AP09   ·  DSS 104,37500  +  IP 65,47500  +  other business 3,000  =  172,85000   ·  The IP Scorecard is not available yet: column F is a manual entry.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</sheetData>
  <mergeCells count="1">
    <mergeCell ref="A34:M34"/>
  </mergeCells>
  <conditionalFormatting sqref="H3:H32 N33:N34">
    <cfRule type="expression" dxfId="4" priority="1" stopIfTrue="1">
      <formula>AND(H3&lt;&gt;"",ABS(H3)&lt;=0.02)</formula>
    </cfRule>
    <cfRule type="expression" dxfId="3" priority="2">
      <formula>AND(H3&lt;&gt;"",ABS(H3)&gt;0.02)</formula>
    </cfRule>
  </conditionalFormatting>
  <conditionalFormatting sqref="I3:I32 O33:O34">
    <cfRule type="expression" dxfId="2" priority="3" stopIfTrue="1">
      <formula>EXACT(I3,"OK")</formula>
    </cfRule>
    <cfRule type="expression" dxfId="1" priority="4">
      <formula>EXACT(I3,"Review")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79E3-6083-4544-BA30-A8380706B56D}">
  <dimension ref="A1:F26"/>
  <sheetViews>
    <sheetView workbookViewId="0">
      <selection activeCell="E9" sqref="E9"/>
    </sheetView>
  </sheetViews>
  <sheetFormatPr baseColWidth="10" defaultRowHeight="14.4" x14ac:dyDescent="0.3"/>
  <cols>
    <col min="1" max="1" width="51.33203125" bestFit="1" customWidth="1"/>
    <col min="2" max="2" width="19" bestFit="1" customWidth="1"/>
    <col min="3" max="3" width="15.44140625" bestFit="1" customWidth="1"/>
    <col min="4" max="4" width="9.109375" bestFit="1" customWidth="1"/>
    <col min="5" max="5" width="10.5546875" bestFit="1" customWidth="1"/>
    <col min="6" max="6" width="12" bestFit="1" customWidth="1"/>
    <col min="7" max="7" width="6.6640625" bestFit="1" customWidth="1"/>
    <col min="8" max="8" width="10.5546875" bestFit="1" customWidth="1"/>
    <col min="9" max="9" width="12" customWidth="1"/>
  </cols>
  <sheetData>
    <row r="1" spans="1:6" x14ac:dyDescent="0.3">
      <c r="A1" t="s">
        <v>11</v>
      </c>
      <c r="B1" t="s">
        <v>218</v>
      </c>
      <c r="C1" t="s">
        <v>217</v>
      </c>
      <c r="D1" t="s">
        <v>41</v>
      </c>
      <c r="E1" t="s">
        <v>37</v>
      </c>
      <c r="F1" t="s">
        <v>38</v>
      </c>
    </row>
    <row r="2" spans="1:6" x14ac:dyDescent="0.3">
      <c r="A2" t="s">
        <v>12</v>
      </c>
      <c r="B2" t="s">
        <v>20</v>
      </c>
      <c r="C2" t="s">
        <v>0</v>
      </c>
      <c r="D2" t="s">
        <v>0</v>
      </c>
      <c r="E2" s="36" t="s">
        <v>378</v>
      </c>
      <c r="F2">
        <v>4.32</v>
      </c>
    </row>
    <row r="3" spans="1:6" x14ac:dyDescent="0.3">
      <c r="A3" t="s">
        <v>12</v>
      </c>
      <c r="B3" t="s">
        <v>34</v>
      </c>
      <c r="C3" t="s">
        <v>1</v>
      </c>
      <c r="D3" t="s">
        <v>1</v>
      </c>
      <c r="E3" s="36" t="s">
        <v>378</v>
      </c>
      <c r="F3">
        <v>9.0299999999999994</v>
      </c>
    </row>
    <row r="4" spans="1:6" x14ac:dyDescent="0.3">
      <c r="A4" t="s">
        <v>12</v>
      </c>
      <c r="B4" t="s">
        <v>22</v>
      </c>
      <c r="C4" t="s">
        <v>3</v>
      </c>
      <c r="D4" t="s">
        <v>3</v>
      </c>
      <c r="E4" s="36" t="s">
        <v>378</v>
      </c>
      <c r="F4">
        <v>1.79</v>
      </c>
    </row>
    <row r="5" spans="1:6" x14ac:dyDescent="0.3">
      <c r="A5" t="s">
        <v>12</v>
      </c>
      <c r="B5" t="s">
        <v>23</v>
      </c>
      <c r="C5" t="s">
        <v>4</v>
      </c>
      <c r="D5" t="s">
        <v>4</v>
      </c>
      <c r="E5" s="36" t="s">
        <v>378</v>
      </c>
      <c r="F5">
        <v>2.0099999999999998</v>
      </c>
    </row>
    <row r="6" spans="1:6" x14ac:dyDescent="0.3">
      <c r="A6" t="s">
        <v>12</v>
      </c>
      <c r="B6" t="s">
        <v>24</v>
      </c>
      <c r="C6" t="s">
        <v>4</v>
      </c>
      <c r="D6" t="s">
        <v>4</v>
      </c>
      <c r="E6" s="36" t="s">
        <v>378</v>
      </c>
      <c r="F6">
        <v>2.88</v>
      </c>
    </row>
    <row r="7" spans="1:6" x14ac:dyDescent="0.3">
      <c r="A7" t="s">
        <v>12</v>
      </c>
      <c r="B7" t="s">
        <v>25</v>
      </c>
      <c r="C7" t="s">
        <v>5</v>
      </c>
      <c r="D7" t="s">
        <v>5</v>
      </c>
      <c r="E7" s="36" t="s">
        <v>378</v>
      </c>
      <c r="F7">
        <v>1.75</v>
      </c>
    </row>
    <row r="8" spans="1:6" x14ac:dyDescent="0.3">
      <c r="A8" t="s">
        <v>12</v>
      </c>
      <c r="B8" t="s">
        <v>26</v>
      </c>
      <c r="C8" t="s">
        <v>6</v>
      </c>
      <c r="D8" t="s">
        <v>6</v>
      </c>
      <c r="E8" s="36" t="s">
        <v>378</v>
      </c>
      <c r="F8">
        <v>2</v>
      </c>
    </row>
    <row r="9" spans="1:6" x14ac:dyDescent="0.3">
      <c r="A9" t="s">
        <v>12</v>
      </c>
      <c r="B9" t="s">
        <v>27</v>
      </c>
      <c r="C9" t="s">
        <v>8</v>
      </c>
      <c r="D9" t="s">
        <v>8</v>
      </c>
      <c r="E9" s="36" t="s">
        <v>378</v>
      </c>
      <c r="F9">
        <v>4.5</v>
      </c>
    </row>
    <row r="10" spans="1:6" x14ac:dyDescent="0.3">
      <c r="A10" t="s">
        <v>12</v>
      </c>
      <c r="B10" t="s">
        <v>28</v>
      </c>
      <c r="C10" t="s">
        <v>7</v>
      </c>
      <c r="D10" t="s">
        <v>7</v>
      </c>
      <c r="E10" s="36" t="s">
        <v>378</v>
      </c>
      <c r="F10">
        <v>5.49</v>
      </c>
    </row>
    <row r="11" spans="1:6" x14ac:dyDescent="0.3">
      <c r="A11" t="s">
        <v>12</v>
      </c>
      <c r="B11" t="s">
        <v>29</v>
      </c>
      <c r="C11" t="s">
        <v>7</v>
      </c>
      <c r="D11" t="s">
        <v>7</v>
      </c>
      <c r="E11" s="36" t="s">
        <v>378</v>
      </c>
      <c r="F11">
        <v>1.88</v>
      </c>
    </row>
    <row r="12" spans="1:6" x14ac:dyDescent="0.3">
      <c r="A12" t="s">
        <v>12</v>
      </c>
      <c r="B12" t="s">
        <v>30</v>
      </c>
      <c r="C12" t="s">
        <v>7</v>
      </c>
      <c r="D12" t="s">
        <v>7</v>
      </c>
      <c r="E12" s="36" t="s">
        <v>378</v>
      </c>
      <c r="F12">
        <v>0.43</v>
      </c>
    </row>
    <row r="13" spans="1:6" x14ac:dyDescent="0.3">
      <c r="A13" t="s">
        <v>12</v>
      </c>
      <c r="B13" t="s">
        <v>33</v>
      </c>
      <c r="C13" t="s">
        <v>7</v>
      </c>
      <c r="D13" t="s">
        <v>7</v>
      </c>
      <c r="E13" s="36" t="s">
        <v>378</v>
      </c>
      <c r="F13">
        <v>2.2000000000000002</v>
      </c>
    </row>
    <row r="14" spans="1:6" x14ac:dyDescent="0.3">
      <c r="A14" t="s">
        <v>12</v>
      </c>
      <c r="B14" t="s">
        <v>13</v>
      </c>
      <c r="C14" t="s">
        <v>2</v>
      </c>
      <c r="D14" t="s">
        <v>2</v>
      </c>
      <c r="E14" s="36" t="s">
        <v>378</v>
      </c>
      <c r="F14">
        <v>0.61586367988175073</v>
      </c>
    </row>
    <row r="15" spans="1:6" x14ac:dyDescent="0.3">
      <c r="A15" t="s">
        <v>39</v>
      </c>
      <c r="B15" t="s">
        <v>13</v>
      </c>
      <c r="C15" t="s">
        <v>2</v>
      </c>
      <c r="D15" t="s">
        <v>2</v>
      </c>
      <c r="E15" s="36" t="s">
        <v>378</v>
      </c>
      <c r="F15">
        <v>3.86</v>
      </c>
    </row>
    <row r="16" spans="1:6" x14ac:dyDescent="0.3">
      <c r="A16" t="s">
        <v>12</v>
      </c>
      <c r="B16" t="s">
        <v>15</v>
      </c>
      <c r="C16" t="s">
        <v>2</v>
      </c>
      <c r="D16" t="s">
        <v>1</v>
      </c>
      <c r="E16" s="36" t="s">
        <v>378</v>
      </c>
      <c r="F16">
        <v>1.6</v>
      </c>
    </row>
    <row r="17" spans="1:6" x14ac:dyDescent="0.3">
      <c r="A17" t="s">
        <v>39</v>
      </c>
      <c r="B17" t="s">
        <v>15</v>
      </c>
      <c r="C17" t="s">
        <v>2</v>
      </c>
      <c r="D17" t="s">
        <v>1</v>
      </c>
      <c r="E17" s="36" t="s">
        <v>378</v>
      </c>
      <c r="F17">
        <v>1.33</v>
      </c>
    </row>
    <row r="18" spans="1:6" x14ac:dyDescent="0.3">
      <c r="A18" t="s">
        <v>12</v>
      </c>
      <c r="B18" t="s">
        <v>16</v>
      </c>
      <c r="C18" t="s">
        <v>2</v>
      </c>
      <c r="D18" t="s">
        <v>2</v>
      </c>
      <c r="E18" s="36" t="s">
        <v>378</v>
      </c>
      <c r="F18">
        <v>0.90537918673278384</v>
      </c>
    </row>
    <row r="19" spans="1:6" x14ac:dyDescent="0.3">
      <c r="A19" t="s">
        <v>39</v>
      </c>
      <c r="B19" t="s">
        <v>16</v>
      </c>
      <c r="C19" t="s">
        <v>2</v>
      </c>
      <c r="D19" t="s">
        <v>2</v>
      </c>
      <c r="E19" s="36" t="s">
        <v>378</v>
      </c>
      <c r="F19">
        <v>0.7</v>
      </c>
    </row>
    <row r="20" spans="1:6" x14ac:dyDescent="0.3">
      <c r="A20" t="s">
        <v>12</v>
      </c>
      <c r="B20" t="s">
        <v>17</v>
      </c>
      <c r="C20" t="s">
        <v>2</v>
      </c>
      <c r="D20" t="s">
        <v>2</v>
      </c>
      <c r="E20" s="36" t="s">
        <v>378</v>
      </c>
      <c r="F20">
        <v>1.7573980591569316</v>
      </c>
    </row>
    <row r="21" spans="1:6" x14ac:dyDescent="0.3">
      <c r="A21" t="s">
        <v>39</v>
      </c>
      <c r="B21" t="s">
        <v>17</v>
      </c>
      <c r="C21" t="s">
        <v>2</v>
      </c>
      <c r="D21" t="s">
        <v>2</v>
      </c>
      <c r="E21" s="36" t="s">
        <v>378</v>
      </c>
      <c r="F21">
        <v>6.84</v>
      </c>
    </row>
    <row r="22" spans="1:6" x14ac:dyDescent="0.3">
      <c r="A22" t="s">
        <v>12</v>
      </c>
      <c r="B22" t="s">
        <v>18</v>
      </c>
      <c r="C22" t="s">
        <v>2</v>
      </c>
      <c r="D22" t="s">
        <v>2</v>
      </c>
      <c r="E22" s="36" t="s">
        <v>378</v>
      </c>
      <c r="F22">
        <v>3.5012990689573602</v>
      </c>
    </row>
    <row r="23" spans="1:6" x14ac:dyDescent="0.3">
      <c r="A23" t="s">
        <v>39</v>
      </c>
      <c r="B23" t="s">
        <v>18</v>
      </c>
      <c r="C23" t="s">
        <v>2</v>
      </c>
      <c r="D23" t="s">
        <v>2</v>
      </c>
      <c r="E23" s="36" t="s">
        <v>378</v>
      </c>
      <c r="F23">
        <v>7.15</v>
      </c>
    </row>
    <row r="24" spans="1:6" x14ac:dyDescent="0.3">
      <c r="A24" t="s">
        <v>12</v>
      </c>
      <c r="B24" t="s">
        <v>19</v>
      </c>
      <c r="C24" t="s">
        <v>2</v>
      </c>
      <c r="D24" t="s">
        <v>9</v>
      </c>
      <c r="E24" s="36" t="s">
        <v>378</v>
      </c>
      <c r="F24">
        <v>3.4100600052711751</v>
      </c>
    </row>
    <row r="25" spans="1:6" x14ac:dyDescent="0.3">
      <c r="A25" t="s">
        <v>39</v>
      </c>
      <c r="B25" t="s">
        <v>19</v>
      </c>
      <c r="C25" t="s">
        <v>2</v>
      </c>
      <c r="D25" t="s">
        <v>9</v>
      </c>
      <c r="E25" s="36" t="s">
        <v>378</v>
      </c>
      <c r="F25">
        <v>3.22</v>
      </c>
    </row>
    <row r="26" spans="1:6" x14ac:dyDescent="0.3">
      <c r="A26" t="s">
        <v>12</v>
      </c>
      <c r="B26" t="s">
        <v>31</v>
      </c>
      <c r="C26" t="s">
        <v>9</v>
      </c>
      <c r="D26" t="s">
        <v>2</v>
      </c>
      <c r="E26" s="36" t="s">
        <v>378</v>
      </c>
      <c r="F26">
        <v>3.4100600052711751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0E5F-FBC3-46B8-A62D-240E47106600}">
  <dimension ref="A1:K5000"/>
  <sheetViews>
    <sheetView tabSelected="1" workbookViewId="0">
      <selection activeCell="F1" sqref="F1:F1048576"/>
    </sheetView>
  </sheetViews>
  <sheetFormatPr baseColWidth="10" defaultRowHeight="14.4" x14ac:dyDescent="0.3"/>
  <cols>
    <col min="1" max="1" width="13.44140625" bestFit="1" customWidth="1"/>
    <col min="2" max="2" width="9.77734375" bestFit="1" customWidth="1"/>
    <col min="3" max="3" width="38.44140625" bestFit="1" customWidth="1"/>
    <col min="4" max="4" width="7.6640625" bestFit="1" customWidth="1"/>
    <col min="5" max="5" width="7.6640625" customWidth="1"/>
  </cols>
  <sheetData>
    <row r="1" spans="1:11" ht="27.6" x14ac:dyDescent="0.3">
      <c r="A1" s="14" t="s">
        <v>321</v>
      </c>
      <c r="B1" s="14" t="s">
        <v>322</v>
      </c>
      <c r="C1" s="14" t="s">
        <v>323</v>
      </c>
      <c r="D1" s="14" t="s">
        <v>318</v>
      </c>
      <c r="E1" s="14" t="s">
        <v>40</v>
      </c>
      <c r="F1" s="14" t="s">
        <v>324</v>
      </c>
      <c r="G1" s="14" t="s">
        <v>325</v>
      </c>
      <c r="H1" s="14" t="s">
        <v>319</v>
      </c>
      <c r="I1" s="14" t="s">
        <v>38</v>
      </c>
      <c r="J1" s="14" t="s">
        <v>320</v>
      </c>
      <c r="K1" s="14" t="s">
        <v>326</v>
      </c>
    </row>
    <row r="2" spans="1:11" x14ac:dyDescent="0.3">
      <c r="A2" s="2" t="s">
        <v>42</v>
      </c>
      <c r="B2" t="s">
        <v>342</v>
      </c>
      <c r="C2" t="s">
        <v>343</v>
      </c>
      <c r="D2" t="s">
        <v>380</v>
      </c>
      <c r="E2">
        <v>2026</v>
      </c>
      <c r="F2" t="s">
        <v>57</v>
      </c>
      <c r="H2" t="s">
        <v>45</v>
      </c>
      <c r="I2">
        <v>1</v>
      </c>
      <c r="J2" t="s">
        <v>46</v>
      </c>
      <c r="K2" s="37" t="str">
        <f>IF($D2="","",IFERROR(INDEX(Mapping!$H$3:$H$32,MATCH($B2,Mapping!$G$3:$G$32,0)),IF(LEFT($F2,3)="P2P",IFERROR(INDEX(Mapping!$E$3:$E$6,MATCH($G2,Mapping!$D$3:$D$6,0)),IFERROR(INDEX(Mapping!$B$3:$B$13,MATCH($J2,Mapping!$A$3:$A$13,0)),"(unmapped)")),IFERROR(INDEX(Mapping!$B$17:$B$22,MATCH($F2,Mapping!$A$17:$A$22,0)),$F2)&amp;" "&amp;IF($G2="Banking","Banking",IFERROR(INDEX(Mapping!$E$17:$E$28,MATCH($J2,Mapping!$D$17:$D$28,0)),"(unmapped)")))))</f>
        <v>AR IB</v>
      </c>
    </row>
    <row r="3" spans="1:11" x14ac:dyDescent="0.3">
      <c r="A3" s="2" t="s">
        <v>42</v>
      </c>
      <c r="B3" t="s">
        <v>344</v>
      </c>
      <c r="C3" t="s">
        <v>345</v>
      </c>
      <c r="D3" t="s">
        <v>380</v>
      </c>
      <c r="E3">
        <v>2026</v>
      </c>
      <c r="F3" t="s">
        <v>57</v>
      </c>
      <c r="H3" t="s">
        <v>45</v>
      </c>
      <c r="I3">
        <v>1</v>
      </c>
      <c r="J3" t="s">
        <v>46</v>
      </c>
      <c r="K3" s="37" t="str">
        <f>IF($D3="","",IFERROR(INDEX(Mapping!$H$3:$H$32,MATCH($B3,Mapping!$G$3:$G$32,0)),IF(LEFT($F3,3)="P2P",IFERROR(INDEX(Mapping!$E$3:$E$6,MATCH($G3,Mapping!$D$3:$D$6,0)),IFERROR(INDEX(Mapping!$B$3:$B$13,MATCH($J3,Mapping!$A$3:$A$13,0)),"(unmapped)")),IFERROR(INDEX(Mapping!$B$17:$B$22,MATCH($F3,Mapping!$A$17:$A$22,0)),$F3)&amp;" "&amp;IF($G3="Banking","Banking",IFERROR(INDEX(Mapping!$E$17:$E$28,MATCH($J3,Mapping!$D$17:$D$28,0)),"(unmapped)")))))</f>
        <v>AR IB</v>
      </c>
    </row>
    <row r="4" spans="1:11" x14ac:dyDescent="0.3">
      <c r="A4" t="s">
        <v>58</v>
      </c>
      <c r="B4">
        <v>100122</v>
      </c>
      <c r="C4" t="s">
        <v>117</v>
      </c>
      <c r="D4" t="s">
        <v>380</v>
      </c>
      <c r="E4">
        <v>2026</v>
      </c>
      <c r="F4" t="s">
        <v>118</v>
      </c>
      <c r="H4" t="s">
        <v>45</v>
      </c>
      <c r="I4">
        <v>1</v>
      </c>
      <c r="J4" t="s">
        <v>46</v>
      </c>
      <c r="K4" s="37" t="str">
        <f>IF($D4="","",IFERROR(INDEX(Mapping!$H$3:$H$32,MATCH($B4,Mapping!$G$3:$G$32,0)),IF(LEFT($F4,3)="P2P",IFERROR(INDEX(Mapping!$E$3:$E$6,MATCH($G4,Mapping!$D$3:$D$6,0)),IFERROR(INDEX(Mapping!$B$3:$B$13,MATCH($J4,Mapping!$A$3:$A$13,0)),"(unmapped)")),IFERROR(INDEX(Mapping!$B$17:$B$22,MATCH($F4,Mapping!$A$17:$A$22,0)),$F4)&amp;" "&amp;IF($G4="Banking","Banking",IFERROR(INDEX(Mapping!$E$17:$E$28,MATCH($J4,Mapping!$D$17:$D$28,0)),"(unmapped)")))))</f>
        <v>AP IB</v>
      </c>
    </row>
    <row r="5" spans="1:11" x14ac:dyDescent="0.3">
      <c r="A5" t="s">
        <v>58</v>
      </c>
      <c r="B5">
        <v>100282</v>
      </c>
      <c r="C5" t="s">
        <v>119</v>
      </c>
      <c r="D5" t="s">
        <v>380</v>
      </c>
      <c r="E5">
        <v>2026</v>
      </c>
      <c r="F5" t="s">
        <v>118</v>
      </c>
      <c r="H5" t="s">
        <v>45</v>
      </c>
      <c r="I5">
        <v>1</v>
      </c>
      <c r="J5" t="s">
        <v>46</v>
      </c>
      <c r="K5" s="37" t="str">
        <f>IF($D5="","",IFERROR(INDEX(Mapping!$H$3:$H$32,MATCH($B5,Mapping!$G$3:$G$32,0)),IF(LEFT($F5,3)="P2P",IFERROR(INDEX(Mapping!$E$3:$E$6,MATCH($G5,Mapping!$D$3:$D$6,0)),IFERROR(INDEX(Mapping!$B$3:$B$13,MATCH($J5,Mapping!$A$3:$A$13,0)),"(unmapped)")),IFERROR(INDEX(Mapping!$B$17:$B$22,MATCH($F5,Mapping!$A$17:$A$22,0)),$F5)&amp;" "&amp;IF($G5="Banking","Banking",IFERROR(INDEX(Mapping!$E$17:$E$28,MATCH($J5,Mapping!$D$17:$D$28,0)),"(unmapped)")))))</f>
        <v>AP IB</v>
      </c>
    </row>
    <row r="6" spans="1:11" x14ac:dyDescent="0.3">
      <c r="A6" t="s">
        <v>58</v>
      </c>
      <c r="B6">
        <v>100386</v>
      </c>
      <c r="C6" t="s">
        <v>70</v>
      </c>
      <c r="D6" t="s">
        <v>380</v>
      </c>
      <c r="E6">
        <v>2026</v>
      </c>
      <c r="F6" t="s">
        <v>57</v>
      </c>
      <c r="H6" t="s">
        <v>45</v>
      </c>
      <c r="I6">
        <v>1</v>
      </c>
      <c r="J6" t="s">
        <v>46</v>
      </c>
      <c r="K6" s="37" t="str">
        <f>IF($D6="","",IFERROR(INDEX(Mapping!$H$3:$H$32,MATCH($B6,Mapping!$G$3:$G$32,0)),IF(LEFT($F6,3)="P2P",IFERROR(INDEX(Mapping!$E$3:$E$6,MATCH($G6,Mapping!$D$3:$D$6,0)),IFERROR(INDEX(Mapping!$B$3:$B$13,MATCH($J6,Mapping!$A$3:$A$13,0)),"(unmapped)")),IFERROR(INDEX(Mapping!$B$17:$B$22,MATCH($F6,Mapping!$A$17:$A$22,0)),$F6)&amp;" "&amp;IF($G6="Banking","Banking",IFERROR(INDEX(Mapping!$E$17:$E$28,MATCH($J6,Mapping!$D$17:$D$28,0)),"(unmapped)")))))</f>
        <v>AR IB</v>
      </c>
    </row>
    <row r="7" spans="1:11" x14ac:dyDescent="0.3">
      <c r="A7" t="s">
        <v>58</v>
      </c>
      <c r="B7">
        <v>100487</v>
      </c>
      <c r="C7" t="s">
        <v>120</v>
      </c>
      <c r="D7" t="s">
        <v>380</v>
      </c>
      <c r="E7">
        <v>2026</v>
      </c>
      <c r="F7" t="s">
        <v>381</v>
      </c>
      <c r="H7" t="s">
        <v>45</v>
      </c>
      <c r="I7">
        <v>1</v>
      </c>
      <c r="J7" t="s">
        <v>1</v>
      </c>
      <c r="K7" s="37" t="str">
        <f>IF($D7="","",IFERROR(INDEX(Mapping!$H$3:$H$32,MATCH($B7,Mapping!$G$3:$G$32,0)),IF(LEFT($F7,3)="P2P",IFERROR(INDEX(Mapping!$E$3:$E$6,MATCH($G7,Mapping!$D$3:$D$6,0)),IFERROR(INDEX(Mapping!$B$3:$B$13,MATCH($J7,Mapping!$A$3:$A$13,0)),"(unmapped)")),IFERROR(INDEX(Mapping!$B$17:$B$22,MATCH($F7,Mapping!$A$17:$A$22,0)),$F7)&amp;" "&amp;IF($G7="Banking","Banking",IFERROR(INDEX(Mapping!$E$17:$E$28,MATCH($J7,Mapping!$D$17:$D$28,0)),"(unmapped)")))))</f>
        <v>P2P Vuelta FR</v>
      </c>
    </row>
    <row r="8" spans="1:11" x14ac:dyDescent="0.3">
      <c r="A8" t="s">
        <v>58</v>
      </c>
      <c r="B8">
        <v>100511</v>
      </c>
      <c r="C8" t="s">
        <v>60</v>
      </c>
      <c r="D8" t="s">
        <v>380</v>
      </c>
      <c r="E8">
        <v>2026</v>
      </c>
      <c r="F8" t="s">
        <v>57</v>
      </c>
      <c r="H8" t="s">
        <v>45</v>
      </c>
      <c r="I8">
        <v>1</v>
      </c>
      <c r="J8" t="s">
        <v>46</v>
      </c>
      <c r="K8" s="37" t="str">
        <f>IF($D8="","",IFERROR(INDEX(Mapping!$H$3:$H$32,MATCH($B8,Mapping!$G$3:$G$32,0)),IF(LEFT($F8,3)="P2P",IFERROR(INDEX(Mapping!$E$3:$E$6,MATCH($G8,Mapping!$D$3:$D$6,0)),IFERROR(INDEX(Mapping!$B$3:$B$13,MATCH($J8,Mapping!$A$3:$A$13,0)),"(unmapped)")),IFERROR(INDEX(Mapping!$B$17:$B$22,MATCH($F8,Mapping!$A$17:$A$22,0)),$F8)&amp;" "&amp;IF($G8="Banking","Banking",IFERROR(INDEX(Mapping!$E$17:$E$28,MATCH($J8,Mapping!$D$17:$D$28,0)),"(unmapped)")))))</f>
        <v>AR IB</v>
      </c>
    </row>
    <row r="9" spans="1:11" x14ac:dyDescent="0.3">
      <c r="A9" t="s">
        <v>58</v>
      </c>
      <c r="B9">
        <v>100839</v>
      </c>
      <c r="C9" t="s">
        <v>108</v>
      </c>
      <c r="D9" t="s">
        <v>380</v>
      </c>
      <c r="E9">
        <v>2026</v>
      </c>
      <c r="F9" t="s">
        <v>84</v>
      </c>
      <c r="G9" t="s">
        <v>59</v>
      </c>
      <c r="H9" t="s">
        <v>55</v>
      </c>
      <c r="I9">
        <v>1</v>
      </c>
      <c r="J9" t="s">
        <v>46</v>
      </c>
      <c r="K9" s="37" t="str">
        <f>IF($D9="","",IFERROR(INDEX(Mapping!$H$3:$H$32,MATCH($B9,Mapping!$G$3:$G$32,0)),IF(LEFT($F9,3)="P2P",IFERROR(INDEX(Mapping!$E$3:$E$6,MATCH($G9,Mapping!$D$3:$D$6,0)),IFERROR(INDEX(Mapping!$B$3:$B$13,MATCH($J9,Mapping!$A$3:$A$13,0)),"(unmapped)")),IFERROR(INDEX(Mapping!$B$17:$B$22,MATCH($F9,Mapping!$A$17:$A$22,0)),$F9)&amp;" "&amp;IF($G9="Banking","Banking",IFERROR(INDEX(Mapping!$E$17:$E$28,MATCH($J9,Mapping!$D$17:$D$28,0)),"(unmapped)")))))</f>
        <v>R2R Banking</v>
      </c>
    </row>
    <row r="10" spans="1:11" x14ac:dyDescent="0.3">
      <c r="A10" t="s">
        <v>58</v>
      </c>
      <c r="B10">
        <v>100958</v>
      </c>
      <c r="C10" t="s">
        <v>83</v>
      </c>
      <c r="D10" t="s">
        <v>380</v>
      </c>
      <c r="E10">
        <v>2026</v>
      </c>
      <c r="F10" t="s">
        <v>84</v>
      </c>
      <c r="H10" t="s">
        <v>45</v>
      </c>
      <c r="I10">
        <v>1</v>
      </c>
      <c r="J10" t="s">
        <v>85</v>
      </c>
      <c r="K10" s="37" t="str">
        <f>IF($D10="","",IFERROR(INDEX(Mapping!$H$3:$H$32,MATCH($B10,Mapping!$G$3:$G$32,0)),IF(LEFT($F10,3)="P2P",IFERROR(INDEX(Mapping!$E$3:$E$6,MATCH($G10,Mapping!$D$3:$D$6,0)),IFERROR(INDEX(Mapping!$B$3:$B$13,MATCH($J10,Mapping!$A$3:$A$13,0)),"(unmapped)")),IFERROR(INDEX(Mapping!$B$17:$B$22,MATCH($F10,Mapping!$A$17:$A$22,0)),$F10)&amp;" "&amp;IF($G10="Banking","Banking",IFERROR(INDEX(Mapping!$E$17:$E$28,MATCH($J10,Mapping!$D$17:$D$28,0)),"(unmapped)")))))</f>
        <v>R2R Kunheim</v>
      </c>
    </row>
    <row r="11" spans="1:11" x14ac:dyDescent="0.3">
      <c r="A11" t="s">
        <v>58</v>
      </c>
      <c r="B11">
        <v>100980</v>
      </c>
      <c r="C11" t="s">
        <v>86</v>
      </c>
      <c r="D11" t="s">
        <v>380</v>
      </c>
      <c r="E11">
        <v>2026</v>
      </c>
      <c r="F11" t="s">
        <v>84</v>
      </c>
      <c r="H11" t="s">
        <v>45</v>
      </c>
      <c r="I11">
        <v>0.875</v>
      </c>
      <c r="J11" t="s">
        <v>46</v>
      </c>
      <c r="K11" s="37" t="str">
        <f>IF($D11="","",IFERROR(INDEX(Mapping!$H$3:$H$32,MATCH($B11,Mapping!$G$3:$G$32,0)),IF(LEFT($F11,3)="P2P",IFERROR(INDEX(Mapping!$E$3:$E$6,MATCH($G11,Mapping!$D$3:$D$6,0)),IFERROR(INDEX(Mapping!$B$3:$B$13,MATCH($J11,Mapping!$A$3:$A$13,0)),"(unmapped)")),IFERROR(INDEX(Mapping!$B$17:$B$22,MATCH($F11,Mapping!$A$17:$A$22,0)),$F11)&amp;" "&amp;IF($G11="Banking","Banking",IFERROR(INDEX(Mapping!$E$17:$E$28,MATCH($J11,Mapping!$D$17:$D$28,0)),"(unmapped)")))))</f>
        <v>R2R IB</v>
      </c>
    </row>
    <row r="12" spans="1:11" x14ac:dyDescent="0.3">
      <c r="A12" t="s">
        <v>58</v>
      </c>
      <c r="B12">
        <v>101011</v>
      </c>
      <c r="C12" t="s">
        <v>160</v>
      </c>
      <c r="D12" t="s">
        <v>380</v>
      </c>
      <c r="E12">
        <v>2026</v>
      </c>
      <c r="F12" t="s">
        <v>118</v>
      </c>
      <c r="H12" t="s">
        <v>55</v>
      </c>
      <c r="I12">
        <v>1</v>
      </c>
      <c r="J12" t="s">
        <v>46</v>
      </c>
      <c r="K12" s="37" t="str">
        <f>IF($D12="","",IFERROR(INDEX(Mapping!$H$3:$H$32,MATCH($B12,Mapping!$G$3:$G$32,0)),IF(LEFT($F12,3)="P2P",IFERROR(INDEX(Mapping!$E$3:$E$6,MATCH($G12,Mapping!$D$3:$D$6,0)),IFERROR(INDEX(Mapping!$B$3:$B$13,MATCH($J12,Mapping!$A$3:$A$13,0)),"(unmapped)")),IFERROR(INDEX(Mapping!$B$17:$B$22,MATCH($F12,Mapping!$A$17:$A$22,0)),$F12)&amp;" "&amp;IF($G12="Banking","Banking",IFERROR(INDEX(Mapping!$E$17:$E$28,MATCH($J12,Mapping!$D$17:$D$28,0)),"(unmapped)")))))</f>
        <v>AP IB</v>
      </c>
    </row>
    <row r="13" spans="1:11" x14ac:dyDescent="0.3">
      <c r="A13" t="s">
        <v>58</v>
      </c>
      <c r="B13">
        <v>101019</v>
      </c>
      <c r="C13" t="s">
        <v>87</v>
      </c>
      <c r="D13" t="s">
        <v>380</v>
      </c>
      <c r="E13">
        <v>2026</v>
      </c>
      <c r="F13" t="s">
        <v>84</v>
      </c>
      <c r="H13" t="s">
        <v>55</v>
      </c>
      <c r="I13">
        <v>1</v>
      </c>
      <c r="J13" t="s">
        <v>46</v>
      </c>
      <c r="K13" s="37" t="str">
        <f>IF($D13="","",IFERROR(INDEX(Mapping!$H$3:$H$32,MATCH($B13,Mapping!$G$3:$G$32,0)),IF(LEFT($F13,3)="P2P",IFERROR(INDEX(Mapping!$E$3:$E$6,MATCH($G13,Mapping!$D$3:$D$6,0)),IFERROR(INDEX(Mapping!$B$3:$B$13,MATCH($J13,Mapping!$A$3:$A$13,0)),"(unmapped)")),IFERROR(INDEX(Mapping!$B$17:$B$22,MATCH($F13,Mapping!$A$17:$A$22,0)),$F13)&amp;" "&amp;IF($G13="Banking","Banking",IFERROR(INDEX(Mapping!$E$17:$E$28,MATCH($J13,Mapping!$D$17:$D$28,0)),"(unmapped)")))))</f>
        <v>R2R IB</v>
      </c>
    </row>
    <row r="14" spans="1:11" x14ac:dyDescent="0.3">
      <c r="A14" t="s">
        <v>58</v>
      </c>
      <c r="B14">
        <v>101034</v>
      </c>
      <c r="C14" t="s">
        <v>121</v>
      </c>
      <c r="D14" t="s">
        <v>380</v>
      </c>
      <c r="E14">
        <v>2026</v>
      </c>
      <c r="F14" t="s">
        <v>118</v>
      </c>
      <c r="H14" t="s">
        <v>45</v>
      </c>
      <c r="I14">
        <v>1</v>
      </c>
      <c r="J14" t="s">
        <v>122</v>
      </c>
      <c r="K14" s="37" t="str">
        <f>IF($D14="","",IFERROR(INDEX(Mapping!$H$3:$H$32,MATCH($B14,Mapping!$G$3:$G$32,0)),IF(LEFT($F14,3)="P2P",IFERROR(INDEX(Mapping!$E$3:$E$6,MATCH($G14,Mapping!$D$3:$D$6,0)),IFERROR(INDEX(Mapping!$B$3:$B$13,MATCH($J14,Mapping!$A$3:$A$13,0)),"(unmapped)")),IFERROR(INDEX(Mapping!$B$17:$B$22,MATCH($F14,Mapping!$A$17:$A$22,0)),$F14)&amp;" "&amp;IF($G14="Banking","Banking",IFERROR(INDEX(Mapping!$E$17:$E$28,MATCH($J14,Mapping!$D$17:$D$28,0)),"(unmapped)")))))</f>
        <v>AP General</v>
      </c>
    </row>
    <row r="15" spans="1:11" x14ac:dyDescent="0.3">
      <c r="A15" t="s">
        <v>58</v>
      </c>
      <c r="B15">
        <v>101036</v>
      </c>
      <c r="C15" t="s">
        <v>161</v>
      </c>
      <c r="D15" t="s">
        <v>380</v>
      </c>
      <c r="E15">
        <v>2026</v>
      </c>
      <c r="F15" t="s">
        <v>118</v>
      </c>
      <c r="G15" t="s">
        <v>347</v>
      </c>
      <c r="H15" t="s">
        <v>55</v>
      </c>
      <c r="I15">
        <v>1</v>
      </c>
      <c r="J15" t="s">
        <v>46</v>
      </c>
      <c r="K15" s="37" t="str">
        <f>IF($D15="","",IFERROR(INDEX(Mapping!$H$3:$H$32,MATCH($B15,Mapping!$G$3:$G$32,0)),IF(LEFT($F15,3)="P2P",IFERROR(INDEX(Mapping!$E$3:$E$6,MATCH($G15,Mapping!$D$3:$D$6,0)),IFERROR(INDEX(Mapping!$B$3:$B$13,MATCH($J15,Mapping!$A$3:$A$13,0)),"(unmapped)")),IFERROR(INDEX(Mapping!$B$17:$B$22,MATCH($F15,Mapping!$A$17:$A$22,0)),$F15)&amp;" "&amp;IF($G15="Banking","Banking",IFERROR(INDEX(Mapping!$E$17:$E$28,MATCH($J15,Mapping!$D$17:$D$28,0)),"(unmapped)")))))</f>
        <v>AP Help Desk</v>
      </c>
    </row>
    <row r="16" spans="1:11" x14ac:dyDescent="0.3">
      <c r="A16" t="s">
        <v>58</v>
      </c>
      <c r="B16">
        <v>101047</v>
      </c>
      <c r="C16" t="s">
        <v>123</v>
      </c>
      <c r="D16" t="s">
        <v>380</v>
      </c>
      <c r="E16">
        <v>2026</v>
      </c>
      <c r="F16" t="s">
        <v>118</v>
      </c>
      <c r="H16" t="s">
        <v>45</v>
      </c>
      <c r="I16">
        <v>1</v>
      </c>
      <c r="J16" t="s">
        <v>46</v>
      </c>
      <c r="K16" s="37" t="str">
        <f>IF($D16="","",IFERROR(INDEX(Mapping!$H$3:$H$32,MATCH($B16,Mapping!$G$3:$G$32,0)),IF(LEFT($F16,3)="P2P",IFERROR(INDEX(Mapping!$E$3:$E$6,MATCH($G16,Mapping!$D$3:$D$6,0)),IFERROR(INDEX(Mapping!$B$3:$B$13,MATCH($J16,Mapping!$A$3:$A$13,0)),"(unmapped)")),IFERROR(INDEX(Mapping!$B$17:$B$22,MATCH($F16,Mapping!$A$17:$A$22,0)),$F16)&amp;" "&amp;IF($G16="Banking","Banking",IFERROR(INDEX(Mapping!$E$17:$E$28,MATCH($J16,Mapping!$D$17:$D$28,0)),"(unmapped)")))))</f>
        <v>AP IB</v>
      </c>
    </row>
    <row r="17" spans="1:11" x14ac:dyDescent="0.3">
      <c r="A17" t="s">
        <v>58</v>
      </c>
      <c r="B17">
        <v>101048</v>
      </c>
      <c r="C17" t="s">
        <v>88</v>
      </c>
      <c r="D17" t="s">
        <v>380</v>
      </c>
      <c r="E17">
        <v>2026</v>
      </c>
      <c r="F17" t="s">
        <v>84</v>
      </c>
      <c r="H17" t="s">
        <v>45</v>
      </c>
      <c r="I17">
        <v>1</v>
      </c>
      <c r="J17" t="s">
        <v>46</v>
      </c>
      <c r="K17" s="37" t="str">
        <f>IF($D17="","",IFERROR(INDEX(Mapping!$H$3:$H$32,MATCH($B17,Mapping!$G$3:$G$32,0)),IF(LEFT($F17,3)="P2P",IFERROR(INDEX(Mapping!$E$3:$E$6,MATCH($G17,Mapping!$D$3:$D$6,0)),IFERROR(INDEX(Mapping!$B$3:$B$13,MATCH($J17,Mapping!$A$3:$A$13,0)),"(unmapped)")),IFERROR(INDEX(Mapping!$B$17:$B$22,MATCH($F17,Mapping!$A$17:$A$22,0)),$F17)&amp;" "&amp;IF($G17="Banking","Banking",IFERROR(INDEX(Mapping!$E$17:$E$28,MATCH($J17,Mapping!$D$17:$D$28,0)),"(unmapped)")))))</f>
        <v>R2R IB</v>
      </c>
    </row>
    <row r="18" spans="1:11" x14ac:dyDescent="0.3">
      <c r="A18" t="s">
        <v>58</v>
      </c>
      <c r="B18">
        <v>101307</v>
      </c>
      <c r="C18" t="s">
        <v>89</v>
      </c>
      <c r="D18" t="s">
        <v>380</v>
      </c>
      <c r="E18">
        <v>2026</v>
      </c>
      <c r="F18" t="s">
        <v>84</v>
      </c>
      <c r="H18" t="s">
        <v>45</v>
      </c>
      <c r="I18">
        <v>0.875</v>
      </c>
      <c r="J18" t="s">
        <v>46</v>
      </c>
      <c r="K18" s="37" t="str">
        <f>IF($D18="","",IFERROR(INDEX(Mapping!$H$3:$H$32,MATCH($B18,Mapping!$G$3:$G$32,0)),IF(LEFT($F18,3)="P2P",IFERROR(INDEX(Mapping!$E$3:$E$6,MATCH($G18,Mapping!$D$3:$D$6,0)),IFERROR(INDEX(Mapping!$B$3:$B$13,MATCH($J18,Mapping!$A$3:$A$13,0)),"(unmapped)")),IFERROR(INDEX(Mapping!$B$17:$B$22,MATCH($F18,Mapping!$A$17:$A$22,0)),$F18)&amp;" "&amp;IF($G18="Banking","Banking",IFERROR(INDEX(Mapping!$E$17:$E$28,MATCH($J18,Mapping!$D$17:$D$28,0)),"(unmapped)")))))</f>
        <v>R2R IB</v>
      </c>
    </row>
    <row r="19" spans="1:11" x14ac:dyDescent="0.3">
      <c r="A19" t="s">
        <v>42</v>
      </c>
      <c r="B19">
        <v>101193</v>
      </c>
      <c r="C19" t="s">
        <v>124</v>
      </c>
      <c r="D19" t="s">
        <v>380</v>
      </c>
      <c r="E19">
        <v>2026</v>
      </c>
      <c r="F19" t="s">
        <v>118</v>
      </c>
      <c r="H19" t="s">
        <v>45</v>
      </c>
      <c r="I19">
        <v>1</v>
      </c>
      <c r="J19" t="s">
        <v>125</v>
      </c>
      <c r="K19" s="37" t="str">
        <f>IF($D19="","",IFERROR(INDEX(Mapping!$H$3:$H$32,MATCH($B19,Mapping!$G$3:$G$32,0)),IF(LEFT($F19,3)="P2P",IFERROR(INDEX(Mapping!$E$3:$E$6,MATCH($G19,Mapping!$D$3:$D$6,0)),IFERROR(INDEX(Mapping!$B$3:$B$13,MATCH($J19,Mapping!$A$3:$A$13,0)),"(unmapped)")),IFERROR(INDEX(Mapping!$B$17:$B$22,MATCH($F19,Mapping!$A$17:$A$22,0)),$F19)&amp;" "&amp;IF($G19="Banking","Banking",IFERROR(INDEX(Mapping!$E$17:$E$28,MATCH($J19,Mapping!$D$17:$D$28,0)),"(unmapped)")))))</f>
        <v>AP Continuos improvement</v>
      </c>
    </row>
    <row r="20" spans="1:11" x14ac:dyDescent="0.3">
      <c r="A20" t="s">
        <v>42</v>
      </c>
      <c r="B20">
        <v>101409</v>
      </c>
      <c r="C20" t="s">
        <v>43</v>
      </c>
      <c r="D20" t="s">
        <v>380</v>
      </c>
      <c r="E20">
        <v>2026</v>
      </c>
      <c r="F20" t="s">
        <v>44</v>
      </c>
      <c r="H20" t="s">
        <v>45</v>
      </c>
      <c r="I20">
        <v>1</v>
      </c>
      <c r="J20" t="s">
        <v>46</v>
      </c>
      <c r="K20" s="37" t="str">
        <f>IF($D20="","",IFERROR(INDEX(Mapping!$H$3:$H$32,MATCH($B20,Mapping!$G$3:$G$32,0)),IF(LEFT($F20,3)="P2P",IFERROR(INDEX(Mapping!$E$3:$E$6,MATCH($G20,Mapping!$D$3:$D$6,0)),IFERROR(INDEX(Mapping!$B$3:$B$13,MATCH($J20,Mapping!$A$3:$A$13,0)),"(unmapped)")),IFERROR(INDEX(Mapping!$B$17:$B$22,MATCH($F20,Mapping!$A$17:$A$22,0)),$F20)&amp;" "&amp;IF($G20="Banking","Banking",IFERROR(INDEX(Mapping!$E$17:$E$28,MATCH($J20,Mapping!$D$17:$D$28,0)),"(unmapped)")))))</f>
        <v>MD IB</v>
      </c>
    </row>
    <row r="21" spans="1:11" x14ac:dyDescent="0.3">
      <c r="A21" t="s">
        <v>42</v>
      </c>
      <c r="B21">
        <v>101414</v>
      </c>
      <c r="C21" t="s">
        <v>61</v>
      </c>
      <c r="D21" t="s">
        <v>380</v>
      </c>
      <c r="E21">
        <v>2026</v>
      </c>
      <c r="F21" t="s">
        <v>57</v>
      </c>
      <c r="H21" t="s">
        <v>45</v>
      </c>
      <c r="I21">
        <v>1</v>
      </c>
      <c r="J21" t="s">
        <v>46</v>
      </c>
      <c r="K21" s="37" t="str">
        <f>IF($D21="","",IFERROR(INDEX(Mapping!$H$3:$H$32,MATCH($B21,Mapping!$G$3:$G$32,0)),IF(LEFT($F21,3)="P2P",IFERROR(INDEX(Mapping!$E$3:$E$6,MATCH($G21,Mapping!$D$3:$D$6,0)),IFERROR(INDEX(Mapping!$B$3:$B$13,MATCH($J21,Mapping!$A$3:$A$13,0)),"(unmapped)")),IFERROR(INDEX(Mapping!$B$17:$B$22,MATCH($F21,Mapping!$A$17:$A$22,0)),$F21)&amp;" "&amp;IF($G21="Banking","Banking",IFERROR(INDEX(Mapping!$E$17:$E$28,MATCH($J21,Mapping!$D$17:$D$28,0)),"(unmapped)")))))</f>
        <v>AR IB</v>
      </c>
    </row>
    <row r="22" spans="1:11" x14ac:dyDescent="0.3">
      <c r="A22" t="s">
        <v>42</v>
      </c>
      <c r="B22">
        <v>101417</v>
      </c>
      <c r="C22" t="s">
        <v>90</v>
      </c>
      <c r="D22" t="s">
        <v>380</v>
      </c>
      <c r="E22">
        <v>2026</v>
      </c>
      <c r="F22" t="s">
        <v>84</v>
      </c>
      <c r="G22" t="s">
        <v>59</v>
      </c>
      <c r="H22" t="s">
        <v>45</v>
      </c>
      <c r="I22">
        <v>1</v>
      </c>
      <c r="J22" t="s">
        <v>46</v>
      </c>
      <c r="K22" s="37" t="str">
        <f>IF($D22="","",IFERROR(INDEX(Mapping!$H$3:$H$32,MATCH($B22,Mapping!$G$3:$G$32,0)),IF(LEFT($F22,3)="P2P",IFERROR(INDEX(Mapping!$E$3:$E$6,MATCH($G22,Mapping!$D$3:$D$6,0)),IFERROR(INDEX(Mapping!$B$3:$B$13,MATCH($J22,Mapping!$A$3:$A$13,0)),"(unmapped)")),IFERROR(INDEX(Mapping!$B$17:$B$22,MATCH($F22,Mapping!$A$17:$A$22,0)),$F22)&amp;" "&amp;IF($G22="Banking","Banking",IFERROR(INDEX(Mapping!$E$17:$E$28,MATCH($J22,Mapping!$D$17:$D$28,0)),"(unmapped)")))))</f>
        <v>R2R Banking</v>
      </c>
    </row>
    <row r="23" spans="1:11" x14ac:dyDescent="0.3">
      <c r="A23" t="s">
        <v>42</v>
      </c>
      <c r="B23">
        <v>101425</v>
      </c>
      <c r="C23" t="s">
        <v>62</v>
      </c>
      <c r="D23" t="s">
        <v>380</v>
      </c>
      <c r="E23">
        <v>2026</v>
      </c>
      <c r="F23" t="s">
        <v>57</v>
      </c>
      <c r="H23" t="s">
        <v>45</v>
      </c>
      <c r="I23">
        <v>1</v>
      </c>
      <c r="J23" t="s">
        <v>46</v>
      </c>
      <c r="K23" s="37" t="str">
        <f>IF($D23="","",IFERROR(INDEX(Mapping!$H$3:$H$32,MATCH($B23,Mapping!$G$3:$G$32,0)),IF(LEFT($F23,3)="P2P",IFERROR(INDEX(Mapping!$E$3:$E$6,MATCH($G23,Mapping!$D$3:$D$6,0)),IFERROR(INDEX(Mapping!$B$3:$B$13,MATCH($J23,Mapping!$A$3:$A$13,0)),"(unmapped)")),IFERROR(INDEX(Mapping!$B$17:$B$22,MATCH($F23,Mapping!$A$17:$A$22,0)),$F23)&amp;" "&amp;IF($G23="Banking","Banking",IFERROR(INDEX(Mapping!$E$17:$E$28,MATCH($J23,Mapping!$D$17:$D$28,0)),"(unmapped)")))))</f>
        <v>AR IB</v>
      </c>
    </row>
    <row r="24" spans="1:11" x14ac:dyDescent="0.3">
      <c r="A24" t="s">
        <v>42</v>
      </c>
      <c r="B24">
        <v>101426</v>
      </c>
      <c r="C24" t="s">
        <v>126</v>
      </c>
      <c r="D24" t="s">
        <v>380</v>
      </c>
      <c r="E24">
        <v>2026</v>
      </c>
      <c r="F24" t="s">
        <v>118</v>
      </c>
      <c r="H24" t="s">
        <v>45</v>
      </c>
      <c r="I24">
        <v>1</v>
      </c>
      <c r="J24" t="s">
        <v>46</v>
      </c>
      <c r="K24" s="37" t="str">
        <f>IF($D24="","",IFERROR(INDEX(Mapping!$H$3:$H$32,MATCH($B24,Mapping!$G$3:$G$32,0)),IF(LEFT($F24,3)="P2P",IFERROR(INDEX(Mapping!$E$3:$E$6,MATCH($G24,Mapping!$D$3:$D$6,0)),IFERROR(INDEX(Mapping!$B$3:$B$13,MATCH($J24,Mapping!$A$3:$A$13,0)),"(unmapped)")),IFERROR(INDEX(Mapping!$B$17:$B$22,MATCH($F24,Mapping!$A$17:$A$22,0)),$F24)&amp;" "&amp;IF($G24="Banking","Banking",IFERROR(INDEX(Mapping!$E$17:$E$28,MATCH($J24,Mapping!$D$17:$D$28,0)),"(unmapped)")))))</f>
        <v>AP IB</v>
      </c>
    </row>
    <row r="25" spans="1:11" x14ac:dyDescent="0.3">
      <c r="A25" t="s">
        <v>42</v>
      </c>
      <c r="B25">
        <v>101429</v>
      </c>
      <c r="C25" t="s">
        <v>63</v>
      </c>
      <c r="D25" t="s">
        <v>380</v>
      </c>
      <c r="E25">
        <v>2026</v>
      </c>
      <c r="F25" t="s">
        <v>57</v>
      </c>
      <c r="G25" t="s">
        <v>59</v>
      </c>
      <c r="H25" t="s">
        <v>45</v>
      </c>
      <c r="I25">
        <v>1</v>
      </c>
      <c r="J25" t="s">
        <v>46</v>
      </c>
      <c r="K25" s="37" t="str">
        <f>IF($D25="","",IFERROR(INDEX(Mapping!$H$3:$H$32,MATCH($B25,Mapping!$G$3:$G$32,0)),IF(LEFT($F25,3)="P2P",IFERROR(INDEX(Mapping!$E$3:$E$6,MATCH($G25,Mapping!$D$3:$D$6,0)),IFERROR(INDEX(Mapping!$B$3:$B$13,MATCH($J25,Mapping!$A$3:$A$13,0)),"(unmapped)")),IFERROR(INDEX(Mapping!$B$17:$B$22,MATCH($F25,Mapping!$A$17:$A$22,0)),$F25)&amp;" "&amp;IF($G25="Banking","Banking",IFERROR(INDEX(Mapping!$E$17:$E$28,MATCH($J25,Mapping!$D$17:$D$28,0)),"(unmapped)")))))</f>
        <v>AR Banking</v>
      </c>
    </row>
    <row r="26" spans="1:11" x14ac:dyDescent="0.3">
      <c r="A26" t="s">
        <v>42</v>
      </c>
      <c r="B26">
        <v>101430</v>
      </c>
      <c r="C26" t="s">
        <v>127</v>
      </c>
      <c r="D26" t="s">
        <v>380</v>
      </c>
      <c r="E26">
        <v>2026</v>
      </c>
      <c r="F26" t="s">
        <v>381</v>
      </c>
      <c r="H26" t="s">
        <v>45</v>
      </c>
      <c r="I26">
        <v>1</v>
      </c>
      <c r="J26" t="s">
        <v>128</v>
      </c>
      <c r="K26" s="37" t="str">
        <f>IF($D26="","",IFERROR(INDEX(Mapping!$H$3:$H$32,MATCH($B26,Mapping!$G$3:$G$32,0)),IF(LEFT($F26,3)="P2P",IFERROR(INDEX(Mapping!$E$3:$E$6,MATCH($G26,Mapping!$D$3:$D$6,0)),IFERROR(INDEX(Mapping!$B$3:$B$13,MATCH($J26,Mapping!$A$3:$A$13,0)),"(unmapped)")),IFERROR(INDEX(Mapping!$B$17:$B$22,MATCH($F26,Mapping!$A$17:$A$22,0)),$F26)&amp;" "&amp;IF($G26="Banking","Banking",IFERROR(INDEX(Mapping!$E$17:$E$28,MATCH($J26,Mapping!$D$17:$D$28,0)),"(unmapped)")))))</f>
        <v>P2P Vuelta BE</v>
      </c>
    </row>
    <row r="27" spans="1:11" x14ac:dyDescent="0.3">
      <c r="A27" t="s">
        <v>42</v>
      </c>
      <c r="B27">
        <v>101434</v>
      </c>
      <c r="C27" t="s">
        <v>47</v>
      </c>
      <c r="D27" t="s">
        <v>380</v>
      </c>
      <c r="E27">
        <v>2026</v>
      </c>
      <c r="F27" t="s">
        <v>44</v>
      </c>
      <c r="H27" t="s">
        <v>45</v>
      </c>
      <c r="I27">
        <v>1</v>
      </c>
      <c r="J27" t="s">
        <v>46</v>
      </c>
      <c r="K27" s="37" t="str">
        <f>IF($D27="","",IFERROR(INDEX(Mapping!$H$3:$H$32,MATCH($B27,Mapping!$G$3:$G$32,0)),IF(LEFT($F27,3)="P2P",IFERROR(INDEX(Mapping!$E$3:$E$6,MATCH($G27,Mapping!$D$3:$D$6,0)),IFERROR(INDEX(Mapping!$B$3:$B$13,MATCH($J27,Mapping!$A$3:$A$13,0)),"(unmapped)")),IFERROR(INDEX(Mapping!$B$17:$B$22,MATCH($F27,Mapping!$A$17:$A$22,0)),$F27)&amp;" "&amp;IF($G27="Banking","Banking",IFERROR(INDEX(Mapping!$E$17:$E$28,MATCH($J27,Mapping!$D$17:$D$28,0)),"(unmapped)")))))</f>
        <v>MD IB</v>
      </c>
    </row>
    <row r="28" spans="1:11" x14ac:dyDescent="0.3">
      <c r="A28" t="s">
        <v>42</v>
      </c>
      <c r="B28">
        <v>101436</v>
      </c>
      <c r="C28" t="s">
        <v>129</v>
      </c>
      <c r="D28" t="s">
        <v>380</v>
      </c>
      <c r="E28">
        <v>2026</v>
      </c>
      <c r="F28" t="s">
        <v>381</v>
      </c>
      <c r="G28" t="s">
        <v>347</v>
      </c>
      <c r="H28" t="s">
        <v>45</v>
      </c>
      <c r="I28">
        <v>1</v>
      </c>
      <c r="J28" t="s">
        <v>7</v>
      </c>
      <c r="K28" s="37" t="str">
        <f>IF($D28="","",IFERROR(INDEX(Mapping!$H$3:$H$32,MATCH($B28,Mapping!$G$3:$G$32,0)),IF(LEFT($F28,3)="P2P",IFERROR(INDEX(Mapping!$E$3:$E$6,MATCH($G28,Mapping!$D$3:$D$6,0)),IFERROR(INDEX(Mapping!$B$3:$B$13,MATCH($J28,Mapping!$A$3:$A$13,0)),"(unmapped)")),IFERROR(INDEX(Mapping!$B$17:$B$22,MATCH($F28,Mapping!$A$17:$A$22,0)),$F28)&amp;" "&amp;IF($G28="Banking","Banking",IFERROR(INDEX(Mapping!$E$17:$E$28,MATCH($J28,Mapping!$D$17:$D$28,0)),"(unmapped)")))))</f>
        <v>P2P Vuelta UK</v>
      </c>
    </row>
    <row r="29" spans="1:11" x14ac:dyDescent="0.3">
      <c r="A29" t="s">
        <v>42</v>
      </c>
      <c r="B29">
        <v>101437</v>
      </c>
      <c r="C29" t="s">
        <v>130</v>
      </c>
      <c r="D29" t="s">
        <v>380</v>
      </c>
      <c r="E29">
        <v>2026</v>
      </c>
      <c r="F29" t="s">
        <v>381</v>
      </c>
      <c r="H29" t="s">
        <v>45</v>
      </c>
      <c r="I29">
        <v>1</v>
      </c>
      <c r="J29" t="s">
        <v>0</v>
      </c>
      <c r="K29" s="37" t="str">
        <f>IF($D29="","",IFERROR(INDEX(Mapping!$H$3:$H$32,MATCH($B29,Mapping!$G$3:$G$32,0)),IF(LEFT($F29,3)="P2P",IFERROR(INDEX(Mapping!$E$3:$E$6,MATCH($G29,Mapping!$D$3:$D$6,0)),IFERROR(INDEX(Mapping!$B$3:$B$13,MATCH($J29,Mapping!$A$3:$A$13,0)),"(unmapped)")),IFERROR(INDEX(Mapping!$B$17:$B$22,MATCH($F29,Mapping!$A$17:$A$22,0)),$F29)&amp;" "&amp;IF($G29="Banking","Banking",IFERROR(INDEX(Mapping!$E$17:$E$28,MATCH($J29,Mapping!$D$17:$D$28,0)),"(unmapped)")))))</f>
        <v>P2P Vuelta DE</v>
      </c>
    </row>
    <row r="30" spans="1:11" x14ac:dyDescent="0.3">
      <c r="A30" t="s">
        <v>42</v>
      </c>
      <c r="B30">
        <v>101438</v>
      </c>
      <c r="C30" t="s">
        <v>91</v>
      </c>
      <c r="D30" t="s">
        <v>380</v>
      </c>
      <c r="E30">
        <v>2026</v>
      </c>
      <c r="F30" t="s">
        <v>84</v>
      </c>
      <c r="H30" t="s">
        <v>45</v>
      </c>
      <c r="I30">
        <v>1</v>
      </c>
      <c r="J30" t="s">
        <v>46</v>
      </c>
      <c r="K30" s="37" t="str">
        <f>IF($D30="","",IFERROR(INDEX(Mapping!$H$3:$H$32,MATCH($B30,Mapping!$G$3:$G$32,0)),IF(LEFT($F30,3)="P2P",IFERROR(INDEX(Mapping!$E$3:$E$6,MATCH($G30,Mapping!$D$3:$D$6,0)),IFERROR(INDEX(Mapping!$B$3:$B$13,MATCH($J30,Mapping!$A$3:$A$13,0)),"(unmapped)")),IFERROR(INDEX(Mapping!$B$17:$B$22,MATCH($F30,Mapping!$A$17:$A$22,0)),$F30)&amp;" "&amp;IF($G30="Banking","Banking",IFERROR(INDEX(Mapping!$E$17:$E$28,MATCH($J30,Mapping!$D$17:$D$28,0)),"(unmapped)")))))</f>
        <v>R2R IB</v>
      </c>
    </row>
    <row r="31" spans="1:11" x14ac:dyDescent="0.3">
      <c r="A31" t="s">
        <v>42</v>
      </c>
      <c r="B31">
        <v>101442</v>
      </c>
      <c r="C31" t="s">
        <v>92</v>
      </c>
      <c r="D31" t="s">
        <v>380</v>
      </c>
      <c r="E31">
        <v>2026</v>
      </c>
      <c r="F31" t="s">
        <v>84</v>
      </c>
      <c r="H31" t="s">
        <v>55</v>
      </c>
      <c r="I31">
        <v>1</v>
      </c>
      <c r="J31" t="s">
        <v>46</v>
      </c>
      <c r="K31" s="37" t="str">
        <f>IF($D31="","",IFERROR(INDEX(Mapping!$H$3:$H$32,MATCH($B31,Mapping!$G$3:$G$32,0)),IF(LEFT($F31,3)="P2P",IFERROR(INDEX(Mapping!$E$3:$E$6,MATCH($G31,Mapping!$D$3:$D$6,0)),IFERROR(INDEX(Mapping!$B$3:$B$13,MATCH($J31,Mapping!$A$3:$A$13,0)),"(unmapped)")),IFERROR(INDEX(Mapping!$B$17:$B$22,MATCH($F31,Mapping!$A$17:$A$22,0)),$F31)&amp;" "&amp;IF($G31="Banking","Banking",IFERROR(INDEX(Mapping!$E$17:$E$28,MATCH($J31,Mapping!$D$17:$D$28,0)),"(unmapped)")))))</f>
        <v>R2R IB</v>
      </c>
    </row>
    <row r="32" spans="1:11" x14ac:dyDescent="0.3">
      <c r="A32" t="s">
        <v>42</v>
      </c>
      <c r="B32">
        <v>101443</v>
      </c>
      <c r="C32" t="s">
        <v>93</v>
      </c>
      <c r="D32" t="s">
        <v>380</v>
      </c>
      <c r="E32">
        <v>2026</v>
      </c>
      <c r="F32" t="s">
        <v>84</v>
      </c>
      <c r="G32" t="s">
        <v>59</v>
      </c>
      <c r="H32" t="s">
        <v>45</v>
      </c>
      <c r="I32">
        <v>1</v>
      </c>
      <c r="J32" t="s">
        <v>46</v>
      </c>
      <c r="K32" s="37" t="str">
        <f>IF($D32="","",IFERROR(INDEX(Mapping!$H$3:$H$32,MATCH($B32,Mapping!$G$3:$G$32,0)),IF(LEFT($F32,3)="P2P",IFERROR(INDEX(Mapping!$E$3:$E$6,MATCH($G32,Mapping!$D$3:$D$6,0)),IFERROR(INDEX(Mapping!$B$3:$B$13,MATCH($J32,Mapping!$A$3:$A$13,0)),"(unmapped)")),IFERROR(INDEX(Mapping!$B$17:$B$22,MATCH($F32,Mapping!$A$17:$A$22,0)),$F32)&amp;" "&amp;IF($G32="Banking","Banking",IFERROR(INDEX(Mapping!$E$17:$E$28,MATCH($J32,Mapping!$D$17:$D$28,0)),"(unmapped)")))))</f>
        <v>R2R Banking</v>
      </c>
    </row>
    <row r="33" spans="1:11" x14ac:dyDescent="0.3">
      <c r="A33" t="s">
        <v>42</v>
      </c>
      <c r="B33">
        <v>101448</v>
      </c>
      <c r="C33" t="s">
        <v>64</v>
      </c>
      <c r="D33" t="s">
        <v>380</v>
      </c>
      <c r="E33">
        <v>2026</v>
      </c>
      <c r="F33" t="s">
        <v>57</v>
      </c>
      <c r="H33" t="s">
        <v>45</v>
      </c>
      <c r="I33">
        <v>1</v>
      </c>
      <c r="J33" t="s">
        <v>46</v>
      </c>
      <c r="K33" s="37" t="str">
        <f>IF($D33="","",IFERROR(INDEX(Mapping!$H$3:$H$32,MATCH($B33,Mapping!$G$3:$G$32,0)),IF(LEFT($F33,3)="P2P",IFERROR(INDEX(Mapping!$E$3:$E$6,MATCH($G33,Mapping!$D$3:$D$6,0)),IFERROR(INDEX(Mapping!$B$3:$B$13,MATCH($J33,Mapping!$A$3:$A$13,0)),"(unmapped)")),IFERROR(INDEX(Mapping!$B$17:$B$22,MATCH($F33,Mapping!$A$17:$A$22,0)),$F33)&amp;" "&amp;IF($G33="Banking","Banking",IFERROR(INDEX(Mapping!$E$17:$E$28,MATCH($J33,Mapping!$D$17:$D$28,0)),"(unmapped)")))))</f>
        <v>AR IB</v>
      </c>
    </row>
    <row r="34" spans="1:11" x14ac:dyDescent="0.3">
      <c r="A34" t="s">
        <v>42</v>
      </c>
      <c r="B34">
        <v>101451</v>
      </c>
      <c r="C34" t="s">
        <v>94</v>
      </c>
      <c r="D34" t="s">
        <v>380</v>
      </c>
      <c r="E34">
        <v>2026</v>
      </c>
      <c r="F34" t="s">
        <v>84</v>
      </c>
      <c r="H34" t="s">
        <v>45</v>
      </c>
      <c r="I34">
        <v>1</v>
      </c>
      <c r="J34" t="s">
        <v>46</v>
      </c>
      <c r="K34" s="37" t="str">
        <f>IF($D34="","",IFERROR(INDEX(Mapping!$H$3:$H$32,MATCH($B34,Mapping!$G$3:$G$32,0)),IF(LEFT($F34,3)="P2P",IFERROR(INDEX(Mapping!$E$3:$E$6,MATCH($G34,Mapping!$D$3:$D$6,0)),IFERROR(INDEX(Mapping!$B$3:$B$13,MATCH($J34,Mapping!$A$3:$A$13,0)),"(unmapped)")),IFERROR(INDEX(Mapping!$B$17:$B$22,MATCH($F34,Mapping!$A$17:$A$22,0)),$F34)&amp;" "&amp;IF($G34="Banking","Banking",IFERROR(INDEX(Mapping!$E$17:$E$28,MATCH($J34,Mapping!$D$17:$D$28,0)),"(unmapped)")))))</f>
        <v>R2R IB</v>
      </c>
    </row>
    <row r="35" spans="1:11" x14ac:dyDescent="0.3">
      <c r="A35" t="s">
        <v>42</v>
      </c>
      <c r="B35">
        <v>101458</v>
      </c>
      <c r="C35" t="s">
        <v>131</v>
      </c>
      <c r="D35" t="s">
        <v>380</v>
      </c>
      <c r="E35">
        <v>2026</v>
      </c>
      <c r="F35" t="s">
        <v>381</v>
      </c>
      <c r="H35" t="s">
        <v>45</v>
      </c>
      <c r="I35">
        <v>1</v>
      </c>
      <c r="J35" t="s">
        <v>7</v>
      </c>
      <c r="K35" s="37" t="str">
        <f>IF($D35="","",IFERROR(INDEX(Mapping!$H$3:$H$32,MATCH($B35,Mapping!$G$3:$G$32,0)),IF(LEFT($F35,3)="P2P",IFERROR(INDEX(Mapping!$E$3:$E$6,MATCH($G35,Mapping!$D$3:$D$6,0)),IFERROR(INDEX(Mapping!$B$3:$B$13,MATCH($J35,Mapping!$A$3:$A$13,0)),"(unmapped)")),IFERROR(INDEX(Mapping!$B$17:$B$22,MATCH($F35,Mapping!$A$17:$A$22,0)),$F35)&amp;" "&amp;IF($G35="Banking","Banking",IFERROR(INDEX(Mapping!$E$17:$E$28,MATCH($J35,Mapping!$D$17:$D$28,0)),"(unmapped)")))))</f>
        <v>P2P Vuelta UK</v>
      </c>
    </row>
    <row r="36" spans="1:11" x14ac:dyDescent="0.3">
      <c r="A36" t="s">
        <v>42</v>
      </c>
      <c r="B36">
        <v>101460</v>
      </c>
      <c r="C36" t="s">
        <v>95</v>
      </c>
      <c r="D36" t="s">
        <v>380</v>
      </c>
      <c r="E36">
        <v>2026</v>
      </c>
      <c r="F36" t="s">
        <v>84</v>
      </c>
      <c r="H36" t="s">
        <v>45</v>
      </c>
      <c r="I36">
        <v>0.875</v>
      </c>
      <c r="J36" t="s">
        <v>46</v>
      </c>
      <c r="K36" s="37" t="str">
        <f>IF($D36="","",IFERROR(INDEX(Mapping!$H$3:$H$32,MATCH($B36,Mapping!$G$3:$G$32,0)),IF(LEFT($F36,3)="P2P",IFERROR(INDEX(Mapping!$E$3:$E$6,MATCH($G36,Mapping!$D$3:$D$6,0)),IFERROR(INDEX(Mapping!$B$3:$B$13,MATCH($J36,Mapping!$A$3:$A$13,0)),"(unmapped)")),IFERROR(INDEX(Mapping!$B$17:$B$22,MATCH($F36,Mapping!$A$17:$A$22,0)),$F36)&amp;" "&amp;IF($G36="Banking","Banking",IFERROR(INDEX(Mapping!$E$17:$E$28,MATCH($J36,Mapping!$D$17:$D$28,0)),"(unmapped)")))))</f>
        <v>R2R IB</v>
      </c>
    </row>
    <row r="37" spans="1:11" x14ac:dyDescent="0.3">
      <c r="A37" t="s">
        <v>42</v>
      </c>
      <c r="B37">
        <v>102348</v>
      </c>
      <c r="C37" t="s">
        <v>132</v>
      </c>
      <c r="D37" t="s">
        <v>380</v>
      </c>
      <c r="E37">
        <v>2026</v>
      </c>
      <c r="F37" t="s">
        <v>381</v>
      </c>
      <c r="G37" t="s">
        <v>59</v>
      </c>
      <c r="H37" t="s">
        <v>45</v>
      </c>
      <c r="I37">
        <v>1</v>
      </c>
      <c r="J37" t="s">
        <v>0</v>
      </c>
      <c r="K37" s="37" t="str">
        <f>IF($D37="","",IFERROR(INDEX(Mapping!$H$3:$H$32,MATCH($B37,Mapping!$G$3:$G$32,0)),IF(LEFT($F37,3)="P2P",IFERROR(INDEX(Mapping!$E$3:$E$6,MATCH($G37,Mapping!$D$3:$D$6,0)),IFERROR(INDEX(Mapping!$B$3:$B$13,MATCH($J37,Mapping!$A$3:$A$13,0)),"(unmapped)")),IFERROR(INDEX(Mapping!$B$17:$B$22,MATCH($F37,Mapping!$A$17:$A$22,0)),$F37)&amp;" "&amp;IF($G37="Banking","Banking",IFERROR(INDEX(Mapping!$E$17:$E$28,MATCH($J37,Mapping!$D$17:$D$28,0)),"(unmapped)")))))</f>
        <v>P2P Vuelta Banking</v>
      </c>
    </row>
    <row r="38" spans="1:11" x14ac:dyDescent="0.3">
      <c r="A38" t="s">
        <v>42</v>
      </c>
      <c r="B38">
        <v>102349</v>
      </c>
      <c r="C38" t="s">
        <v>158</v>
      </c>
      <c r="D38" t="s">
        <v>380</v>
      </c>
      <c r="E38">
        <v>2026</v>
      </c>
      <c r="F38" t="s">
        <v>381</v>
      </c>
      <c r="H38" t="s">
        <v>45</v>
      </c>
      <c r="I38">
        <v>1</v>
      </c>
      <c r="J38" t="s">
        <v>349</v>
      </c>
      <c r="K38" s="37" t="str">
        <f>IF($D38="","",IFERROR(INDEX(Mapping!$H$3:$H$32,MATCH($B38,Mapping!$G$3:$G$32,0)),IF(LEFT($F38,3)="P2P",IFERROR(INDEX(Mapping!$E$3:$E$6,MATCH($G38,Mapping!$D$3:$D$6,0)),IFERROR(INDEX(Mapping!$B$3:$B$13,MATCH($J38,Mapping!$A$3:$A$13,0)),"(unmapped)")),IFERROR(INDEX(Mapping!$B$17:$B$22,MATCH($F38,Mapping!$A$17:$A$22,0)),$F38)&amp;" "&amp;IF($G38="Banking","Banking",IFERROR(INDEX(Mapping!$E$17:$E$28,MATCH($J38,Mapping!$D$17:$D$28,0)),"(unmapped)")))))</f>
        <v>P2P Vuelta BE</v>
      </c>
    </row>
    <row r="39" spans="1:11" x14ac:dyDescent="0.3">
      <c r="A39" t="s">
        <v>42</v>
      </c>
      <c r="B39">
        <v>102394</v>
      </c>
      <c r="C39" t="s">
        <v>190</v>
      </c>
      <c r="D39" t="s">
        <v>380</v>
      </c>
      <c r="E39">
        <v>2026</v>
      </c>
      <c r="F39" t="s">
        <v>381</v>
      </c>
      <c r="G39" t="s">
        <v>347</v>
      </c>
      <c r="H39" t="s">
        <v>45</v>
      </c>
      <c r="I39">
        <v>1</v>
      </c>
      <c r="J39" t="s">
        <v>128</v>
      </c>
      <c r="K39" s="37" t="str">
        <f>IF($D39="","",IFERROR(INDEX(Mapping!$H$3:$H$32,MATCH($B39,Mapping!$G$3:$G$32,0)),IF(LEFT($F39,3)="P2P",IFERROR(INDEX(Mapping!$E$3:$E$6,MATCH($G39,Mapping!$D$3:$D$6,0)),IFERROR(INDEX(Mapping!$B$3:$B$13,MATCH($J39,Mapping!$A$3:$A$13,0)),"(unmapped)")),IFERROR(INDEX(Mapping!$B$17:$B$22,MATCH($F39,Mapping!$A$17:$A$22,0)),$F39)&amp;" "&amp;IF($G39="Banking","Banking",IFERROR(INDEX(Mapping!$E$17:$E$28,MATCH($J39,Mapping!$D$17:$D$28,0)),"(unmapped)")))))</f>
        <v>P2P Vuelta BE</v>
      </c>
    </row>
    <row r="40" spans="1:11" x14ac:dyDescent="0.3">
      <c r="A40" t="s">
        <v>42</v>
      </c>
      <c r="B40">
        <v>102397</v>
      </c>
      <c r="C40" t="s">
        <v>96</v>
      </c>
      <c r="D40" t="s">
        <v>380</v>
      </c>
      <c r="E40">
        <v>2026</v>
      </c>
      <c r="F40" t="s">
        <v>84</v>
      </c>
      <c r="H40" t="s">
        <v>45</v>
      </c>
      <c r="I40">
        <v>1</v>
      </c>
      <c r="J40" t="s">
        <v>46</v>
      </c>
      <c r="K40" s="37" t="str">
        <f>IF($D40="","",IFERROR(INDEX(Mapping!$H$3:$H$32,MATCH($B40,Mapping!$G$3:$G$32,0)),IF(LEFT($F40,3)="P2P",IFERROR(INDEX(Mapping!$E$3:$E$6,MATCH($G40,Mapping!$D$3:$D$6,0)),IFERROR(INDEX(Mapping!$B$3:$B$13,MATCH($J40,Mapping!$A$3:$A$13,0)),"(unmapped)")),IFERROR(INDEX(Mapping!$B$17:$B$22,MATCH($F40,Mapping!$A$17:$A$22,0)),$F40)&amp;" "&amp;IF($G40="Banking","Banking",IFERROR(INDEX(Mapping!$E$17:$E$28,MATCH($J40,Mapping!$D$17:$D$28,0)),"(unmapped)")))))</f>
        <v>R2R IB</v>
      </c>
    </row>
    <row r="41" spans="1:11" x14ac:dyDescent="0.3">
      <c r="A41" t="s">
        <v>42</v>
      </c>
      <c r="B41">
        <v>102435</v>
      </c>
      <c r="C41" t="s">
        <v>65</v>
      </c>
      <c r="D41" t="s">
        <v>380</v>
      </c>
      <c r="E41">
        <v>2026</v>
      </c>
      <c r="F41" t="s">
        <v>57</v>
      </c>
      <c r="H41" t="s">
        <v>45</v>
      </c>
      <c r="I41">
        <v>1</v>
      </c>
      <c r="J41" t="s">
        <v>46</v>
      </c>
      <c r="K41" s="37" t="str">
        <f>IF($D41="","",IFERROR(INDEX(Mapping!$H$3:$H$32,MATCH($B41,Mapping!$G$3:$G$32,0)),IF(LEFT($F41,3)="P2P",IFERROR(INDEX(Mapping!$E$3:$E$6,MATCH($G41,Mapping!$D$3:$D$6,0)),IFERROR(INDEX(Mapping!$B$3:$B$13,MATCH($J41,Mapping!$A$3:$A$13,0)),"(unmapped)")),IFERROR(INDEX(Mapping!$B$17:$B$22,MATCH($F41,Mapping!$A$17:$A$22,0)),$F41)&amp;" "&amp;IF($G41="Banking","Banking",IFERROR(INDEX(Mapping!$E$17:$E$28,MATCH($J41,Mapping!$D$17:$D$28,0)),"(unmapped)")))))</f>
        <v>AR IB</v>
      </c>
    </row>
    <row r="42" spans="1:11" x14ac:dyDescent="0.3">
      <c r="A42" t="s">
        <v>42</v>
      </c>
      <c r="B42">
        <v>102441</v>
      </c>
      <c r="C42" t="s">
        <v>66</v>
      </c>
      <c r="D42" t="s">
        <v>380</v>
      </c>
      <c r="E42">
        <v>2026</v>
      </c>
      <c r="F42" t="s">
        <v>57</v>
      </c>
      <c r="H42" t="s">
        <v>45</v>
      </c>
      <c r="I42">
        <v>1</v>
      </c>
      <c r="J42" t="s">
        <v>46</v>
      </c>
      <c r="K42" s="37" t="str">
        <f>IF($D42="","",IFERROR(INDEX(Mapping!$H$3:$H$32,MATCH($B42,Mapping!$G$3:$G$32,0)),IF(LEFT($F42,3)="P2P",IFERROR(INDEX(Mapping!$E$3:$E$6,MATCH($G42,Mapping!$D$3:$D$6,0)),IFERROR(INDEX(Mapping!$B$3:$B$13,MATCH($J42,Mapping!$A$3:$A$13,0)),"(unmapped)")),IFERROR(INDEX(Mapping!$B$17:$B$22,MATCH($F42,Mapping!$A$17:$A$22,0)),$F42)&amp;" "&amp;IF($G42="Banking","Banking",IFERROR(INDEX(Mapping!$E$17:$E$28,MATCH($J42,Mapping!$D$17:$D$28,0)),"(unmapped)")))))</f>
        <v>AR IB</v>
      </c>
    </row>
    <row r="43" spans="1:11" x14ac:dyDescent="0.3">
      <c r="A43" t="s">
        <v>42</v>
      </c>
      <c r="B43">
        <v>102447</v>
      </c>
      <c r="C43" t="s">
        <v>71</v>
      </c>
      <c r="D43" t="s">
        <v>380</v>
      </c>
      <c r="E43">
        <v>2026</v>
      </c>
      <c r="F43" t="s">
        <v>57</v>
      </c>
      <c r="H43" t="s">
        <v>55</v>
      </c>
      <c r="I43">
        <v>1</v>
      </c>
      <c r="J43" t="s">
        <v>46</v>
      </c>
      <c r="K43" s="37" t="str">
        <f>IF($D43="","",IFERROR(INDEX(Mapping!$H$3:$H$32,MATCH($B43,Mapping!$G$3:$G$32,0)),IF(LEFT($F43,3)="P2P",IFERROR(INDEX(Mapping!$E$3:$E$6,MATCH($G43,Mapping!$D$3:$D$6,0)),IFERROR(INDEX(Mapping!$B$3:$B$13,MATCH($J43,Mapping!$A$3:$A$13,0)),"(unmapped)")),IFERROR(INDEX(Mapping!$B$17:$B$22,MATCH($F43,Mapping!$A$17:$A$22,0)),$F43)&amp;" "&amp;IF($G43="Banking","Banking",IFERROR(INDEX(Mapping!$E$17:$E$28,MATCH($J43,Mapping!$D$17:$D$28,0)),"(unmapped)")))))</f>
        <v>AR IB</v>
      </c>
    </row>
    <row r="44" spans="1:11" x14ac:dyDescent="0.3">
      <c r="A44" t="s">
        <v>42</v>
      </c>
      <c r="B44">
        <v>102451</v>
      </c>
      <c r="C44" t="s">
        <v>97</v>
      </c>
      <c r="D44" t="s">
        <v>380</v>
      </c>
      <c r="E44">
        <v>2026</v>
      </c>
      <c r="F44" t="s">
        <v>84</v>
      </c>
      <c r="H44" t="s">
        <v>45</v>
      </c>
      <c r="I44">
        <v>1</v>
      </c>
      <c r="J44" t="s">
        <v>85</v>
      </c>
      <c r="K44" s="37" t="str">
        <f>IF($D44="","",IFERROR(INDEX(Mapping!$H$3:$H$32,MATCH($B44,Mapping!$G$3:$G$32,0)),IF(LEFT($F44,3)="P2P",IFERROR(INDEX(Mapping!$E$3:$E$6,MATCH($G44,Mapping!$D$3:$D$6,0)),IFERROR(INDEX(Mapping!$B$3:$B$13,MATCH($J44,Mapping!$A$3:$A$13,0)),"(unmapped)")),IFERROR(INDEX(Mapping!$B$17:$B$22,MATCH($F44,Mapping!$A$17:$A$22,0)),$F44)&amp;" "&amp;IF($G44="Banking","Banking",IFERROR(INDEX(Mapping!$E$17:$E$28,MATCH($J44,Mapping!$D$17:$D$28,0)),"(unmapped)")))))</f>
        <v>R2R Kunheim</v>
      </c>
    </row>
    <row r="45" spans="1:11" x14ac:dyDescent="0.3">
      <c r="A45" t="s">
        <v>42</v>
      </c>
      <c r="B45">
        <v>102466</v>
      </c>
      <c r="C45" t="s">
        <v>187</v>
      </c>
      <c r="D45" t="s">
        <v>380</v>
      </c>
      <c r="E45">
        <v>2026</v>
      </c>
      <c r="F45" t="s">
        <v>381</v>
      </c>
      <c r="H45" t="s">
        <v>45</v>
      </c>
      <c r="I45">
        <v>1</v>
      </c>
      <c r="J45" t="s">
        <v>1</v>
      </c>
      <c r="K45" s="37" t="str">
        <f>IF($D45="","",IFERROR(INDEX(Mapping!$H$3:$H$32,MATCH($B45,Mapping!$G$3:$G$32,0)),IF(LEFT($F45,3)="P2P",IFERROR(INDEX(Mapping!$E$3:$E$6,MATCH($G45,Mapping!$D$3:$D$6,0)),IFERROR(INDEX(Mapping!$B$3:$B$13,MATCH($J45,Mapping!$A$3:$A$13,0)),"(unmapped)")),IFERROR(INDEX(Mapping!$B$17:$B$22,MATCH($F45,Mapping!$A$17:$A$22,0)),$F45)&amp;" "&amp;IF($G45="Banking","Banking",IFERROR(INDEX(Mapping!$E$17:$E$28,MATCH($J45,Mapping!$D$17:$D$28,0)),"(unmapped)")))))</f>
        <v>P2P Vuelta FR</v>
      </c>
    </row>
    <row r="46" spans="1:11" x14ac:dyDescent="0.3">
      <c r="A46" t="s">
        <v>42</v>
      </c>
      <c r="B46">
        <v>102503</v>
      </c>
      <c r="C46" t="s">
        <v>134</v>
      </c>
      <c r="D46" t="s">
        <v>380</v>
      </c>
      <c r="E46">
        <v>2026</v>
      </c>
      <c r="F46" t="s">
        <v>57</v>
      </c>
      <c r="G46" t="s">
        <v>59</v>
      </c>
      <c r="H46" t="s">
        <v>55</v>
      </c>
      <c r="I46">
        <v>1</v>
      </c>
      <c r="J46" t="s">
        <v>46</v>
      </c>
      <c r="K46" s="37" t="str">
        <f>IF($D46="","",IFERROR(INDEX(Mapping!$H$3:$H$32,MATCH($B46,Mapping!$G$3:$G$32,0)),IF(LEFT($F46,3)="P2P",IFERROR(INDEX(Mapping!$E$3:$E$6,MATCH($G46,Mapping!$D$3:$D$6,0)),IFERROR(INDEX(Mapping!$B$3:$B$13,MATCH($J46,Mapping!$A$3:$A$13,0)),"(unmapped)")),IFERROR(INDEX(Mapping!$B$17:$B$22,MATCH($F46,Mapping!$A$17:$A$22,0)),$F46)&amp;" "&amp;IF($G46="Banking","Banking",IFERROR(INDEX(Mapping!$E$17:$E$28,MATCH($J46,Mapping!$D$17:$D$28,0)),"(unmapped)")))))</f>
        <v>AR Banking</v>
      </c>
    </row>
    <row r="47" spans="1:11" x14ac:dyDescent="0.3">
      <c r="A47" t="s">
        <v>42</v>
      </c>
      <c r="B47">
        <v>102509</v>
      </c>
      <c r="C47" t="s">
        <v>135</v>
      </c>
      <c r="D47" t="s">
        <v>380</v>
      </c>
      <c r="E47">
        <v>2026</v>
      </c>
      <c r="F47" t="s">
        <v>381</v>
      </c>
      <c r="H47" t="s">
        <v>45</v>
      </c>
      <c r="I47">
        <v>1</v>
      </c>
      <c r="J47" t="s">
        <v>1</v>
      </c>
      <c r="K47" s="37" t="str">
        <f>IF($D47="","",IFERROR(INDEX(Mapping!$H$3:$H$32,MATCH($B47,Mapping!$G$3:$G$32,0)),IF(LEFT($F47,3)="P2P",IFERROR(INDEX(Mapping!$E$3:$E$6,MATCH($G47,Mapping!$D$3:$D$6,0)),IFERROR(INDEX(Mapping!$B$3:$B$13,MATCH($J47,Mapping!$A$3:$A$13,0)),"(unmapped)")),IFERROR(INDEX(Mapping!$B$17:$B$22,MATCH($F47,Mapping!$A$17:$A$22,0)),$F47)&amp;" "&amp;IF($G47="Banking","Banking",IFERROR(INDEX(Mapping!$E$17:$E$28,MATCH($J47,Mapping!$D$17:$D$28,0)),"(unmapped)")))))</f>
        <v>P2P Vuelta FR</v>
      </c>
    </row>
    <row r="48" spans="1:11" x14ac:dyDescent="0.3">
      <c r="A48" t="s">
        <v>42</v>
      </c>
      <c r="B48">
        <v>102512</v>
      </c>
      <c r="C48" t="s">
        <v>191</v>
      </c>
      <c r="D48" t="s">
        <v>380</v>
      </c>
      <c r="E48">
        <v>2026</v>
      </c>
      <c r="F48" t="s">
        <v>381</v>
      </c>
      <c r="H48" t="s">
        <v>45</v>
      </c>
      <c r="I48">
        <v>0.625</v>
      </c>
      <c r="J48" t="s">
        <v>8</v>
      </c>
      <c r="K48" s="37" t="str">
        <f>IF($D48="","",IFERROR(INDEX(Mapping!$H$3:$H$32,MATCH($B48,Mapping!$G$3:$G$32,0)),IF(LEFT($F48,3)="P2P",IFERROR(INDEX(Mapping!$E$3:$E$6,MATCH($G48,Mapping!$D$3:$D$6,0)),IFERROR(INDEX(Mapping!$B$3:$B$13,MATCH($J48,Mapping!$A$3:$A$13,0)),"(unmapped)")),IFERROR(INDEX(Mapping!$B$17:$B$22,MATCH($F48,Mapping!$A$17:$A$22,0)),$F48)&amp;" "&amp;IF($G48="Banking","Banking",IFERROR(INDEX(Mapping!$E$17:$E$28,MATCH($J48,Mapping!$D$17:$D$28,0)),"(unmapped)")))))</f>
        <v>P2P Vuelta PS</v>
      </c>
    </row>
    <row r="49" spans="1:11" x14ac:dyDescent="0.3">
      <c r="A49" t="s">
        <v>42</v>
      </c>
      <c r="B49">
        <v>102542</v>
      </c>
      <c r="C49" t="s">
        <v>67</v>
      </c>
      <c r="D49" t="s">
        <v>380</v>
      </c>
      <c r="E49">
        <v>2026</v>
      </c>
      <c r="F49" t="s">
        <v>57</v>
      </c>
      <c r="H49" t="s">
        <v>45</v>
      </c>
      <c r="I49">
        <v>1</v>
      </c>
      <c r="J49" t="s">
        <v>46</v>
      </c>
      <c r="K49" s="37" t="str">
        <f>IF($D49="","",IFERROR(INDEX(Mapping!$H$3:$H$32,MATCH($B49,Mapping!$G$3:$G$32,0)),IF(LEFT($F49,3)="P2P",IFERROR(INDEX(Mapping!$E$3:$E$6,MATCH($G49,Mapping!$D$3:$D$6,0)),IFERROR(INDEX(Mapping!$B$3:$B$13,MATCH($J49,Mapping!$A$3:$A$13,0)),"(unmapped)")),IFERROR(INDEX(Mapping!$B$17:$B$22,MATCH($F49,Mapping!$A$17:$A$22,0)),$F49)&amp;" "&amp;IF($G49="Banking","Banking",IFERROR(INDEX(Mapping!$E$17:$E$28,MATCH($J49,Mapping!$D$17:$D$28,0)),"(unmapped)")))))</f>
        <v>AR IB</v>
      </c>
    </row>
    <row r="50" spans="1:11" x14ac:dyDescent="0.3">
      <c r="A50" t="s">
        <v>42</v>
      </c>
      <c r="B50">
        <v>102571</v>
      </c>
      <c r="C50" t="s">
        <v>98</v>
      </c>
      <c r="D50" t="s">
        <v>380</v>
      </c>
      <c r="E50">
        <v>2026</v>
      </c>
      <c r="F50" t="s">
        <v>84</v>
      </c>
      <c r="H50" t="s">
        <v>45</v>
      </c>
      <c r="I50">
        <v>1</v>
      </c>
      <c r="J50" t="s">
        <v>46</v>
      </c>
      <c r="K50" s="37" t="str">
        <f>IF($D50="","",IFERROR(INDEX(Mapping!$H$3:$H$32,MATCH($B50,Mapping!$G$3:$G$32,0)),IF(LEFT($F50,3)="P2P",IFERROR(INDEX(Mapping!$E$3:$E$6,MATCH($G50,Mapping!$D$3:$D$6,0)),IFERROR(INDEX(Mapping!$B$3:$B$13,MATCH($J50,Mapping!$A$3:$A$13,0)),"(unmapped)")),IFERROR(INDEX(Mapping!$B$17:$B$22,MATCH($F50,Mapping!$A$17:$A$22,0)),$F50)&amp;" "&amp;IF($G50="Banking","Banking",IFERROR(INDEX(Mapping!$E$17:$E$28,MATCH($J50,Mapping!$D$17:$D$28,0)),"(unmapped)")))))</f>
        <v>R2R IB</v>
      </c>
    </row>
    <row r="51" spans="1:11" x14ac:dyDescent="0.3">
      <c r="A51" t="s">
        <v>42</v>
      </c>
      <c r="B51">
        <v>102572</v>
      </c>
      <c r="C51" t="s">
        <v>109</v>
      </c>
      <c r="D51" t="s">
        <v>380</v>
      </c>
      <c r="E51">
        <v>2026</v>
      </c>
      <c r="F51" t="s">
        <v>84</v>
      </c>
      <c r="H51" t="s">
        <v>55</v>
      </c>
      <c r="I51">
        <v>1</v>
      </c>
      <c r="J51" t="s">
        <v>46</v>
      </c>
      <c r="K51" s="37" t="str">
        <f>IF($D51="","",IFERROR(INDEX(Mapping!$H$3:$H$32,MATCH($B51,Mapping!$G$3:$G$32,0)),IF(LEFT($F51,3)="P2P",IFERROR(INDEX(Mapping!$E$3:$E$6,MATCH($G51,Mapping!$D$3:$D$6,0)),IFERROR(INDEX(Mapping!$B$3:$B$13,MATCH($J51,Mapping!$A$3:$A$13,0)),"(unmapped)")),IFERROR(INDEX(Mapping!$B$17:$B$22,MATCH($F51,Mapping!$A$17:$A$22,0)),$F51)&amp;" "&amp;IF($G51="Banking","Banking",IFERROR(INDEX(Mapping!$E$17:$E$28,MATCH($J51,Mapping!$D$17:$D$28,0)),"(unmapped)")))))</f>
        <v>R2R IB</v>
      </c>
    </row>
    <row r="52" spans="1:11" x14ac:dyDescent="0.3">
      <c r="A52" t="s">
        <v>42</v>
      </c>
      <c r="B52">
        <v>102588</v>
      </c>
      <c r="C52" t="s">
        <v>162</v>
      </c>
      <c r="D52" t="s">
        <v>380</v>
      </c>
      <c r="E52">
        <v>2026</v>
      </c>
      <c r="F52" t="s">
        <v>118</v>
      </c>
      <c r="H52" t="s">
        <v>55</v>
      </c>
      <c r="I52">
        <v>1</v>
      </c>
      <c r="J52" t="s">
        <v>350</v>
      </c>
      <c r="K52" s="37" t="str">
        <f>IF($D52="","",IFERROR(INDEX(Mapping!$H$3:$H$32,MATCH($B52,Mapping!$G$3:$G$32,0)),IF(LEFT($F52,3)="P2P",IFERROR(INDEX(Mapping!$E$3:$E$6,MATCH($G52,Mapping!$D$3:$D$6,0)),IFERROR(INDEX(Mapping!$B$3:$B$13,MATCH($J52,Mapping!$A$3:$A$13,0)),"(unmapped)")),IFERROR(INDEX(Mapping!$B$17:$B$22,MATCH($F52,Mapping!$A$17:$A$22,0)),$F52)&amp;" "&amp;IF($G52="Banking","Banking",IFERROR(INDEX(Mapping!$E$17:$E$28,MATCH($J52,Mapping!$D$17:$D$28,0)),"(unmapped)")))))</f>
        <v>AP MA</v>
      </c>
    </row>
    <row r="53" spans="1:11" x14ac:dyDescent="0.3">
      <c r="A53" t="s">
        <v>42</v>
      </c>
      <c r="B53">
        <v>102623</v>
      </c>
      <c r="C53" t="s">
        <v>137</v>
      </c>
      <c r="D53" t="s">
        <v>380</v>
      </c>
      <c r="E53">
        <v>2026</v>
      </c>
      <c r="F53" t="s">
        <v>381</v>
      </c>
      <c r="H53" t="s">
        <v>45</v>
      </c>
      <c r="I53">
        <v>1</v>
      </c>
      <c r="J53" t="s">
        <v>1</v>
      </c>
      <c r="K53" s="37" t="str">
        <f>IF($D53="","",IFERROR(INDEX(Mapping!$H$3:$H$32,MATCH($B53,Mapping!$G$3:$G$32,0)),IF(LEFT($F53,3)="P2P",IFERROR(INDEX(Mapping!$E$3:$E$6,MATCH($G53,Mapping!$D$3:$D$6,0)),IFERROR(INDEX(Mapping!$B$3:$B$13,MATCH($J53,Mapping!$A$3:$A$13,0)),"(unmapped)")),IFERROR(INDEX(Mapping!$B$17:$B$22,MATCH($F53,Mapping!$A$17:$A$22,0)),$F53)&amp;" "&amp;IF($G53="Banking","Banking",IFERROR(INDEX(Mapping!$E$17:$E$28,MATCH($J53,Mapping!$D$17:$D$28,0)),"(unmapped)")))))</f>
        <v>P2P Vuelta FR</v>
      </c>
    </row>
    <row r="54" spans="1:11" x14ac:dyDescent="0.3">
      <c r="A54" t="s">
        <v>42</v>
      </c>
      <c r="B54">
        <v>102631</v>
      </c>
      <c r="C54" t="s">
        <v>142</v>
      </c>
      <c r="D54" t="s">
        <v>380</v>
      </c>
      <c r="E54">
        <v>2026</v>
      </c>
      <c r="F54" t="s">
        <v>381</v>
      </c>
      <c r="H54" t="s">
        <v>45</v>
      </c>
      <c r="I54">
        <v>1</v>
      </c>
      <c r="J54" t="s">
        <v>8</v>
      </c>
      <c r="K54" s="37" t="str">
        <f>IF($D54="","",IFERROR(INDEX(Mapping!$H$3:$H$32,MATCH($B54,Mapping!$G$3:$G$32,0)),IF(LEFT($F54,3)="P2P",IFERROR(INDEX(Mapping!$E$3:$E$6,MATCH($G54,Mapping!$D$3:$D$6,0)),IFERROR(INDEX(Mapping!$B$3:$B$13,MATCH($J54,Mapping!$A$3:$A$13,0)),"(unmapped)")),IFERROR(INDEX(Mapping!$B$17:$B$22,MATCH($F54,Mapping!$A$17:$A$22,0)),$F54)&amp;" "&amp;IF($G54="Banking","Banking",IFERROR(INDEX(Mapping!$E$17:$E$28,MATCH($J54,Mapping!$D$17:$D$28,0)),"(unmapped)")))))</f>
        <v>P2P Vuelta PS</v>
      </c>
    </row>
    <row r="55" spans="1:11" x14ac:dyDescent="0.3">
      <c r="A55" t="s">
        <v>42</v>
      </c>
      <c r="B55">
        <v>102643</v>
      </c>
      <c r="C55" t="s">
        <v>170</v>
      </c>
      <c r="D55" t="s">
        <v>380</v>
      </c>
      <c r="E55">
        <v>2026</v>
      </c>
      <c r="F55" t="s">
        <v>381</v>
      </c>
      <c r="H55" t="s">
        <v>45</v>
      </c>
      <c r="I55">
        <v>1</v>
      </c>
      <c r="J55" t="s">
        <v>8</v>
      </c>
      <c r="K55" s="37" t="str">
        <f>IF($D55="","",IFERROR(INDEX(Mapping!$H$3:$H$32,MATCH($B55,Mapping!$G$3:$G$32,0)),IF(LEFT($F55,3)="P2P",IFERROR(INDEX(Mapping!$E$3:$E$6,MATCH($G55,Mapping!$D$3:$D$6,0)),IFERROR(INDEX(Mapping!$B$3:$B$13,MATCH($J55,Mapping!$A$3:$A$13,0)),"(unmapped)")),IFERROR(INDEX(Mapping!$B$17:$B$22,MATCH($F55,Mapping!$A$17:$A$22,0)),$F55)&amp;" "&amp;IF($G55="Banking","Banking",IFERROR(INDEX(Mapping!$E$17:$E$28,MATCH($J55,Mapping!$D$17:$D$28,0)),"(unmapped)")))))</f>
        <v>P2P Vuelta PS</v>
      </c>
    </row>
    <row r="56" spans="1:11" x14ac:dyDescent="0.3">
      <c r="A56" t="s">
        <v>42</v>
      </c>
      <c r="B56">
        <v>102644</v>
      </c>
      <c r="C56" t="s">
        <v>163</v>
      </c>
      <c r="D56" t="s">
        <v>380</v>
      </c>
      <c r="E56">
        <v>2026</v>
      </c>
      <c r="F56" t="s">
        <v>84</v>
      </c>
      <c r="H56" t="s">
        <v>55</v>
      </c>
      <c r="I56">
        <v>1</v>
      </c>
      <c r="J56" t="s">
        <v>46</v>
      </c>
      <c r="K56" s="37" t="str">
        <f>IF($D56="","",IFERROR(INDEX(Mapping!$H$3:$H$32,MATCH($B56,Mapping!$G$3:$G$32,0)),IF(LEFT($F56,3)="P2P",IFERROR(INDEX(Mapping!$E$3:$E$6,MATCH($G56,Mapping!$D$3:$D$6,0)),IFERROR(INDEX(Mapping!$B$3:$B$13,MATCH($J56,Mapping!$A$3:$A$13,0)),"(unmapped)")),IFERROR(INDEX(Mapping!$B$17:$B$22,MATCH($F56,Mapping!$A$17:$A$22,0)),$F56)&amp;" "&amp;IF($G56="Banking","Banking",IFERROR(INDEX(Mapping!$E$17:$E$28,MATCH($J56,Mapping!$D$17:$D$28,0)),"(unmapped)")))))</f>
        <v>R2R IB</v>
      </c>
    </row>
    <row r="57" spans="1:11" x14ac:dyDescent="0.3">
      <c r="A57" t="s">
        <v>42</v>
      </c>
      <c r="B57">
        <v>102826</v>
      </c>
      <c r="C57" t="s">
        <v>68</v>
      </c>
      <c r="D57" t="s">
        <v>380</v>
      </c>
      <c r="E57">
        <v>2026</v>
      </c>
      <c r="F57" t="s">
        <v>57</v>
      </c>
      <c r="H57" t="s">
        <v>45</v>
      </c>
      <c r="I57">
        <v>1</v>
      </c>
      <c r="J57" t="s">
        <v>46</v>
      </c>
      <c r="K57" s="37" t="str">
        <f>IF($D57="","",IFERROR(INDEX(Mapping!$H$3:$H$32,MATCH($B57,Mapping!$G$3:$G$32,0)),IF(LEFT($F57,3)="P2P",IFERROR(INDEX(Mapping!$E$3:$E$6,MATCH($G57,Mapping!$D$3:$D$6,0)),IFERROR(INDEX(Mapping!$B$3:$B$13,MATCH($J57,Mapping!$A$3:$A$13,0)),"(unmapped)")),IFERROR(INDEX(Mapping!$B$17:$B$22,MATCH($F57,Mapping!$A$17:$A$22,0)),$F57)&amp;" "&amp;IF($G57="Banking","Banking",IFERROR(INDEX(Mapping!$E$17:$E$28,MATCH($J57,Mapping!$D$17:$D$28,0)),"(unmapped)")))))</f>
        <v>AR IB</v>
      </c>
    </row>
    <row r="58" spans="1:11" x14ac:dyDescent="0.3">
      <c r="A58" t="s">
        <v>42</v>
      </c>
      <c r="B58">
        <v>102865</v>
      </c>
      <c r="C58" t="s">
        <v>138</v>
      </c>
      <c r="D58" t="s">
        <v>380</v>
      </c>
      <c r="E58">
        <v>2026</v>
      </c>
      <c r="F58" t="s">
        <v>118</v>
      </c>
      <c r="H58" t="s">
        <v>55</v>
      </c>
      <c r="I58">
        <v>1</v>
      </c>
      <c r="J58" t="s">
        <v>350</v>
      </c>
      <c r="K58" s="37" t="str">
        <f>IF($D58="","",IFERROR(INDEX(Mapping!$H$3:$H$32,MATCH($B58,Mapping!$G$3:$G$32,0)),IF(LEFT($F58,3)="P2P",IFERROR(INDEX(Mapping!$E$3:$E$6,MATCH($G58,Mapping!$D$3:$D$6,0)),IFERROR(INDEX(Mapping!$B$3:$B$13,MATCH($J58,Mapping!$A$3:$A$13,0)),"(unmapped)")),IFERROR(INDEX(Mapping!$B$17:$B$22,MATCH($F58,Mapping!$A$17:$A$22,0)),$F58)&amp;" "&amp;IF($G58="Banking","Banking",IFERROR(INDEX(Mapping!$E$17:$E$28,MATCH($J58,Mapping!$D$17:$D$28,0)),"(unmapped)")))))</f>
        <v>AP MA</v>
      </c>
    </row>
    <row r="59" spans="1:11" x14ac:dyDescent="0.3">
      <c r="A59" t="s">
        <v>42</v>
      </c>
      <c r="B59">
        <v>102868</v>
      </c>
      <c r="C59" t="s">
        <v>99</v>
      </c>
      <c r="D59" t="s">
        <v>380</v>
      </c>
      <c r="E59">
        <v>2026</v>
      </c>
      <c r="F59" t="s">
        <v>118</v>
      </c>
      <c r="G59" t="s">
        <v>59</v>
      </c>
      <c r="H59" t="s">
        <v>45</v>
      </c>
      <c r="I59">
        <v>1</v>
      </c>
      <c r="J59" t="s">
        <v>85</v>
      </c>
      <c r="K59" s="37" t="str">
        <f>IF($D59="","",IFERROR(INDEX(Mapping!$H$3:$H$32,MATCH($B59,Mapping!$G$3:$G$32,0)),IF(LEFT($F59,3)="P2P",IFERROR(INDEX(Mapping!$E$3:$E$6,MATCH($G59,Mapping!$D$3:$D$6,0)),IFERROR(INDEX(Mapping!$B$3:$B$13,MATCH($J59,Mapping!$A$3:$A$13,0)),"(unmapped)")),IFERROR(INDEX(Mapping!$B$17:$B$22,MATCH($F59,Mapping!$A$17:$A$22,0)),$F59)&amp;" "&amp;IF($G59="Banking","Banking",IFERROR(INDEX(Mapping!$E$17:$E$28,MATCH($J59,Mapping!$D$17:$D$28,0)),"(unmapped)")))))</f>
        <v>Banking</v>
      </c>
    </row>
    <row r="60" spans="1:11" x14ac:dyDescent="0.3">
      <c r="A60" t="s">
        <v>42</v>
      </c>
      <c r="B60">
        <v>102896</v>
      </c>
      <c r="C60" t="s">
        <v>164</v>
      </c>
      <c r="D60" t="s">
        <v>380</v>
      </c>
      <c r="E60">
        <v>2026</v>
      </c>
      <c r="F60" t="s">
        <v>381</v>
      </c>
      <c r="H60" t="s">
        <v>45</v>
      </c>
      <c r="I60">
        <v>1</v>
      </c>
      <c r="J60" t="s">
        <v>8</v>
      </c>
      <c r="K60" s="37" t="str">
        <f>IF($D60="","",IFERROR(INDEX(Mapping!$H$3:$H$32,MATCH($B60,Mapping!$G$3:$G$32,0)),IF(LEFT($F60,3)="P2P",IFERROR(INDEX(Mapping!$E$3:$E$6,MATCH($G60,Mapping!$D$3:$D$6,0)),IFERROR(INDEX(Mapping!$B$3:$B$13,MATCH($J60,Mapping!$A$3:$A$13,0)),"(unmapped)")),IFERROR(INDEX(Mapping!$B$17:$B$22,MATCH($F60,Mapping!$A$17:$A$22,0)),$F60)&amp;" "&amp;IF($G60="Banking","Banking",IFERROR(INDEX(Mapping!$E$17:$E$28,MATCH($J60,Mapping!$D$17:$D$28,0)),"(unmapped)")))))</f>
        <v>P2P Vuelta PS</v>
      </c>
    </row>
    <row r="61" spans="1:11" x14ac:dyDescent="0.3">
      <c r="A61" t="s">
        <v>42</v>
      </c>
      <c r="B61">
        <v>102917</v>
      </c>
      <c r="C61" t="s">
        <v>72</v>
      </c>
      <c r="D61" t="s">
        <v>380</v>
      </c>
      <c r="E61">
        <v>2026</v>
      </c>
      <c r="F61" t="s">
        <v>57</v>
      </c>
      <c r="H61" t="s">
        <v>55</v>
      </c>
      <c r="I61">
        <v>1</v>
      </c>
      <c r="J61" t="s">
        <v>46</v>
      </c>
      <c r="K61" s="37" t="str">
        <f>IF($D61="","",IFERROR(INDEX(Mapping!$H$3:$H$32,MATCH($B61,Mapping!$G$3:$G$32,0)),IF(LEFT($F61,3)="P2P",IFERROR(INDEX(Mapping!$E$3:$E$6,MATCH($G61,Mapping!$D$3:$D$6,0)),IFERROR(INDEX(Mapping!$B$3:$B$13,MATCH($J61,Mapping!$A$3:$A$13,0)),"(unmapped)")),IFERROR(INDEX(Mapping!$B$17:$B$22,MATCH($F61,Mapping!$A$17:$A$22,0)),$F61)&amp;" "&amp;IF($G61="Banking","Banking",IFERROR(INDEX(Mapping!$E$17:$E$28,MATCH($J61,Mapping!$D$17:$D$28,0)),"(unmapped)")))))</f>
        <v>AR IB</v>
      </c>
    </row>
    <row r="62" spans="1:11" x14ac:dyDescent="0.3">
      <c r="A62" t="s">
        <v>42</v>
      </c>
      <c r="B62">
        <v>102918</v>
      </c>
      <c r="C62" t="s">
        <v>139</v>
      </c>
      <c r="D62" t="s">
        <v>380</v>
      </c>
      <c r="E62">
        <v>2026</v>
      </c>
      <c r="F62" t="s">
        <v>57</v>
      </c>
      <c r="H62" t="s">
        <v>45</v>
      </c>
      <c r="I62">
        <v>1</v>
      </c>
      <c r="J62" t="s">
        <v>125</v>
      </c>
      <c r="K62" s="37" t="str">
        <f>IF($D62="","",IFERROR(INDEX(Mapping!$H$3:$H$32,MATCH($B62,Mapping!$G$3:$G$32,0)),IF(LEFT($F62,3)="P2P",IFERROR(INDEX(Mapping!$E$3:$E$6,MATCH($G62,Mapping!$D$3:$D$6,0)),IFERROR(INDEX(Mapping!$B$3:$B$13,MATCH($J62,Mapping!$A$3:$A$13,0)),"(unmapped)")),IFERROR(INDEX(Mapping!$B$17:$B$22,MATCH($F62,Mapping!$A$17:$A$22,0)),$F62)&amp;" "&amp;IF($G62="Banking","Banking",IFERROR(INDEX(Mapping!$E$17:$E$28,MATCH($J62,Mapping!$D$17:$D$28,0)),"(unmapped)")))))</f>
        <v>AR Improvement</v>
      </c>
    </row>
    <row r="63" spans="1:11" x14ac:dyDescent="0.3">
      <c r="A63" t="s">
        <v>42</v>
      </c>
      <c r="B63">
        <v>102933</v>
      </c>
      <c r="C63" t="s">
        <v>51</v>
      </c>
      <c r="D63" t="s">
        <v>380</v>
      </c>
      <c r="E63">
        <v>2026</v>
      </c>
      <c r="F63" t="s">
        <v>52</v>
      </c>
      <c r="H63" t="s">
        <v>45</v>
      </c>
      <c r="I63">
        <v>1</v>
      </c>
      <c r="J63" t="s">
        <v>46</v>
      </c>
      <c r="K63" s="37" t="str">
        <f>IF($D63="","",IFERROR(INDEX(Mapping!$H$3:$H$32,MATCH($B63,Mapping!$G$3:$G$32,0)),IF(LEFT($F63,3)="P2P",IFERROR(INDEX(Mapping!$E$3:$E$6,MATCH($G63,Mapping!$D$3:$D$6,0)),IFERROR(INDEX(Mapping!$B$3:$B$13,MATCH($J63,Mapping!$A$3:$A$13,0)),"(unmapped)")),IFERROR(INDEX(Mapping!$B$17:$B$22,MATCH($F63,Mapping!$A$17:$A$22,0)),$F63)&amp;" "&amp;IF($G63="Banking","Banking",IFERROR(INDEX(Mapping!$E$17:$E$28,MATCH($J63,Mapping!$D$17:$D$28,0)),"(unmapped)")))))</f>
        <v>HR IB</v>
      </c>
    </row>
    <row r="64" spans="1:11" x14ac:dyDescent="0.3">
      <c r="A64" t="s">
        <v>42</v>
      </c>
      <c r="B64">
        <v>102938</v>
      </c>
      <c r="C64" t="s">
        <v>140</v>
      </c>
      <c r="D64" t="s">
        <v>380</v>
      </c>
      <c r="E64">
        <v>2026</v>
      </c>
      <c r="F64" t="s">
        <v>381</v>
      </c>
      <c r="G64" t="s">
        <v>347</v>
      </c>
      <c r="H64" t="s">
        <v>45</v>
      </c>
      <c r="I64">
        <v>1</v>
      </c>
      <c r="J64" t="s">
        <v>7</v>
      </c>
      <c r="K64" s="37" t="str">
        <f>IF($D64="","",IFERROR(INDEX(Mapping!$H$3:$H$32,MATCH($B64,Mapping!$G$3:$G$32,0)),IF(LEFT($F64,3)="P2P",IFERROR(INDEX(Mapping!$E$3:$E$6,MATCH($G64,Mapping!$D$3:$D$6,0)),IFERROR(INDEX(Mapping!$B$3:$B$13,MATCH($J64,Mapping!$A$3:$A$13,0)),"(unmapped)")),IFERROR(INDEX(Mapping!$B$17:$B$22,MATCH($F64,Mapping!$A$17:$A$22,0)),$F64)&amp;" "&amp;IF($G64="Banking","Banking",IFERROR(INDEX(Mapping!$E$17:$E$28,MATCH($J64,Mapping!$D$17:$D$28,0)),"(unmapped)")))))</f>
        <v>P2P Vuelta UK</v>
      </c>
    </row>
    <row r="65" spans="1:11" x14ac:dyDescent="0.3">
      <c r="A65" t="s">
        <v>42</v>
      </c>
      <c r="B65">
        <v>102946</v>
      </c>
      <c r="C65" t="s">
        <v>100</v>
      </c>
      <c r="D65" t="s">
        <v>380</v>
      </c>
      <c r="E65">
        <v>2026</v>
      </c>
      <c r="F65" t="s">
        <v>84</v>
      </c>
      <c r="H65" t="s">
        <v>45</v>
      </c>
      <c r="I65">
        <v>1</v>
      </c>
      <c r="J65" t="s">
        <v>85</v>
      </c>
      <c r="K65" s="37" t="str">
        <f>IF($D65="","",IFERROR(INDEX(Mapping!$H$3:$H$32,MATCH($B65,Mapping!$G$3:$G$32,0)),IF(LEFT($F65,3)="P2P",IFERROR(INDEX(Mapping!$E$3:$E$6,MATCH($G65,Mapping!$D$3:$D$6,0)),IFERROR(INDEX(Mapping!$B$3:$B$13,MATCH($J65,Mapping!$A$3:$A$13,0)),"(unmapped)")),IFERROR(INDEX(Mapping!$B$17:$B$22,MATCH($F65,Mapping!$A$17:$A$22,0)),$F65)&amp;" "&amp;IF($G65="Banking","Banking",IFERROR(INDEX(Mapping!$E$17:$E$28,MATCH($J65,Mapping!$D$17:$D$28,0)),"(unmapped)")))))</f>
        <v>R2R Kunheim</v>
      </c>
    </row>
    <row r="66" spans="1:11" x14ac:dyDescent="0.3">
      <c r="A66" t="s">
        <v>42</v>
      </c>
      <c r="B66">
        <v>102976</v>
      </c>
      <c r="C66" t="s">
        <v>141</v>
      </c>
      <c r="D66" t="s">
        <v>380</v>
      </c>
      <c r="E66">
        <v>2026</v>
      </c>
      <c r="F66" t="s">
        <v>381</v>
      </c>
      <c r="H66" t="s">
        <v>45</v>
      </c>
      <c r="I66">
        <v>1</v>
      </c>
      <c r="J66" t="s">
        <v>7</v>
      </c>
      <c r="K66" s="37" t="str">
        <f>IF($D66="","",IFERROR(INDEX(Mapping!$H$3:$H$32,MATCH($B66,Mapping!$G$3:$G$32,0)),IF(LEFT($F66,3)="P2P",IFERROR(INDEX(Mapping!$E$3:$E$6,MATCH($G66,Mapping!$D$3:$D$6,0)),IFERROR(INDEX(Mapping!$B$3:$B$13,MATCH($J66,Mapping!$A$3:$A$13,0)),"(unmapped)")),IFERROR(INDEX(Mapping!$B$17:$B$22,MATCH($F66,Mapping!$A$17:$A$22,0)),$F66)&amp;" "&amp;IF($G66="Banking","Banking",IFERROR(INDEX(Mapping!$E$17:$E$28,MATCH($J66,Mapping!$D$17:$D$28,0)),"(unmapped)")))))</f>
        <v>P2P Vuelta UK</v>
      </c>
    </row>
    <row r="67" spans="1:11" x14ac:dyDescent="0.3">
      <c r="A67" t="s">
        <v>42</v>
      </c>
      <c r="B67">
        <v>103000</v>
      </c>
      <c r="C67" t="s">
        <v>101</v>
      </c>
      <c r="D67" t="s">
        <v>380</v>
      </c>
      <c r="E67">
        <v>2026</v>
      </c>
      <c r="F67" t="s">
        <v>84</v>
      </c>
      <c r="H67" t="s">
        <v>45</v>
      </c>
      <c r="I67">
        <v>1</v>
      </c>
      <c r="J67" t="s">
        <v>85</v>
      </c>
      <c r="K67" s="37" t="str">
        <f>IF($D67="","",IFERROR(INDEX(Mapping!$H$3:$H$32,MATCH($B67,Mapping!$G$3:$G$32,0)),IF(LEFT($F67,3)="P2P",IFERROR(INDEX(Mapping!$E$3:$E$6,MATCH($G67,Mapping!$D$3:$D$6,0)),IFERROR(INDEX(Mapping!$B$3:$B$13,MATCH($J67,Mapping!$A$3:$A$13,0)),"(unmapped)")),IFERROR(INDEX(Mapping!$B$17:$B$22,MATCH($F67,Mapping!$A$17:$A$22,0)),$F67)&amp;" "&amp;IF($G67="Banking","Banking",IFERROR(INDEX(Mapping!$E$17:$E$28,MATCH($J67,Mapping!$D$17:$D$28,0)),"(unmapped)")))))</f>
        <v>R2R Kunheim</v>
      </c>
    </row>
    <row r="68" spans="1:11" x14ac:dyDescent="0.3">
      <c r="A68" t="s">
        <v>42</v>
      </c>
      <c r="B68">
        <v>103004</v>
      </c>
      <c r="C68" t="s">
        <v>110</v>
      </c>
      <c r="D68" t="s">
        <v>380</v>
      </c>
      <c r="E68">
        <v>2026</v>
      </c>
      <c r="F68" t="s">
        <v>84</v>
      </c>
      <c r="H68" t="s">
        <v>55</v>
      </c>
      <c r="I68">
        <v>1</v>
      </c>
      <c r="J68" t="s">
        <v>46</v>
      </c>
      <c r="K68" s="37" t="str">
        <f>IF($D68="","",IFERROR(INDEX(Mapping!$H$3:$H$32,MATCH($B68,Mapping!$G$3:$G$32,0)),IF(LEFT($F68,3)="P2P",IFERROR(INDEX(Mapping!$E$3:$E$6,MATCH($G68,Mapping!$D$3:$D$6,0)),IFERROR(INDEX(Mapping!$B$3:$B$13,MATCH($J68,Mapping!$A$3:$A$13,0)),"(unmapped)")),IFERROR(INDEX(Mapping!$B$17:$B$22,MATCH($F68,Mapping!$A$17:$A$22,0)),$F68)&amp;" "&amp;IF($G68="Banking","Banking",IFERROR(INDEX(Mapping!$E$17:$E$28,MATCH($J68,Mapping!$D$17:$D$28,0)),"(unmapped)")))))</f>
        <v>R2R IB</v>
      </c>
    </row>
    <row r="69" spans="1:11" x14ac:dyDescent="0.3">
      <c r="A69" t="s">
        <v>42</v>
      </c>
      <c r="B69">
        <v>103016</v>
      </c>
      <c r="C69" t="s">
        <v>172</v>
      </c>
      <c r="D69" t="s">
        <v>380</v>
      </c>
      <c r="E69">
        <v>2026</v>
      </c>
      <c r="F69" t="s">
        <v>381</v>
      </c>
      <c r="G69" t="s">
        <v>347</v>
      </c>
      <c r="H69" t="s">
        <v>45</v>
      </c>
      <c r="I69">
        <v>1</v>
      </c>
      <c r="J69" t="s">
        <v>128</v>
      </c>
      <c r="K69" s="37" t="str">
        <f>IF($D69="","",IFERROR(INDEX(Mapping!$H$3:$H$32,MATCH($B69,Mapping!$G$3:$G$32,0)),IF(LEFT($F69,3)="P2P",IFERROR(INDEX(Mapping!$E$3:$E$6,MATCH($G69,Mapping!$D$3:$D$6,0)),IFERROR(INDEX(Mapping!$B$3:$B$13,MATCH($J69,Mapping!$A$3:$A$13,0)),"(unmapped)")),IFERROR(INDEX(Mapping!$B$17:$B$22,MATCH($F69,Mapping!$A$17:$A$22,0)),$F69)&amp;" "&amp;IF($G69="Banking","Banking",IFERROR(INDEX(Mapping!$E$17:$E$28,MATCH($J69,Mapping!$D$17:$D$28,0)),"(unmapped)")))))</f>
        <v>P2P Vuelta BE</v>
      </c>
    </row>
    <row r="70" spans="1:11" x14ac:dyDescent="0.3">
      <c r="A70" t="s">
        <v>42</v>
      </c>
      <c r="B70">
        <v>103018</v>
      </c>
      <c r="C70" t="s">
        <v>69</v>
      </c>
      <c r="D70" t="s">
        <v>380</v>
      </c>
      <c r="E70">
        <v>2026</v>
      </c>
      <c r="F70" t="s">
        <v>57</v>
      </c>
      <c r="H70" t="s">
        <v>45</v>
      </c>
      <c r="I70">
        <v>1</v>
      </c>
      <c r="J70" t="s">
        <v>46</v>
      </c>
      <c r="K70" s="37" t="str">
        <f>IF($D70="","",IFERROR(INDEX(Mapping!$H$3:$H$32,MATCH($B70,Mapping!$G$3:$G$32,0)),IF(LEFT($F70,3)="P2P",IFERROR(INDEX(Mapping!$E$3:$E$6,MATCH($G70,Mapping!$D$3:$D$6,0)),IFERROR(INDEX(Mapping!$B$3:$B$13,MATCH($J70,Mapping!$A$3:$A$13,0)),"(unmapped)")),IFERROR(INDEX(Mapping!$B$17:$B$22,MATCH($F70,Mapping!$A$17:$A$22,0)),$F70)&amp;" "&amp;IF($G70="Banking","Banking",IFERROR(INDEX(Mapping!$E$17:$E$28,MATCH($J70,Mapping!$D$17:$D$28,0)),"(unmapped)")))))</f>
        <v>AR IB</v>
      </c>
    </row>
    <row r="71" spans="1:11" x14ac:dyDescent="0.3">
      <c r="A71" t="s">
        <v>42</v>
      </c>
      <c r="B71">
        <v>103024</v>
      </c>
      <c r="C71" t="s">
        <v>73</v>
      </c>
      <c r="D71" t="s">
        <v>380</v>
      </c>
      <c r="E71">
        <v>2026</v>
      </c>
      <c r="F71" t="s">
        <v>57</v>
      </c>
      <c r="H71" t="s">
        <v>55</v>
      </c>
      <c r="I71">
        <v>1</v>
      </c>
      <c r="J71" t="s">
        <v>46</v>
      </c>
      <c r="K71" s="37" t="str">
        <f>IF($D71="","",IFERROR(INDEX(Mapping!$H$3:$H$32,MATCH($B71,Mapping!$G$3:$G$32,0)),IF(LEFT($F71,3)="P2P",IFERROR(INDEX(Mapping!$E$3:$E$6,MATCH($G71,Mapping!$D$3:$D$6,0)),IFERROR(INDEX(Mapping!$B$3:$B$13,MATCH($J71,Mapping!$A$3:$A$13,0)),"(unmapped)")),IFERROR(INDEX(Mapping!$B$17:$B$22,MATCH($F71,Mapping!$A$17:$A$22,0)),$F71)&amp;" "&amp;IF($G71="Banking","Banking",IFERROR(INDEX(Mapping!$E$17:$E$28,MATCH($J71,Mapping!$D$17:$D$28,0)),"(unmapped)")))))</f>
        <v>AR IB</v>
      </c>
    </row>
    <row r="72" spans="1:11" x14ac:dyDescent="0.3">
      <c r="A72" t="s">
        <v>42</v>
      </c>
      <c r="B72">
        <v>103037</v>
      </c>
      <c r="C72" t="s">
        <v>74</v>
      </c>
      <c r="D72" t="s">
        <v>380</v>
      </c>
      <c r="E72">
        <v>2026</v>
      </c>
      <c r="F72" t="s">
        <v>57</v>
      </c>
      <c r="G72" t="s">
        <v>59</v>
      </c>
      <c r="H72" t="s">
        <v>55</v>
      </c>
      <c r="I72">
        <v>1</v>
      </c>
      <c r="J72" t="s">
        <v>46</v>
      </c>
      <c r="K72" s="37" t="str">
        <f>IF($D72="","",IFERROR(INDEX(Mapping!$H$3:$H$32,MATCH($B72,Mapping!$G$3:$G$32,0)),IF(LEFT($F72,3)="P2P",IFERROR(INDEX(Mapping!$E$3:$E$6,MATCH($G72,Mapping!$D$3:$D$6,0)),IFERROR(INDEX(Mapping!$B$3:$B$13,MATCH($J72,Mapping!$A$3:$A$13,0)),"(unmapped)")),IFERROR(INDEX(Mapping!$B$17:$B$22,MATCH($F72,Mapping!$A$17:$A$22,0)),$F72)&amp;" "&amp;IF($G72="Banking","Banking",IFERROR(INDEX(Mapping!$E$17:$E$28,MATCH($J72,Mapping!$D$17:$D$28,0)),"(unmapped)")))))</f>
        <v>AR Banking</v>
      </c>
    </row>
    <row r="73" spans="1:11" x14ac:dyDescent="0.3">
      <c r="A73" t="s">
        <v>42</v>
      </c>
      <c r="B73">
        <v>103038</v>
      </c>
      <c r="C73" t="s">
        <v>143</v>
      </c>
      <c r="D73" t="s">
        <v>380</v>
      </c>
      <c r="E73">
        <v>2026</v>
      </c>
      <c r="F73" t="s">
        <v>118</v>
      </c>
      <c r="H73" t="s">
        <v>45</v>
      </c>
      <c r="I73">
        <v>1</v>
      </c>
      <c r="J73" t="s">
        <v>46</v>
      </c>
      <c r="K73" s="37" t="str">
        <f>IF($D73="","",IFERROR(INDEX(Mapping!$H$3:$H$32,MATCH($B73,Mapping!$G$3:$G$32,0)),IF(LEFT($F73,3)="P2P",IFERROR(INDEX(Mapping!$E$3:$E$6,MATCH($G73,Mapping!$D$3:$D$6,0)),IFERROR(INDEX(Mapping!$B$3:$B$13,MATCH($J73,Mapping!$A$3:$A$13,0)),"(unmapped)")),IFERROR(INDEX(Mapping!$B$17:$B$22,MATCH($F73,Mapping!$A$17:$A$22,0)),$F73)&amp;" "&amp;IF($G73="Banking","Banking",IFERROR(INDEX(Mapping!$E$17:$E$28,MATCH($J73,Mapping!$D$17:$D$28,0)),"(unmapped)")))))</f>
        <v>AP IB</v>
      </c>
    </row>
    <row r="74" spans="1:11" x14ac:dyDescent="0.3">
      <c r="A74" t="s">
        <v>42</v>
      </c>
      <c r="B74">
        <v>103039</v>
      </c>
      <c r="C74" t="s">
        <v>111</v>
      </c>
      <c r="D74" t="s">
        <v>380</v>
      </c>
      <c r="E74">
        <v>2026</v>
      </c>
      <c r="F74" t="s">
        <v>84</v>
      </c>
      <c r="H74" t="s">
        <v>55</v>
      </c>
      <c r="I74">
        <v>1</v>
      </c>
      <c r="J74" t="s">
        <v>46</v>
      </c>
      <c r="K74" s="37" t="str">
        <f>IF($D74="","",IFERROR(INDEX(Mapping!$H$3:$H$32,MATCH($B74,Mapping!$G$3:$G$32,0)),IF(LEFT($F74,3)="P2P",IFERROR(INDEX(Mapping!$E$3:$E$6,MATCH($G74,Mapping!$D$3:$D$6,0)),IFERROR(INDEX(Mapping!$B$3:$B$13,MATCH($J74,Mapping!$A$3:$A$13,0)),"(unmapped)")),IFERROR(INDEX(Mapping!$B$17:$B$22,MATCH($F74,Mapping!$A$17:$A$22,0)),$F74)&amp;" "&amp;IF($G74="Banking","Banking",IFERROR(INDEX(Mapping!$E$17:$E$28,MATCH($J74,Mapping!$D$17:$D$28,0)),"(unmapped)")))))</f>
        <v>R2R IB</v>
      </c>
    </row>
    <row r="75" spans="1:11" x14ac:dyDescent="0.3">
      <c r="A75" t="s">
        <v>42</v>
      </c>
      <c r="B75">
        <v>103064</v>
      </c>
      <c r="C75" t="s">
        <v>165</v>
      </c>
      <c r="D75" t="s">
        <v>380</v>
      </c>
      <c r="E75">
        <v>2026</v>
      </c>
      <c r="F75" t="s">
        <v>84</v>
      </c>
      <c r="H75" t="s">
        <v>45</v>
      </c>
      <c r="I75">
        <v>1</v>
      </c>
      <c r="J75" t="s">
        <v>85</v>
      </c>
      <c r="K75" s="37" t="str">
        <f>IF($D75="","",IFERROR(INDEX(Mapping!$H$3:$H$32,MATCH($B75,Mapping!$G$3:$G$32,0)),IF(LEFT($F75,3)="P2P",IFERROR(INDEX(Mapping!$E$3:$E$6,MATCH($G75,Mapping!$D$3:$D$6,0)),IFERROR(INDEX(Mapping!$B$3:$B$13,MATCH($J75,Mapping!$A$3:$A$13,0)),"(unmapped)")),IFERROR(INDEX(Mapping!$B$17:$B$22,MATCH($F75,Mapping!$A$17:$A$22,0)),$F75)&amp;" "&amp;IF($G75="Banking","Banking",IFERROR(INDEX(Mapping!$E$17:$E$28,MATCH($J75,Mapping!$D$17:$D$28,0)),"(unmapped)")))))</f>
        <v>R2R Kunheim</v>
      </c>
    </row>
    <row r="76" spans="1:11" x14ac:dyDescent="0.3">
      <c r="A76" t="s">
        <v>42</v>
      </c>
      <c r="B76">
        <v>103118</v>
      </c>
      <c r="C76" t="s">
        <v>53</v>
      </c>
      <c r="D76" t="s">
        <v>380</v>
      </c>
      <c r="E76">
        <v>2026</v>
      </c>
      <c r="F76" t="s">
        <v>48</v>
      </c>
      <c r="H76" t="s">
        <v>49</v>
      </c>
      <c r="I76">
        <v>1</v>
      </c>
      <c r="J76" t="s">
        <v>50</v>
      </c>
      <c r="K76" s="37" t="str">
        <f>IF($D76="","",IFERROR(INDEX(Mapping!$H$3:$H$32,MATCH($B76,Mapping!$G$3:$G$32,0)),IF(LEFT($F76,3)="P2P",IFERROR(INDEX(Mapping!$E$3:$E$6,MATCH($G76,Mapping!$D$3:$D$6,0)),IFERROR(INDEX(Mapping!$B$3:$B$13,MATCH($J76,Mapping!$A$3:$A$13,0)),"(unmapped)")),IFERROR(INDEX(Mapping!$B$17:$B$22,MATCH($F76,Mapping!$A$17:$A$22,0)),$F76)&amp;" "&amp;IF($G76="Banking","Banking",IFERROR(INDEX(Mapping!$E$17:$E$28,MATCH($J76,Mapping!$D$17:$D$28,0)),"(unmapped)")))))</f>
        <v>OoS (unmapped)</v>
      </c>
    </row>
    <row r="77" spans="1:11" x14ac:dyDescent="0.3">
      <c r="A77" t="s">
        <v>42</v>
      </c>
      <c r="B77">
        <v>103119</v>
      </c>
      <c r="C77" t="s">
        <v>102</v>
      </c>
      <c r="D77" t="s">
        <v>380</v>
      </c>
      <c r="E77">
        <v>2026</v>
      </c>
      <c r="F77" t="s">
        <v>84</v>
      </c>
      <c r="H77" t="s">
        <v>55</v>
      </c>
      <c r="I77">
        <v>1</v>
      </c>
      <c r="J77" t="s">
        <v>46</v>
      </c>
      <c r="K77" s="37" t="str">
        <f>IF($D77="","",IFERROR(INDEX(Mapping!$H$3:$H$32,MATCH($B77,Mapping!$G$3:$G$32,0)),IF(LEFT($F77,3)="P2P",IFERROR(INDEX(Mapping!$E$3:$E$6,MATCH($G77,Mapping!$D$3:$D$6,0)),IFERROR(INDEX(Mapping!$B$3:$B$13,MATCH($J77,Mapping!$A$3:$A$13,0)),"(unmapped)")),IFERROR(INDEX(Mapping!$B$17:$B$22,MATCH($F77,Mapping!$A$17:$A$22,0)),$F77)&amp;" "&amp;IF($G77="Banking","Banking",IFERROR(INDEX(Mapping!$E$17:$E$28,MATCH($J77,Mapping!$D$17:$D$28,0)),"(unmapped)")))))</f>
        <v>R2R IB</v>
      </c>
    </row>
    <row r="78" spans="1:11" x14ac:dyDescent="0.3">
      <c r="A78" t="s">
        <v>42</v>
      </c>
      <c r="B78">
        <v>103152</v>
      </c>
      <c r="C78" t="s">
        <v>166</v>
      </c>
      <c r="D78" t="s">
        <v>380</v>
      </c>
      <c r="E78">
        <v>2026</v>
      </c>
      <c r="F78" t="s">
        <v>118</v>
      </c>
      <c r="H78" t="s">
        <v>55</v>
      </c>
      <c r="I78">
        <v>1</v>
      </c>
      <c r="J78" t="s">
        <v>46</v>
      </c>
      <c r="K78" s="37" t="str">
        <f>IF($D78="","",IFERROR(INDEX(Mapping!$H$3:$H$32,MATCH($B78,Mapping!$G$3:$G$32,0)),IF(LEFT($F78,3)="P2P",IFERROR(INDEX(Mapping!$E$3:$E$6,MATCH($G78,Mapping!$D$3:$D$6,0)),IFERROR(INDEX(Mapping!$B$3:$B$13,MATCH($J78,Mapping!$A$3:$A$13,0)),"(unmapped)")),IFERROR(INDEX(Mapping!$B$17:$B$22,MATCH($F78,Mapping!$A$17:$A$22,0)),$F78)&amp;" "&amp;IF($G78="Banking","Banking",IFERROR(INDEX(Mapping!$E$17:$E$28,MATCH($J78,Mapping!$D$17:$D$28,0)),"(unmapped)")))))</f>
        <v>AP IB</v>
      </c>
    </row>
    <row r="79" spans="1:11" x14ac:dyDescent="0.3">
      <c r="A79" t="s">
        <v>42</v>
      </c>
      <c r="B79">
        <v>103156</v>
      </c>
      <c r="C79" t="s">
        <v>103</v>
      </c>
      <c r="D79" t="s">
        <v>380</v>
      </c>
      <c r="E79">
        <v>2026</v>
      </c>
      <c r="F79" t="s">
        <v>381</v>
      </c>
      <c r="H79" t="s">
        <v>45</v>
      </c>
      <c r="I79">
        <v>1</v>
      </c>
      <c r="J79" t="s">
        <v>7</v>
      </c>
      <c r="K79" s="37" t="str">
        <f>IF($D79="","",IFERROR(INDEX(Mapping!$H$3:$H$32,MATCH($B79,Mapping!$G$3:$G$32,0)),IF(LEFT($F79,3)="P2P",IFERROR(INDEX(Mapping!$E$3:$E$6,MATCH($G79,Mapping!$D$3:$D$6,0)),IFERROR(INDEX(Mapping!$B$3:$B$13,MATCH($J79,Mapping!$A$3:$A$13,0)),"(unmapped)")),IFERROR(INDEX(Mapping!$B$17:$B$22,MATCH($F79,Mapping!$A$17:$A$22,0)),$F79)&amp;" "&amp;IF($G79="Banking","Banking",IFERROR(INDEX(Mapping!$E$17:$E$28,MATCH($J79,Mapping!$D$17:$D$28,0)),"(unmapped)")))))</f>
        <v>P2P Vuelta UK</v>
      </c>
    </row>
    <row r="80" spans="1:11" x14ac:dyDescent="0.3">
      <c r="A80" t="s">
        <v>42</v>
      </c>
      <c r="B80">
        <v>103157</v>
      </c>
      <c r="C80" t="s">
        <v>167</v>
      </c>
      <c r="D80" t="s">
        <v>380</v>
      </c>
      <c r="E80">
        <v>2026</v>
      </c>
      <c r="F80" t="s">
        <v>118</v>
      </c>
      <c r="H80" t="s">
        <v>55</v>
      </c>
      <c r="I80">
        <v>1</v>
      </c>
      <c r="J80" t="s">
        <v>3</v>
      </c>
      <c r="K80" s="37" t="str">
        <f>IF($D80="","",IFERROR(INDEX(Mapping!$H$3:$H$32,MATCH($B80,Mapping!$G$3:$G$32,0)),IF(LEFT($F80,3)="P2P",IFERROR(INDEX(Mapping!$E$3:$E$6,MATCH($G80,Mapping!$D$3:$D$6,0)),IFERROR(INDEX(Mapping!$B$3:$B$13,MATCH($J80,Mapping!$A$3:$A$13,0)),"(unmapped)")),IFERROR(INDEX(Mapping!$B$17:$B$22,MATCH($F80,Mapping!$A$17:$A$22,0)),$F80)&amp;" "&amp;IF($G80="Banking","Banking",IFERROR(INDEX(Mapping!$E$17:$E$28,MATCH($J80,Mapping!$D$17:$D$28,0)),"(unmapped)")))))</f>
        <v>AP IT</v>
      </c>
    </row>
    <row r="81" spans="1:11" x14ac:dyDescent="0.3">
      <c r="A81" t="s">
        <v>42</v>
      </c>
      <c r="B81">
        <v>103193</v>
      </c>
      <c r="C81" t="s">
        <v>144</v>
      </c>
      <c r="D81" t="s">
        <v>380</v>
      </c>
      <c r="E81">
        <v>2026</v>
      </c>
      <c r="F81" t="s">
        <v>381</v>
      </c>
      <c r="H81" t="s">
        <v>45</v>
      </c>
      <c r="I81">
        <v>1</v>
      </c>
      <c r="J81" t="s">
        <v>0</v>
      </c>
      <c r="K81" s="37" t="str">
        <f>IF($D81="","",IFERROR(INDEX(Mapping!$H$3:$H$32,MATCH($B81,Mapping!$G$3:$G$32,0)),IF(LEFT($F81,3)="P2P",IFERROR(INDEX(Mapping!$E$3:$E$6,MATCH($G81,Mapping!$D$3:$D$6,0)),IFERROR(INDEX(Mapping!$B$3:$B$13,MATCH($J81,Mapping!$A$3:$A$13,0)),"(unmapped)")),IFERROR(INDEX(Mapping!$B$17:$B$22,MATCH($F81,Mapping!$A$17:$A$22,0)),$F81)&amp;" "&amp;IF($G81="Banking","Banking",IFERROR(INDEX(Mapping!$E$17:$E$28,MATCH($J81,Mapping!$D$17:$D$28,0)),"(unmapped)")))))</f>
        <v>P2P Vuelta DE</v>
      </c>
    </row>
    <row r="82" spans="1:11" x14ac:dyDescent="0.3">
      <c r="A82" t="s">
        <v>42</v>
      </c>
      <c r="B82">
        <v>103197</v>
      </c>
      <c r="C82" t="s">
        <v>75</v>
      </c>
      <c r="D82" t="s">
        <v>380</v>
      </c>
      <c r="E82">
        <v>2026</v>
      </c>
      <c r="F82" t="s">
        <v>57</v>
      </c>
      <c r="H82" t="s">
        <v>55</v>
      </c>
      <c r="I82">
        <v>1</v>
      </c>
      <c r="J82" t="s">
        <v>46</v>
      </c>
      <c r="K82" s="37" t="str">
        <f>IF($D82="","",IFERROR(INDEX(Mapping!$H$3:$H$32,MATCH($B82,Mapping!$G$3:$G$32,0)),IF(LEFT($F82,3)="P2P",IFERROR(INDEX(Mapping!$E$3:$E$6,MATCH($G82,Mapping!$D$3:$D$6,0)),IFERROR(INDEX(Mapping!$B$3:$B$13,MATCH($J82,Mapping!$A$3:$A$13,0)),"(unmapped)")),IFERROR(INDEX(Mapping!$B$17:$B$22,MATCH($F82,Mapping!$A$17:$A$22,0)),$F82)&amp;" "&amp;IF($G82="Banking","Banking",IFERROR(INDEX(Mapping!$E$17:$E$28,MATCH($J82,Mapping!$D$17:$D$28,0)),"(unmapped)")))))</f>
        <v>AR IB</v>
      </c>
    </row>
    <row r="83" spans="1:11" x14ac:dyDescent="0.3">
      <c r="A83" t="s">
        <v>42</v>
      </c>
      <c r="B83">
        <v>103217</v>
      </c>
      <c r="C83" t="s">
        <v>145</v>
      </c>
      <c r="D83" t="s">
        <v>380</v>
      </c>
      <c r="E83">
        <v>2026</v>
      </c>
      <c r="F83" t="s">
        <v>381</v>
      </c>
      <c r="H83" t="s">
        <v>45</v>
      </c>
      <c r="I83">
        <v>1</v>
      </c>
      <c r="J83" t="s">
        <v>7</v>
      </c>
      <c r="K83" s="37" t="str">
        <f>IF($D83="","",IFERROR(INDEX(Mapping!$H$3:$H$32,MATCH($B83,Mapping!$G$3:$G$32,0)),IF(LEFT($F83,3)="P2P",IFERROR(INDEX(Mapping!$E$3:$E$6,MATCH($G83,Mapping!$D$3:$D$6,0)),IFERROR(INDEX(Mapping!$B$3:$B$13,MATCH($J83,Mapping!$A$3:$A$13,0)),"(unmapped)")),IFERROR(INDEX(Mapping!$B$17:$B$22,MATCH($F83,Mapping!$A$17:$A$22,0)),$F83)&amp;" "&amp;IF($G83="Banking","Banking",IFERROR(INDEX(Mapping!$E$17:$E$28,MATCH($J83,Mapping!$D$17:$D$28,0)),"(unmapped)")))))</f>
        <v>P2P Vuelta UK</v>
      </c>
    </row>
    <row r="84" spans="1:11" x14ac:dyDescent="0.3">
      <c r="A84" t="s">
        <v>42</v>
      </c>
      <c r="B84">
        <v>103222</v>
      </c>
      <c r="C84" t="s">
        <v>146</v>
      </c>
      <c r="D84" t="s">
        <v>380</v>
      </c>
      <c r="E84">
        <v>2026</v>
      </c>
      <c r="F84" t="s">
        <v>381</v>
      </c>
      <c r="H84" t="s">
        <v>45</v>
      </c>
      <c r="I84">
        <v>0.8125</v>
      </c>
      <c r="J84" t="s">
        <v>1</v>
      </c>
      <c r="K84" s="37" t="str">
        <f>IF($D84="","",IFERROR(INDEX(Mapping!$H$3:$H$32,MATCH($B84,Mapping!$G$3:$G$32,0)),IF(LEFT($F84,3)="P2P",IFERROR(INDEX(Mapping!$E$3:$E$6,MATCH($G84,Mapping!$D$3:$D$6,0)),IFERROR(INDEX(Mapping!$B$3:$B$13,MATCH($J84,Mapping!$A$3:$A$13,0)),"(unmapped)")),IFERROR(INDEX(Mapping!$B$17:$B$22,MATCH($F84,Mapping!$A$17:$A$22,0)),$F84)&amp;" "&amp;IF($G84="Banking","Banking",IFERROR(INDEX(Mapping!$E$17:$E$28,MATCH($J84,Mapping!$D$17:$D$28,0)),"(unmapped)")))))</f>
        <v>P2P Vuelta FR</v>
      </c>
    </row>
    <row r="85" spans="1:11" x14ac:dyDescent="0.3">
      <c r="A85" t="s">
        <v>42</v>
      </c>
      <c r="B85">
        <v>103261</v>
      </c>
      <c r="C85" t="s">
        <v>171</v>
      </c>
      <c r="D85" t="s">
        <v>380</v>
      </c>
      <c r="E85">
        <v>2026</v>
      </c>
      <c r="F85" t="s">
        <v>84</v>
      </c>
      <c r="H85" t="s">
        <v>55</v>
      </c>
      <c r="I85">
        <v>1</v>
      </c>
      <c r="J85" t="s">
        <v>46</v>
      </c>
      <c r="K85" s="37" t="str">
        <f>IF($D85="","",IFERROR(INDEX(Mapping!$H$3:$H$32,MATCH($B85,Mapping!$G$3:$G$32,0)),IF(LEFT($F85,3)="P2P",IFERROR(INDEX(Mapping!$E$3:$E$6,MATCH($G85,Mapping!$D$3:$D$6,0)),IFERROR(INDEX(Mapping!$B$3:$B$13,MATCH($J85,Mapping!$A$3:$A$13,0)),"(unmapped)")),IFERROR(INDEX(Mapping!$B$17:$B$22,MATCH($F85,Mapping!$A$17:$A$22,0)),$F85)&amp;" "&amp;IF($G85="Banking","Banking",IFERROR(INDEX(Mapping!$E$17:$E$28,MATCH($J85,Mapping!$D$17:$D$28,0)),"(unmapped)")))))</f>
        <v>R2R IB</v>
      </c>
    </row>
    <row r="86" spans="1:11" x14ac:dyDescent="0.3">
      <c r="A86" t="s">
        <v>42</v>
      </c>
      <c r="B86">
        <v>103267</v>
      </c>
      <c r="C86" t="s">
        <v>54</v>
      </c>
      <c r="D86" t="s">
        <v>380</v>
      </c>
      <c r="E86">
        <v>2026</v>
      </c>
      <c r="F86" t="s">
        <v>52</v>
      </c>
      <c r="H86" t="s">
        <v>55</v>
      </c>
      <c r="I86">
        <v>1</v>
      </c>
      <c r="J86" t="s">
        <v>46</v>
      </c>
      <c r="K86" s="37" t="str">
        <f>IF($D86="","",IFERROR(INDEX(Mapping!$H$3:$H$32,MATCH($B86,Mapping!$G$3:$G$32,0)),IF(LEFT($F86,3)="P2P",IFERROR(INDEX(Mapping!$E$3:$E$6,MATCH($G86,Mapping!$D$3:$D$6,0)),IFERROR(INDEX(Mapping!$B$3:$B$13,MATCH($J86,Mapping!$A$3:$A$13,0)),"(unmapped)")),IFERROR(INDEX(Mapping!$B$17:$B$22,MATCH($F86,Mapping!$A$17:$A$22,0)),$F86)&amp;" "&amp;IF($G86="Banking","Banking",IFERROR(INDEX(Mapping!$E$17:$E$28,MATCH($J86,Mapping!$D$17:$D$28,0)),"(unmapped)")))))</f>
        <v>HR IB</v>
      </c>
    </row>
    <row r="87" spans="1:11" x14ac:dyDescent="0.3">
      <c r="A87" t="s">
        <v>42</v>
      </c>
      <c r="B87">
        <v>103270</v>
      </c>
      <c r="C87" t="s">
        <v>147</v>
      </c>
      <c r="D87" t="s">
        <v>380</v>
      </c>
      <c r="E87">
        <v>2026</v>
      </c>
      <c r="F87" t="s">
        <v>118</v>
      </c>
      <c r="H87" t="s">
        <v>45</v>
      </c>
      <c r="I87">
        <v>1</v>
      </c>
      <c r="J87" t="s">
        <v>46</v>
      </c>
      <c r="K87" s="37" t="str">
        <f>IF($D87="","",IFERROR(INDEX(Mapping!$H$3:$H$32,MATCH($B87,Mapping!$G$3:$G$32,0)),IF(LEFT($F87,3)="P2P",IFERROR(INDEX(Mapping!$E$3:$E$6,MATCH($G87,Mapping!$D$3:$D$6,0)),IFERROR(INDEX(Mapping!$B$3:$B$13,MATCH($J87,Mapping!$A$3:$A$13,0)),"(unmapped)")),IFERROR(INDEX(Mapping!$B$17:$B$22,MATCH($F87,Mapping!$A$17:$A$22,0)),$F87)&amp;" "&amp;IF($G87="Banking","Banking",IFERROR(INDEX(Mapping!$E$17:$E$28,MATCH($J87,Mapping!$D$17:$D$28,0)),"(unmapped)")))))</f>
        <v>AP IB</v>
      </c>
    </row>
    <row r="88" spans="1:11" x14ac:dyDescent="0.3">
      <c r="A88" t="s">
        <v>42</v>
      </c>
      <c r="B88">
        <v>103271</v>
      </c>
      <c r="C88" t="s">
        <v>133</v>
      </c>
      <c r="D88" t="s">
        <v>380</v>
      </c>
      <c r="E88">
        <v>2026</v>
      </c>
      <c r="F88" t="s">
        <v>118</v>
      </c>
      <c r="H88" t="s">
        <v>55</v>
      </c>
      <c r="I88">
        <v>1</v>
      </c>
      <c r="J88" t="s">
        <v>46</v>
      </c>
      <c r="K88" s="37" t="str">
        <f>IF($D88="","",IFERROR(INDEX(Mapping!$H$3:$H$32,MATCH($B88,Mapping!$G$3:$G$32,0)),IF(LEFT($F88,3)="P2P",IFERROR(INDEX(Mapping!$E$3:$E$6,MATCH($G88,Mapping!$D$3:$D$6,0)),IFERROR(INDEX(Mapping!$B$3:$B$13,MATCH($J88,Mapping!$A$3:$A$13,0)),"(unmapped)")),IFERROR(INDEX(Mapping!$B$17:$B$22,MATCH($F88,Mapping!$A$17:$A$22,0)),$F88)&amp;" "&amp;IF($G88="Banking","Banking",IFERROR(INDEX(Mapping!$E$17:$E$28,MATCH($J88,Mapping!$D$17:$D$28,0)),"(unmapped)")))))</f>
        <v>AP IB</v>
      </c>
    </row>
    <row r="89" spans="1:11" x14ac:dyDescent="0.3">
      <c r="A89" t="s">
        <v>42</v>
      </c>
      <c r="B89">
        <v>103279</v>
      </c>
      <c r="C89" t="s">
        <v>148</v>
      </c>
      <c r="D89" t="s">
        <v>380</v>
      </c>
      <c r="E89">
        <v>2026</v>
      </c>
      <c r="F89" t="s">
        <v>84</v>
      </c>
      <c r="H89" t="s">
        <v>45</v>
      </c>
      <c r="I89">
        <v>1</v>
      </c>
      <c r="J89" t="s">
        <v>46</v>
      </c>
      <c r="K89" s="37" t="str">
        <f>IF($D89="","",IFERROR(INDEX(Mapping!$H$3:$H$32,MATCH($B89,Mapping!$G$3:$G$32,0)),IF(LEFT($F89,3)="P2P",IFERROR(INDEX(Mapping!$E$3:$E$6,MATCH($G89,Mapping!$D$3:$D$6,0)),IFERROR(INDEX(Mapping!$B$3:$B$13,MATCH($J89,Mapping!$A$3:$A$13,0)),"(unmapped)")),IFERROR(INDEX(Mapping!$B$17:$B$22,MATCH($F89,Mapping!$A$17:$A$22,0)),$F89)&amp;" "&amp;IF($G89="Banking","Banking",IFERROR(INDEX(Mapping!$E$17:$E$28,MATCH($J89,Mapping!$D$17:$D$28,0)),"(unmapped)")))))</f>
        <v>R2R IB</v>
      </c>
    </row>
    <row r="90" spans="1:11" x14ac:dyDescent="0.3">
      <c r="A90" t="s">
        <v>42</v>
      </c>
      <c r="B90">
        <v>103282</v>
      </c>
      <c r="C90" t="s">
        <v>149</v>
      </c>
      <c r="D90" t="s">
        <v>380</v>
      </c>
      <c r="E90">
        <v>2026</v>
      </c>
      <c r="F90" t="s">
        <v>118</v>
      </c>
      <c r="G90" t="s">
        <v>347</v>
      </c>
      <c r="H90" t="s">
        <v>45</v>
      </c>
      <c r="I90">
        <v>1</v>
      </c>
      <c r="J90" t="s">
        <v>46</v>
      </c>
      <c r="K90" s="37" t="str">
        <f>IF($D90="","",IFERROR(INDEX(Mapping!$H$3:$H$32,MATCH($B90,Mapping!$G$3:$G$32,0)),IF(LEFT($F90,3)="P2P",IFERROR(INDEX(Mapping!$E$3:$E$6,MATCH($G90,Mapping!$D$3:$D$6,0)),IFERROR(INDEX(Mapping!$B$3:$B$13,MATCH($J90,Mapping!$A$3:$A$13,0)),"(unmapped)")),IFERROR(INDEX(Mapping!$B$17:$B$22,MATCH($F90,Mapping!$A$17:$A$22,0)),$F90)&amp;" "&amp;IF($G90="Banking","Banking",IFERROR(INDEX(Mapping!$E$17:$E$28,MATCH($J90,Mapping!$D$17:$D$28,0)),"(unmapped)")))))</f>
        <v>AP Help Desk</v>
      </c>
    </row>
    <row r="91" spans="1:11" x14ac:dyDescent="0.3">
      <c r="A91" t="s">
        <v>42</v>
      </c>
      <c r="B91">
        <v>103283</v>
      </c>
      <c r="C91" t="s">
        <v>150</v>
      </c>
      <c r="D91" t="s">
        <v>380</v>
      </c>
      <c r="E91">
        <v>2026</v>
      </c>
      <c r="F91" t="s">
        <v>381</v>
      </c>
      <c r="H91" t="s">
        <v>45</v>
      </c>
      <c r="I91">
        <v>1</v>
      </c>
      <c r="J91" t="s">
        <v>1</v>
      </c>
      <c r="K91" s="37" t="str">
        <f>IF($D91="","",IFERROR(INDEX(Mapping!$H$3:$H$32,MATCH($B91,Mapping!$G$3:$G$32,0)),IF(LEFT($F91,3)="P2P",IFERROR(INDEX(Mapping!$E$3:$E$6,MATCH($G91,Mapping!$D$3:$D$6,0)),IFERROR(INDEX(Mapping!$B$3:$B$13,MATCH($J91,Mapping!$A$3:$A$13,0)),"(unmapped)")),IFERROR(INDEX(Mapping!$B$17:$B$22,MATCH($F91,Mapping!$A$17:$A$22,0)),$F91)&amp;" "&amp;IF($G91="Banking","Banking",IFERROR(INDEX(Mapping!$E$17:$E$28,MATCH($J91,Mapping!$D$17:$D$28,0)),"(unmapped)")))))</f>
        <v>P2P Vuelta FR</v>
      </c>
    </row>
    <row r="92" spans="1:11" x14ac:dyDescent="0.3">
      <c r="A92" t="s">
        <v>42</v>
      </c>
      <c r="B92">
        <v>103284</v>
      </c>
      <c r="C92" t="s">
        <v>151</v>
      </c>
      <c r="D92" t="s">
        <v>380</v>
      </c>
      <c r="E92">
        <v>2026</v>
      </c>
      <c r="F92" t="s">
        <v>57</v>
      </c>
      <c r="H92" t="s">
        <v>55</v>
      </c>
      <c r="I92">
        <v>1</v>
      </c>
      <c r="J92" t="s">
        <v>46</v>
      </c>
      <c r="K92" s="37" t="str">
        <f>IF($D92="","",IFERROR(INDEX(Mapping!$H$3:$H$32,MATCH($B92,Mapping!$G$3:$G$32,0)),IF(LEFT($F92,3)="P2P",IFERROR(INDEX(Mapping!$E$3:$E$6,MATCH($G92,Mapping!$D$3:$D$6,0)),IFERROR(INDEX(Mapping!$B$3:$B$13,MATCH($J92,Mapping!$A$3:$A$13,0)),"(unmapped)")),IFERROR(INDEX(Mapping!$B$17:$B$22,MATCH($F92,Mapping!$A$17:$A$22,0)),$F92)&amp;" "&amp;IF($G92="Banking","Banking",IFERROR(INDEX(Mapping!$E$17:$E$28,MATCH($J92,Mapping!$D$17:$D$28,0)),"(unmapped)")))))</f>
        <v>AR IB</v>
      </c>
    </row>
    <row r="93" spans="1:11" x14ac:dyDescent="0.3">
      <c r="A93" t="s">
        <v>42</v>
      </c>
      <c r="B93">
        <v>103285</v>
      </c>
      <c r="C93" t="s">
        <v>152</v>
      </c>
      <c r="D93" t="s">
        <v>380</v>
      </c>
      <c r="E93">
        <v>2026</v>
      </c>
      <c r="F93" t="s">
        <v>381</v>
      </c>
      <c r="H93" t="s">
        <v>45</v>
      </c>
      <c r="I93">
        <v>1</v>
      </c>
      <c r="J93" t="s">
        <v>1</v>
      </c>
      <c r="K93" s="37" t="str">
        <f>IF($D93="","",IFERROR(INDEX(Mapping!$H$3:$H$32,MATCH($B93,Mapping!$G$3:$G$32,0)),IF(LEFT($F93,3)="P2P",IFERROR(INDEX(Mapping!$E$3:$E$6,MATCH($G93,Mapping!$D$3:$D$6,0)),IFERROR(INDEX(Mapping!$B$3:$B$13,MATCH($J93,Mapping!$A$3:$A$13,0)),"(unmapped)")),IFERROR(INDEX(Mapping!$B$17:$B$22,MATCH($F93,Mapping!$A$17:$A$22,0)),$F93)&amp;" "&amp;IF($G93="Banking","Banking",IFERROR(INDEX(Mapping!$E$17:$E$28,MATCH($J93,Mapping!$D$17:$D$28,0)),"(unmapped)")))))</f>
        <v>P2P Vuelta FR</v>
      </c>
    </row>
    <row r="94" spans="1:11" x14ac:dyDescent="0.3">
      <c r="A94" t="s">
        <v>42</v>
      </c>
      <c r="B94">
        <v>103297</v>
      </c>
      <c r="C94" t="s">
        <v>112</v>
      </c>
      <c r="D94" t="s">
        <v>380</v>
      </c>
      <c r="E94">
        <v>2026</v>
      </c>
      <c r="F94" t="s">
        <v>84</v>
      </c>
      <c r="H94" t="s">
        <v>55</v>
      </c>
      <c r="I94">
        <v>1</v>
      </c>
      <c r="J94" t="s">
        <v>46</v>
      </c>
      <c r="K94" s="37" t="str">
        <f>IF($D94="","",IFERROR(INDEX(Mapping!$H$3:$H$32,MATCH($B94,Mapping!$G$3:$G$32,0)),IF(LEFT($F94,3)="P2P",IFERROR(INDEX(Mapping!$E$3:$E$6,MATCH($G94,Mapping!$D$3:$D$6,0)),IFERROR(INDEX(Mapping!$B$3:$B$13,MATCH($J94,Mapping!$A$3:$A$13,0)),"(unmapped)")),IFERROR(INDEX(Mapping!$B$17:$B$22,MATCH($F94,Mapping!$A$17:$A$22,0)),$F94)&amp;" "&amp;IF($G94="Banking","Banking",IFERROR(INDEX(Mapping!$E$17:$E$28,MATCH($J94,Mapping!$D$17:$D$28,0)),"(unmapped)")))))</f>
        <v>R2R IB</v>
      </c>
    </row>
    <row r="95" spans="1:11" x14ac:dyDescent="0.3">
      <c r="A95" t="s">
        <v>42</v>
      </c>
      <c r="B95">
        <v>103299</v>
      </c>
      <c r="C95" t="s">
        <v>153</v>
      </c>
      <c r="D95" t="s">
        <v>380</v>
      </c>
      <c r="E95">
        <v>2026</v>
      </c>
      <c r="F95" t="s">
        <v>118</v>
      </c>
      <c r="H95" t="s">
        <v>55</v>
      </c>
      <c r="I95">
        <v>1</v>
      </c>
      <c r="J95" t="s">
        <v>46</v>
      </c>
      <c r="K95" s="38" t="str">
        <f>IF($D95="","",IFERROR(INDEX(Mapping!$H$3:$H$32,MATCH($B95,Mapping!$G$3:$G$32,0)),IF(LEFT($F95,3)="P2P",IFERROR(INDEX(Mapping!$E$3:$E$6,MATCH($G95,Mapping!$D$3:$D$6,0)),IFERROR(INDEX(Mapping!$B$3:$B$13,MATCH($J95,Mapping!$A$3:$A$13,0)),"(unmapped)")),IFERROR(INDEX(Mapping!$B$17:$B$22,MATCH($F95,Mapping!$A$17:$A$22,0)),$F95)&amp;" "&amp;IF($G95="Banking","Banking",IFERROR(INDEX(Mapping!$E$17:$E$28,MATCH($J95,Mapping!$D$17:$D$28,0)),"(unmapped)")))))</f>
        <v>AP IB</v>
      </c>
    </row>
    <row r="96" spans="1:11" x14ac:dyDescent="0.3">
      <c r="A96" t="s">
        <v>42</v>
      </c>
      <c r="B96">
        <v>103300</v>
      </c>
      <c r="C96" t="s">
        <v>168</v>
      </c>
      <c r="D96" t="s">
        <v>380</v>
      </c>
      <c r="E96">
        <v>2026</v>
      </c>
      <c r="F96" t="s">
        <v>57</v>
      </c>
      <c r="H96" t="s">
        <v>55</v>
      </c>
      <c r="I96">
        <v>1</v>
      </c>
      <c r="J96" t="s">
        <v>46</v>
      </c>
      <c r="K96" s="37" t="str">
        <f>IF($D96="","",IFERROR(INDEX(Mapping!$H$3:$H$32,MATCH($B96,Mapping!$G$3:$G$32,0)),IF(LEFT($F96,3)="P2P",IFERROR(INDEX(Mapping!$E$3:$E$6,MATCH($G96,Mapping!$D$3:$D$6,0)),IFERROR(INDEX(Mapping!$B$3:$B$13,MATCH($J96,Mapping!$A$3:$A$13,0)),"(unmapped)")),IFERROR(INDEX(Mapping!$B$17:$B$22,MATCH($F96,Mapping!$A$17:$A$22,0)),$F96)&amp;" "&amp;IF($G96="Banking","Banking",IFERROR(INDEX(Mapping!$E$17:$E$28,MATCH($J96,Mapping!$D$17:$D$28,0)),"(unmapped)")))))</f>
        <v>AR IB</v>
      </c>
    </row>
    <row r="97" spans="1:11" x14ac:dyDescent="0.3">
      <c r="A97" t="s">
        <v>42</v>
      </c>
      <c r="B97">
        <v>103304</v>
      </c>
      <c r="C97" t="s">
        <v>76</v>
      </c>
      <c r="D97" t="s">
        <v>380</v>
      </c>
      <c r="E97">
        <v>2026</v>
      </c>
      <c r="F97" t="s">
        <v>57</v>
      </c>
      <c r="H97" t="s">
        <v>55</v>
      </c>
      <c r="I97">
        <v>1</v>
      </c>
      <c r="J97" t="s">
        <v>46</v>
      </c>
      <c r="K97" s="37" t="str">
        <f>IF($D97="","",IFERROR(INDEX(Mapping!$H$3:$H$32,MATCH($B97,Mapping!$G$3:$G$32,0)),IF(LEFT($F97,3)="P2P",IFERROR(INDEX(Mapping!$E$3:$E$6,MATCH($G97,Mapping!$D$3:$D$6,0)),IFERROR(INDEX(Mapping!$B$3:$B$13,MATCH($J97,Mapping!$A$3:$A$13,0)),"(unmapped)")),IFERROR(INDEX(Mapping!$B$17:$B$22,MATCH($F97,Mapping!$A$17:$A$22,0)),$F97)&amp;" "&amp;IF($G97="Banking","Banking",IFERROR(INDEX(Mapping!$E$17:$E$28,MATCH($J97,Mapping!$D$17:$D$28,0)),"(unmapped)")))))</f>
        <v>AR IB</v>
      </c>
    </row>
    <row r="98" spans="1:11" x14ac:dyDescent="0.3">
      <c r="A98" t="s">
        <v>42</v>
      </c>
      <c r="B98">
        <v>103311</v>
      </c>
      <c r="C98" t="s">
        <v>104</v>
      </c>
      <c r="D98" t="s">
        <v>380</v>
      </c>
      <c r="E98">
        <v>2026</v>
      </c>
      <c r="F98" t="s">
        <v>84</v>
      </c>
      <c r="H98" t="s">
        <v>45</v>
      </c>
      <c r="I98">
        <v>1</v>
      </c>
      <c r="J98" t="s">
        <v>46</v>
      </c>
      <c r="K98" s="37" t="str">
        <f>IF($D98="","",IFERROR(INDEX(Mapping!$H$3:$H$32,MATCH($B98,Mapping!$G$3:$G$32,0)),IF(LEFT($F98,3)="P2P",IFERROR(INDEX(Mapping!$E$3:$E$6,MATCH($G98,Mapping!$D$3:$D$6,0)),IFERROR(INDEX(Mapping!$B$3:$B$13,MATCH($J98,Mapping!$A$3:$A$13,0)),"(unmapped)")),IFERROR(INDEX(Mapping!$B$17:$B$22,MATCH($F98,Mapping!$A$17:$A$22,0)),$F98)&amp;" "&amp;IF($G98="Banking","Banking",IFERROR(INDEX(Mapping!$E$17:$E$28,MATCH($J98,Mapping!$D$17:$D$28,0)),"(unmapped)")))))</f>
        <v>R2R IB</v>
      </c>
    </row>
    <row r="99" spans="1:11" x14ac:dyDescent="0.3">
      <c r="A99" t="s">
        <v>42</v>
      </c>
      <c r="B99">
        <v>103313</v>
      </c>
      <c r="C99" t="s">
        <v>154</v>
      </c>
      <c r="D99" t="s">
        <v>380</v>
      </c>
      <c r="E99">
        <v>2026</v>
      </c>
      <c r="F99" t="s">
        <v>381</v>
      </c>
      <c r="G99" t="s">
        <v>347</v>
      </c>
      <c r="H99" t="s">
        <v>45</v>
      </c>
      <c r="I99">
        <v>1</v>
      </c>
      <c r="J99" t="s">
        <v>0</v>
      </c>
      <c r="K99" s="37" t="str">
        <f>IF($D99="","",IFERROR(INDEX(Mapping!$H$3:$H$32,MATCH($B99,Mapping!$G$3:$G$32,0)),IF(LEFT($F99,3)="P2P",IFERROR(INDEX(Mapping!$E$3:$E$6,MATCH($G99,Mapping!$D$3:$D$6,0)),IFERROR(INDEX(Mapping!$B$3:$B$13,MATCH($J99,Mapping!$A$3:$A$13,0)),"(unmapped)")),IFERROR(INDEX(Mapping!$B$17:$B$22,MATCH($F99,Mapping!$A$17:$A$22,0)),$F99)&amp;" "&amp;IF($G99="Banking","Banking",IFERROR(INDEX(Mapping!$E$17:$E$28,MATCH($J99,Mapping!$D$17:$D$28,0)),"(unmapped)")))))</f>
        <v>P2P Vuelta DE</v>
      </c>
    </row>
    <row r="100" spans="1:11" x14ac:dyDescent="0.3">
      <c r="A100" t="s">
        <v>42</v>
      </c>
      <c r="B100">
        <v>103314</v>
      </c>
      <c r="C100" t="s">
        <v>169</v>
      </c>
      <c r="D100" t="s">
        <v>380</v>
      </c>
      <c r="E100">
        <v>2026</v>
      </c>
      <c r="F100" t="s">
        <v>118</v>
      </c>
      <c r="H100" t="s">
        <v>55</v>
      </c>
      <c r="I100">
        <v>1</v>
      </c>
      <c r="J100" t="s">
        <v>350</v>
      </c>
      <c r="K100" s="37" t="str">
        <f>IF($D100="","",IFERROR(INDEX(Mapping!$H$3:$H$32,MATCH($B100,Mapping!$G$3:$G$32,0)),IF(LEFT($F100,3)="P2P",IFERROR(INDEX(Mapping!$E$3:$E$6,MATCH($G100,Mapping!$D$3:$D$6,0)),IFERROR(INDEX(Mapping!$B$3:$B$13,MATCH($J100,Mapping!$A$3:$A$13,0)),"(unmapped)")),IFERROR(INDEX(Mapping!$B$17:$B$22,MATCH($F100,Mapping!$A$17:$A$22,0)),$F100)&amp;" "&amp;IF($G100="Banking","Banking",IFERROR(INDEX(Mapping!$E$17:$E$28,MATCH($J100,Mapping!$D$17:$D$28,0)),"(unmapped)")))))</f>
        <v>AP MA</v>
      </c>
    </row>
    <row r="101" spans="1:11" x14ac:dyDescent="0.3">
      <c r="A101" t="s">
        <v>42</v>
      </c>
      <c r="B101">
        <v>103315</v>
      </c>
      <c r="C101" t="s">
        <v>155</v>
      </c>
      <c r="D101" t="s">
        <v>380</v>
      </c>
      <c r="E101">
        <v>2026</v>
      </c>
      <c r="F101" t="s">
        <v>84</v>
      </c>
      <c r="H101" t="s">
        <v>55</v>
      </c>
      <c r="I101">
        <v>1</v>
      </c>
      <c r="J101" t="s">
        <v>46</v>
      </c>
      <c r="K101" s="37" t="str">
        <f>IF($D101="","",IFERROR(INDEX(Mapping!$H$3:$H$32,MATCH($B101,Mapping!$G$3:$G$32,0)),IF(LEFT($F101,3)="P2P",IFERROR(INDEX(Mapping!$E$3:$E$6,MATCH($G101,Mapping!$D$3:$D$6,0)),IFERROR(INDEX(Mapping!$B$3:$B$13,MATCH($J101,Mapping!$A$3:$A$13,0)),"(unmapped)")),IFERROR(INDEX(Mapping!$B$17:$B$22,MATCH($F101,Mapping!$A$17:$A$22,0)),$F101)&amp;" "&amp;IF($G101="Banking","Banking",IFERROR(INDEX(Mapping!$E$17:$E$28,MATCH($J101,Mapping!$D$17:$D$28,0)),"(unmapped)")))))</f>
        <v>R2R IB</v>
      </c>
    </row>
    <row r="102" spans="1:11" x14ac:dyDescent="0.3">
      <c r="A102" t="s">
        <v>42</v>
      </c>
      <c r="B102">
        <v>103336</v>
      </c>
      <c r="C102" t="s">
        <v>77</v>
      </c>
      <c r="D102" t="s">
        <v>380</v>
      </c>
      <c r="E102">
        <v>2026</v>
      </c>
      <c r="F102" t="s">
        <v>57</v>
      </c>
      <c r="H102" t="s">
        <v>55</v>
      </c>
      <c r="I102">
        <v>1</v>
      </c>
      <c r="J102" t="s">
        <v>46</v>
      </c>
      <c r="K102" s="37" t="str">
        <f>IF($D102="","",IFERROR(INDEX(Mapping!$H$3:$H$32,MATCH($B102,Mapping!$G$3:$G$32,0)),IF(LEFT($F102,3)="P2P",IFERROR(INDEX(Mapping!$E$3:$E$6,MATCH($G102,Mapping!$D$3:$D$6,0)),IFERROR(INDEX(Mapping!$B$3:$B$13,MATCH($J102,Mapping!$A$3:$A$13,0)),"(unmapped)")),IFERROR(INDEX(Mapping!$B$17:$B$22,MATCH($F102,Mapping!$A$17:$A$22,0)),$F102)&amp;" "&amp;IF($G102="Banking","Banking",IFERROR(INDEX(Mapping!$E$17:$E$28,MATCH($J102,Mapping!$D$17:$D$28,0)),"(unmapped)")))))</f>
        <v>AR IB</v>
      </c>
    </row>
    <row r="103" spans="1:11" x14ac:dyDescent="0.3">
      <c r="A103" t="s">
        <v>42</v>
      </c>
      <c r="B103">
        <v>103317</v>
      </c>
      <c r="C103" t="s">
        <v>113</v>
      </c>
      <c r="D103" t="s">
        <v>380</v>
      </c>
      <c r="E103">
        <v>2026</v>
      </c>
      <c r="F103" t="s">
        <v>84</v>
      </c>
      <c r="H103" t="s">
        <v>55</v>
      </c>
      <c r="I103">
        <v>1</v>
      </c>
      <c r="J103" t="s">
        <v>46</v>
      </c>
      <c r="K103" s="37" t="str">
        <f>IF($D103="","",IFERROR(INDEX(Mapping!$H$3:$H$32,MATCH($B103,Mapping!$G$3:$G$32,0)),IF(LEFT($F103,3)="P2P",IFERROR(INDEX(Mapping!$E$3:$E$6,MATCH($G103,Mapping!$D$3:$D$6,0)),IFERROR(INDEX(Mapping!$B$3:$B$13,MATCH($J103,Mapping!$A$3:$A$13,0)),"(unmapped)")),IFERROR(INDEX(Mapping!$B$17:$B$22,MATCH($F103,Mapping!$A$17:$A$22,0)),$F103)&amp;" "&amp;IF($G103="Banking","Banking",IFERROR(INDEX(Mapping!$E$17:$E$28,MATCH($J103,Mapping!$D$17:$D$28,0)),"(unmapped)")))))</f>
        <v>R2R IB</v>
      </c>
    </row>
    <row r="104" spans="1:11" x14ac:dyDescent="0.3">
      <c r="A104" t="s">
        <v>42</v>
      </c>
      <c r="B104">
        <v>103319</v>
      </c>
      <c r="C104" t="s">
        <v>78</v>
      </c>
      <c r="D104" t="s">
        <v>380</v>
      </c>
      <c r="E104">
        <v>2026</v>
      </c>
      <c r="F104" t="s">
        <v>57</v>
      </c>
      <c r="H104" t="s">
        <v>55</v>
      </c>
      <c r="I104">
        <v>1</v>
      </c>
      <c r="J104" t="s">
        <v>46</v>
      </c>
      <c r="K104" s="37" t="str">
        <f>IF($D104="","",IFERROR(INDEX(Mapping!$H$3:$H$32,MATCH($B104,Mapping!$G$3:$G$32,0)),IF(LEFT($F104,3)="P2P",IFERROR(INDEX(Mapping!$E$3:$E$6,MATCH($G104,Mapping!$D$3:$D$6,0)),IFERROR(INDEX(Mapping!$B$3:$B$13,MATCH($J104,Mapping!$A$3:$A$13,0)),"(unmapped)")),IFERROR(INDEX(Mapping!$B$17:$B$22,MATCH($F104,Mapping!$A$17:$A$22,0)),$F104)&amp;" "&amp;IF($G104="Banking","Banking",IFERROR(INDEX(Mapping!$E$17:$E$28,MATCH($J104,Mapping!$D$17:$D$28,0)),"(unmapped)")))))</f>
        <v>AR IB</v>
      </c>
    </row>
    <row r="105" spans="1:11" x14ac:dyDescent="0.3">
      <c r="A105" t="s">
        <v>42</v>
      </c>
      <c r="B105">
        <v>103329</v>
      </c>
      <c r="C105" t="s">
        <v>79</v>
      </c>
      <c r="D105" t="s">
        <v>380</v>
      </c>
      <c r="E105">
        <v>2026</v>
      </c>
      <c r="F105" t="s">
        <v>57</v>
      </c>
      <c r="H105" t="s">
        <v>55</v>
      </c>
      <c r="I105">
        <v>0.8</v>
      </c>
      <c r="J105" t="s">
        <v>46</v>
      </c>
      <c r="K105" s="37" t="str">
        <f>IF($D105="","",IFERROR(INDEX(Mapping!$H$3:$H$32,MATCH($B105,Mapping!$G$3:$G$32,0)),IF(LEFT($F105,3)="P2P",IFERROR(INDEX(Mapping!$E$3:$E$6,MATCH($G105,Mapping!$D$3:$D$6,0)),IFERROR(INDEX(Mapping!$B$3:$B$13,MATCH($J105,Mapping!$A$3:$A$13,0)),"(unmapped)")),IFERROR(INDEX(Mapping!$B$17:$B$22,MATCH($F105,Mapping!$A$17:$A$22,0)),$F105)&amp;" "&amp;IF($G105="Banking","Banking",IFERROR(INDEX(Mapping!$E$17:$E$28,MATCH($J105,Mapping!$D$17:$D$28,0)),"(unmapped)")))))</f>
        <v>AR IB</v>
      </c>
    </row>
    <row r="106" spans="1:11" x14ac:dyDescent="0.3">
      <c r="A106" t="s">
        <v>42</v>
      </c>
      <c r="B106">
        <v>103333</v>
      </c>
      <c r="C106" t="s">
        <v>114</v>
      </c>
      <c r="D106" t="s">
        <v>380</v>
      </c>
      <c r="E106">
        <v>2026</v>
      </c>
      <c r="F106" t="s">
        <v>84</v>
      </c>
      <c r="H106" t="s">
        <v>55</v>
      </c>
      <c r="I106">
        <v>1</v>
      </c>
      <c r="J106" t="s">
        <v>46</v>
      </c>
      <c r="K106" s="37" t="str">
        <f>IF($D106="","",IFERROR(INDEX(Mapping!$H$3:$H$32,MATCH($B106,Mapping!$G$3:$G$32,0)),IF(LEFT($F106,3)="P2P",IFERROR(INDEX(Mapping!$E$3:$E$6,MATCH($G106,Mapping!$D$3:$D$6,0)),IFERROR(INDEX(Mapping!$B$3:$B$13,MATCH($J106,Mapping!$A$3:$A$13,0)),"(unmapped)")),IFERROR(INDEX(Mapping!$B$17:$B$22,MATCH($F106,Mapping!$A$17:$A$22,0)),$F106)&amp;" "&amp;IF($G106="Banking","Banking",IFERROR(INDEX(Mapping!$E$17:$E$28,MATCH($J106,Mapping!$D$17:$D$28,0)),"(unmapped)")))))</f>
        <v>R2R IB</v>
      </c>
    </row>
    <row r="107" spans="1:11" x14ac:dyDescent="0.3">
      <c r="A107" t="s">
        <v>42</v>
      </c>
      <c r="B107">
        <v>103334</v>
      </c>
      <c r="C107" t="s">
        <v>80</v>
      </c>
      <c r="D107" t="s">
        <v>380</v>
      </c>
      <c r="E107">
        <v>2026</v>
      </c>
      <c r="F107" t="s">
        <v>57</v>
      </c>
      <c r="H107" t="s">
        <v>45</v>
      </c>
      <c r="I107">
        <v>1</v>
      </c>
      <c r="J107" t="s">
        <v>46</v>
      </c>
      <c r="K107" s="37" t="str">
        <f>IF($D107="","",IFERROR(INDEX(Mapping!$H$3:$H$32,MATCH($B107,Mapping!$G$3:$G$32,0)),IF(LEFT($F107,3)="P2P",IFERROR(INDEX(Mapping!$E$3:$E$6,MATCH($G107,Mapping!$D$3:$D$6,0)),IFERROR(INDEX(Mapping!$B$3:$B$13,MATCH($J107,Mapping!$A$3:$A$13,0)),"(unmapped)")),IFERROR(INDEX(Mapping!$B$17:$B$22,MATCH($F107,Mapping!$A$17:$A$22,0)),$F107)&amp;" "&amp;IF($G107="Banking","Banking",IFERROR(INDEX(Mapping!$E$17:$E$28,MATCH($J107,Mapping!$D$17:$D$28,0)),"(unmapped)")))))</f>
        <v>AR IB</v>
      </c>
    </row>
    <row r="108" spans="1:11" x14ac:dyDescent="0.3">
      <c r="A108" t="s">
        <v>42</v>
      </c>
      <c r="B108">
        <v>103337</v>
      </c>
      <c r="C108" t="s">
        <v>156</v>
      </c>
      <c r="D108" t="s">
        <v>380</v>
      </c>
      <c r="E108">
        <v>2026</v>
      </c>
      <c r="F108" t="s">
        <v>381</v>
      </c>
      <c r="H108" t="s">
        <v>45</v>
      </c>
      <c r="I108">
        <v>1</v>
      </c>
      <c r="J108" t="s">
        <v>1</v>
      </c>
      <c r="K108" s="37" t="str">
        <f>IF($D108="","",IFERROR(INDEX(Mapping!$H$3:$H$32,MATCH($B108,Mapping!$G$3:$G$32,0)),IF(LEFT($F108,3)="P2P",IFERROR(INDEX(Mapping!$E$3:$E$6,MATCH($G108,Mapping!$D$3:$D$6,0)),IFERROR(INDEX(Mapping!$B$3:$B$13,MATCH($J108,Mapping!$A$3:$A$13,0)),"(unmapped)")),IFERROR(INDEX(Mapping!$B$17:$B$22,MATCH($F108,Mapping!$A$17:$A$22,0)),$F108)&amp;" "&amp;IF($G108="Banking","Banking",IFERROR(INDEX(Mapping!$E$17:$E$28,MATCH($J108,Mapping!$D$17:$D$28,0)),"(unmapped)")))))</f>
        <v>P2P Vuelta FR</v>
      </c>
    </row>
    <row r="109" spans="1:11" x14ac:dyDescent="0.3">
      <c r="A109" t="s">
        <v>42</v>
      </c>
      <c r="B109">
        <v>103340</v>
      </c>
      <c r="C109" t="s">
        <v>81</v>
      </c>
      <c r="D109" t="s">
        <v>380</v>
      </c>
      <c r="E109">
        <v>2026</v>
      </c>
      <c r="F109" t="s">
        <v>57</v>
      </c>
      <c r="H109" t="s">
        <v>45</v>
      </c>
      <c r="I109">
        <v>1</v>
      </c>
      <c r="J109" t="s">
        <v>46</v>
      </c>
      <c r="K109" s="37" t="str">
        <f>IF($D109="","",IFERROR(INDEX(Mapping!$H$3:$H$32,MATCH($B109,Mapping!$G$3:$G$32,0)),IF(LEFT($F109,3)="P2P",IFERROR(INDEX(Mapping!$E$3:$E$6,MATCH($G109,Mapping!$D$3:$D$6,0)),IFERROR(INDEX(Mapping!$B$3:$B$13,MATCH($J109,Mapping!$A$3:$A$13,0)),"(unmapped)")),IFERROR(INDEX(Mapping!$B$17:$B$22,MATCH($F109,Mapping!$A$17:$A$22,0)),$F109)&amp;" "&amp;IF($G109="Banking","Banking",IFERROR(INDEX(Mapping!$E$17:$E$28,MATCH($J109,Mapping!$D$17:$D$28,0)),"(unmapped)")))))</f>
        <v>AR IB</v>
      </c>
    </row>
    <row r="110" spans="1:11" x14ac:dyDescent="0.3">
      <c r="A110" t="s">
        <v>42</v>
      </c>
      <c r="B110">
        <v>103341</v>
      </c>
      <c r="C110" t="s">
        <v>105</v>
      </c>
      <c r="D110" t="s">
        <v>380</v>
      </c>
      <c r="E110">
        <v>2026</v>
      </c>
      <c r="F110" t="s">
        <v>84</v>
      </c>
      <c r="H110" t="s">
        <v>45</v>
      </c>
      <c r="I110">
        <v>1</v>
      </c>
      <c r="J110" t="s">
        <v>46</v>
      </c>
      <c r="K110" s="37" t="str">
        <f>IF($D110="","",IFERROR(INDEX(Mapping!$H$3:$H$32,MATCH($B110,Mapping!$G$3:$G$32,0)),IF(LEFT($F110,3)="P2P",IFERROR(INDEX(Mapping!$E$3:$E$6,MATCH($G110,Mapping!$D$3:$D$6,0)),IFERROR(INDEX(Mapping!$B$3:$B$13,MATCH($J110,Mapping!$A$3:$A$13,0)),"(unmapped)")),IFERROR(INDEX(Mapping!$B$17:$B$22,MATCH($F110,Mapping!$A$17:$A$22,0)),$F110)&amp;" "&amp;IF($G110="Banking","Banking",IFERROR(INDEX(Mapping!$E$17:$E$28,MATCH($J110,Mapping!$D$17:$D$28,0)),"(unmapped)")))))</f>
        <v>R2R IB</v>
      </c>
    </row>
    <row r="111" spans="1:11" x14ac:dyDescent="0.3">
      <c r="A111" t="s">
        <v>42</v>
      </c>
      <c r="B111">
        <v>103342</v>
      </c>
      <c r="C111" t="s">
        <v>115</v>
      </c>
      <c r="D111" t="s">
        <v>380</v>
      </c>
      <c r="E111">
        <v>2026</v>
      </c>
      <c r="F111" t="s">
        <v>84</v>
      </c>
      <c r="H111" t="s">
        <v>55</v>
      </c>
      <c r="I111">
        <v>1</v>
      </c>
      <c r="J111" t="s">
        <v>46</v>
      </c>
      <c r="K111" s="37" t="str">
        <f>IF($D111="","",IFERROR(INDEX(Mapping!$H$3:$H$32,MATCH($B111,Mapping!$G$3:$G$32,0)),IF(LEFT($F111,3)="P2P",IFERROR(INDEX(Mapping!$E$3:$E$6,MATCH($G111,Mapping!$D$3:$D$6,0)),IFERROR(INDEX(Mapping!$B$3:$B$13,MATCH($J111,Mapping!$A$3:$A$13,0)),"(unmapped)")),IFERROR(INDEX(Mapping!$B$17:$B$22,MATCH($F111,Mapping!$A$17:$A$22,0)),$F111)&amp;" "&amp;IF($G111="Banking","Banking",IFERROR(INDEX(Mapping!$E$17:$E$28,MATCH($J111,Mapping!$D$17:$D$28,0)),"(unmapped)")))))</f>
        <v>R2R IB</v>
      </c>
    </row>
    <row r="112" spans="1:11" x14ac:dyDescent="0.3">
      <c r="A112" t="s">
        <v>42</v>
      </c>
      <c r="B112">
        <v>103344</v>
      </c>
      <c r="C112" t="s">
        <v>157</v>
      </c>
      <c r="D112" t="s">
        <v>380</v>
      </c>
      <c r="E112">
        <v>2026</v>
      </c>
      <c r="F112" t="s">
        <v>381</v>
      </c>
      <c r="G112" t="s">
        <v>347</v>
      </c>
      <c r="H112" t="s">
        <v>45</v>
      </c>
      <c r="I112">
        <v>1</v>
      </c>
      <c r="J112" t="s">
        <v>1</v>
      </c>
      <c r="K112" s="37" t="str">
        <f>IF($D112="","",IFERROR(INDEX(Mapping!$H$3:$H$32,MATCH($B112,Mapping!$G$3:$G$32,0)),IF(LEFT($F112,3)="P2P",IFERROR(INDEX(Mapping!$E$3:$E$6,MATCH($G112,Mapping!$D$3:$D$6,0)),IFERROR(INDEX(Mapping!$B$3:$B$13,MATCH($J112,Mapping!$A$3:$A$13,0)),"(unmapped)")),IFERROR(INDEX(Mapping!$B$17:$B$22,MATCH($F112,Mapping!$A$17:$A$22,0)),$F112)&amp;" "&amp;IF($G112="Banking","Banking",IFERROR(INDEX(Mapping!$E$17:$E$28,MATCH($J112,Mapping!$D$17:$D$28,0)),"(unmapped)")))))</f>
        <v>P2P Vuelta FR</v>
      </c>
    </row>
    <row r="113" spans="1:11" x14ac:dyDescent="0.3">
      <c r="A113" t="s">
        <v>42</v>
      </c>
      <c r="B113">
        <v>103345</v>
      </c>
      <c r="C113" t="s">
        <v>189</v>
      </c>
      <c r="D113" t="s">
        <v>380</v>
      </c>
      <c r="E113">
        <v>2026</v>
      </c>
      <c r="F113" t="s">
        <v>381</v>
      </c>
      <c r="G113" t="s">
        <v>59</v>
      </c>
      <c r="H113" t="s">
        <v>45</v>
      </c>
      <c r="I113">
        <v>1</v>
      </c>
      <c r="J113" t="s">
        <v>128</v>
      </c>
      <c r="K113" s="37" t="str">
        <f>IF($D113="","",IFERROR(INDEX(Mapping!$H$3:$H$32,MATCH($B113,Mapping!$G$3:$G$32,0)),IF(LEFT($F113,3)="P2P",IFERROR(INDEX(Mapping!$E$3:$E$6,MATCH($G113,Mapping!$D$3:$D$6,0)),IFERROR(INDEX(Mapping!$B$3:$B$13,MATCH($J113,Mapping!$A$3:$A$13,0)),"(unmapped)")),IFERROR(INDEX(Mapping!$B$17:$B$22,MATCH($F113,Mapping!$A$17:$A$22,0)),$F113)&amp;" "&amp;IF($G113="Banking","Banking",IFERROR(INDEX(Mapping!$E$17:$E$28,MATCH($J113,Mapping!$D$17:$D$28,0)),"(unmapped)")))))</f>
        <v>P2P Vuelta Banking</v>
      </c>
    </row>
    <row r="114" spans="1:11" x14ac:dyDescent="0.3">
      <c r="A114" t="s">
        <v>42</v>
      </c>
      <c r="B114">
        <v>103346</v>
      </c>
      <c r="C114" t="s">
        <v>82</v>
      </c>
      <c r="D114" t="s">
        <v>380</v>
      </c>
      <c r="E114">
        <v>2026</v>
      </c>
      <c r="F114" t="s">
        <v>57</v>
      </c>
      <c r="H114" t="s">
        <v>55</v>
      </c>
      <c r="I114">
        <v>1</v>
      </c>
      <c r="J114" t="s">
        <v>46</v>
      </c>
      <c r="K114" s="37" t="str">
        <f>IF($D114="","",IFERROR(INDEX(Mapping!$H$3:$H$32,MATCH($B114,Mapping!$G$3:$G$32,0)),IF(LEFT($F114,3)="P2P",IFERROR(INDEX(Mapping!$E$3:$E$6,MATCH($G114,Mapping!$D$3:$D$6,0)),IFERROR(INDEX(Mapping!$B$3:$B$13,MATCH($J114,Mapping!$A$3:$A$13,0)),"(unmapped)")),IFERROR(INDEX(Mapping!$B$17:$B$22,MATCH($F114,Mapping!$A$17:$A$22,0)),$F114)&amp;" "&amp;IF($G114="Banking","Banking",IFERROR(INDEX(Mapping!$E$17:$E$28,MATCH($J114,Mapping!$D$17:$D$28,0)),"(unmapped)")))))</f>
        <v>AR IB</v>
      </c>
    </row>
    <row r="115" spans="1:11" x14ac:dyDescent="0.3">
      <c r="A115" t="s">
        <v>42</v>
      </c>
      <c r="B115">
        <v>103347</v>
      </c>
      <c r="C115" t="s">
        <v>106</v>
      </c>
      <c r="D115" t="s">
        <v>380</v>
      </c>
      <c r="E115">
        <v>2026</v>
      </c>
      <c r="F115" t="s">
        <v>381</v>
      </c>
      <c r="H115" t="s">
        <v>45</v>
      </c>
      <c r="I115">
        <v>1</v>
      </c>
      <c r="J115" t="s">
        <v>0</v>
      </c>
      <c r="K115" s="37" t="str">
        <f>IF($D115="","",IFERROR(INDEX(Mapping!$H$3:$H$32,MATCH($B115,Mapping!$G$3:$G$32,0)),IF(LEFT($F115,3)="P2P",IFERROR(INDEX(Mapping!$E$3:$E$6,MATCH($G115,Mapping!$D$3:$D$6,0)),IFERROR(INDEX(Mapping!$B$3:$B$13,MATCH($J115,Mapping!$A$3:$A$13,0)),"(unmapped)")),IFERROR(INDEX(Mapping!$B$17:$B$22,MATCH($F115,Mapping!$A$17:$A$22,0)),$F115)&amp;" "&amp;IF($G115="Banking","Banking",IFERROR(INDEX(Mapping!$E$17:$E$28,MATCH($J115,Mapping!$D$17:$D$28,0)),"(unmapped)")))))</f>
        <v>P2P Vuelta DE</v>
      </c>
    </row>
    <row r="116" spans="1:11" x14ac:dyDescent="0.3">
      <c r="A116" t="s">
        <v>42</v>
      </c>
      <c r="B116">
        <v>103348</v>
      </c>
      <c r="C116" t="s">
        <v>116</v>
      </c>
      <c r="D116" t="s">
        <v>380</v>
      </c>
      <c r="E116">
        <v>2026</v>
      </c>
      <c r="F116" t="s">
        <v>84</v>
      </c>
      <c r="H116" t="s">
        <v>55</v>
      </c>
      <c r="I116">
        <v>1</v>
      </c>
      <c r="J116" t="s">
        <v>46</v>
      </c>
      <c r="K116" s="37" t="str">
        <f>IF($D116="","",IFERROR(INDEX(Mapping!$H$3:$H$32,MATCH($B116,Mapping!$G$3:$G$32,0)),IF(LEFT($F116,3)="P2P",IFERROR(INDEX(Mapping!$E$3:$E$6,MATCH($G116,Mapping!$D$3:$D$6,0)),IFERROR(INDEX(Mapping!$B$3:$B$13,MATCH($J116,Mapping!$A$3:$A$13,0)),"(unmapped)")),IFERROR(INDEX(Mapping!$B$17:$B$22,MATCH($F116,Mapping!$A$17:$A$22,0)),$F116)&amp;" "&amp;IF($G116="Banking","Banking",IFERROR(INDEX(Mapping!$E$17:$E$28,MATCH($J116,Mapping!$D$17:$D$28,0)),"(unmapped)")))))</f>
        <v>R2R IB</v>
      </c>
    </row>
    <row r="117" spans="1:11" x14ac:dyDescent="0.3">
      <c r="A117" t="s">
        <v>42</v>
      </c>
      <c r="B117">
        <v>103350</v>
      </c>
      <c r="C117" t="s">
        <v>107</v>
      </c>
      <c r="D117" t="s">
        <v>380</v>
      </c>
      <c r="E117">
        <v>2026</v>
      </c>
      <c r="F117" t="s">
        <v>84</v>
      </c>
      <c r="H117" t="s">
        <v>45</v>
      </c>
      <c r="I117">
        <v>1</v>
      </c>
      <c r="J117" t="s">
        <v>46</v>
      </c>
      <c r="K117" s="37" t="str">
        <f>IF($D117="","",IFERROR(INDEX(Mapping!$H$3:$H$32,MATCH($B117,Mapping!$G$3:$G$32,0)),IF(LEFT($F117,3)="P2P",IFERROR(INDEX(Mapping!$E$3:$E$6,MATCH($G117,Mapping!$D$3:$D$6,0)),IFERROR(INDEX(Mapping!$B$3:$B$13,MATCH($J117,Mapping!$A$3:$A$13,0)),"(unmapped)")),IFERROR(INDEX(Mapping!$B$17:$B$22,MATCH($F117,Mapping!$A$17:$A$22,0)),$F117)&amp;" "&amp;IF($G117="Banking","Banking",IFERROR(INDEX(Mapping!$E$17:$E$28,MATCH($J117,Mapping!$D$17:$D$28,0)),"(unmapped)")))))</f>
        <v>R2R IB</v>
      </c>
    </row>
    <row r="118" spans="1:11" x14ac:dyDescent="0.3">
      <c r="A118" t="s">
        <v>42</v>
      </c>
      <c r="B118">
        <v>103356</v>
      </c>
      <c r="C118" t="s">
        <v>56</v>
      </c>
      <c r="D118" t="s">
        <v>380</v>
      </c>
      <c r="E118">
        <v>2026</v>
      </c>
      <c r="F118" t="s">
        <v>57</v>
      </c>
      <c r="H118" t="s">
        <v>45</v>
      </c>
      <c r="I118">
        <v>1</v>
      </c>
      <c r="J118" t="s">
        <v>46</v>
      </c>
      <c r="K118" s="37" t="str">
        <f>IF($D118="","",IFERROR(INDEX(Mapping!$H$3:$H$32,MATCH($B118,Mapping!$G$3:$G$32,0)),IF(LEFT($F118,3)="P2P",IFERROR(INDEX(Mapping!$E$3:$E$6,MATCH($G118,Mapping!$D$3:$D$6,0)),IFERROR(INDEX(Mapping!$B$3:$B$13,MATCH($J118,Mapping!$A$3:$A$13,0)),"(unmapped)")),IFERROR(INDEX(Mapping!$B$17:$B$22,MATCH($F118,Mapping!$A$17:$A$22,0)),$F118)&amp;" "&amp;IF($G118="Banking","Banking",IFERROR(INDEX(Mapping!$E$17:$E$28,MATCH($J118,Mapping!$D$17:$D$28,0)),"(unmapped)")))))</f>
        <v>AR IB</v>
      </c>
    </row>
    <row r="119" spans="1:11" x14ac:dyDescent="0.3">
      <c r="A119" t="s">
        <v>42</v>
      </c>
      <c r="B119">
        <v>103357</v>
      </c>
      <c r="C119" t="s">
        <v>159</v>
      </c>
      <c r="D119" t="s">
        <v>380</v>
      </c>
      <c r="E119">
        <v>2026</v>
      </c>
      <c r="F119" t="s">
        <v>118</v>
      </c>
      <c r="H119" t="s">
        <v>55</v>
      </c>
      <c r="I119">
        <v>1</v>
      </c>
      <c r="J119" t="s">
        <v>3</v>
      </c>
      <c r="K119" s="37" t="str">
        <f>IF($D119="","",IFERROR(INDEX(Mapping!$H$3:$H$32,MATCH($B119,Mapping!$G$3:$G$32,0)),IF(LEFT($F119,3)="P2P",IFERROR(INDEX(Mapping!$E$3:$E$6,MATCH($G119,Mapping!$D$3:$D$6,0)),IFERROR(INDEX(Mapping!$B$3:$B$13,MATCH($J119,Mapping!$A$3:$A$13,0)),"(unmapped)")),IFERROR(INDEX(Mapping!$B$17:$B$22,MATCH($F119,Mapping!$A$17:$A$22,0)),$F119)&amp;" "&amp;IF($G119="Banking","Banking",IFERROR(INDEX(Mapping!$E$17:$E$28,MATCH($J119,Mapping!$D$17:$D$28,0)),"(unmapped)")))))</f>
        <v>AP IT</v>
      </c>
    </row>
    <row r="120" spans="1:11" x14ac:dyDescent="0.3">
      <c r="A120" t="s">
        <v>42</v>
      </c>
      <c r="B120">
        <v>103371</v>
      </c>
      <c r="C120" t="s">
        <v>173</v>
      </c>
      <c r="D120" t="s">
        <v>380</v>
      </c>
      <c r="E120">
        <v>2026</v>
      </c>
      <c r="F120" t="s">
        <v>118</v>
      </c>
      <c r="H120" t="s">
        <v>45</v>
      </c>
      <c r="I120">
        <v>1</v>
      </c>
      <c r="J120" t="s">
        <v>46</v>
      </c>
      <c r="K120" s="37" t="str">
        <f>IF($D120="","",IFERROR(INDEX(Mapping!$H$3:$H$32,MATCH($B120,Mapping!$G$3:$G$32,0)),IF(LEFT($F120,3)="P2P",IFERROR(INDEX(Mapping!$E$3:$E$6,MATCH($G120,Mapping!$D$3:$D$6,0)),IFERROR(INDEX(Mapping!$B$3:$B$13,MATCH($J120,Mapping!$A$3:$A$13,0)),"(unmapped)")),IFERROR(INDEX(Mapping!$B$17:$B$22,MATCH($F120,Mapping!$A$17:$A$22,0)),$F120)&amp;" "&amp;IF($G120="Banking","Banking",IFERROR(INDEX(Mapping!$E$17:$E$28,MATCH($J120,Mapping!$D$17:$D$28,0)),"(unmapped)")))))</f>
        <v>AP IB</v>
      </c>
    </row>
    <row r="121" spans="1:11" x14ac:dyDescent="0.3">
      <c r="A121" t="s">
        <v>42</v>
      </c>
      <c r="B121">
        <v>103373</v>
      </c>
      <c r="C121" t="s">
        <v>174</v>
      </c>
      <c r="D121" t="s">
        <v>380</v>
      </c>
      <c r="E121">
        <v>2026</v>
      </c>
      <c r="F121" t="s">
        <v>57</v>
      </c>
      <c r="G121" t="s">
        <v>59</v>
      </c>
      <c r="H121" t="s">
        <v>55</v>
      </c>
      <c r="I121">
        <v>1</v>
      </c>
      <c r="J121" t="s">
        <v>46</v>
      </c>
      <c r="K121" s="37" t="str">
        <f>IF($D121="","",IFERROR(INDEX(Mapping!$H$3:$H$32,MATCH($B121,Mapping!$G$3:$G$32,0)),IF(LEFT($F121,3)="P2P",IFERROR(INDEX(Mapping!$E$3:$E$6,MATCH($G121,Mapping!$D$3:$D$6,0)),IFERROR(INDEX(Mapping!$B$3:$B$13,MATCH($J121,Mapping!$A$3:$A$13,0)),"(unmapped)")),IFERROR(INDEX(Mapping!$B$17:$B$22,MATCH($F121,Mapping!$A$17:$A$22,0)),$F121)&amp;" "&amp;IF($G121="Banking","Banking",IFERROR(INDEX(Mapping!$E$17:$E$28,MATCH($J121,Mapping!$D$17:$D$28,0)),"(unmapped)")))))</f>
        <v>AR Banking</v>
      </c>
    </row>
    <row r="122" spans="1:11" x14ac:dyDescent="0.3">
      <c r="A122" t="s">
        <v>42</v>
      </c>
      <c r="B122">
        <v>103377</v>
      </c>
      <c r="C122" t="s">
        <v>175</v>
      </c>
      <c r="D122" t="s">
        <v>380</v>
      </c>
      <c r="E122">
        <v>2026</v>
      </c>
      <c r="F122" t="s">
        <v>118</v>
      </c>
      <c r="H122" t="s">
        <v>55</v>
      </c>
      <c r="I122">
        <v>1</v>
      </c>
      <c r="J122" t="s">
        <v>46</v>
      </c>
      <c r="K122" s="37" t="str">
        <f>IF($D122="","",IFERROR(INDEX(Mapping!$H$3:$H$32,MATCH($B122,Mapping!$G$3:$G$32,0)),IF(LEFT($F122,3)="P2P",IFERROR(INDEX(Mapping!$E$3:$E$6,MATCH($G122,Mapping!$D$3:$D$6,0)),IFERROR(INDEX(Mapping!$B$3:$B$13,MATCH($J122,Mapping!$A$3:$A$13,0)),"(unmapped)")),IFERROR(INDEX(Mapping!$B$17:$B$22,MATCH($F122,Mapping!$A$17:$A$22,0)),$F122)&amp;" "&amp;IF($G122="Banking","Banking",IFERROR(INDEX(Mapping!$E$17:$E$28,MATCH($J122,Mapping!$D$17:$D$28,0)),"(unmapped)")))))</f>
        <v>AP IB</v>
      </c>
    </row>
    <row r="123" spans="1:11" x14ac:dyDescent="0.3">
      <c r="A123" t="s">
        <v>42</v>
      </c>
      <c r="B123">
        <v>103378</v>
      </c>
      <c r="C123" t="s">
        <v>176</v>
      </c>
      <c r="D123" t="s">
        <v>380</v>
      </c>
      <c r="E123">
        <v>2026</v>
      </c>
      <c r="F123" t="s">
        <v>118</v>
      </c>
      <c r="G123" t="s">
        <v>59</v>
      </c>
      <c r="H123" t="s">
        <v>55</v>
      </c>
      <c r="I123">
        <v>1</v>
      </c>
      <c r="J123" t="s">
        <v>46</v>
      </c>
      <c r="K123" s="37" t="str">
        <f>IF($D123="","",IFERROR(INDEX(Mapping!$H$3:$H$32,MATCH($B123,Mapping!$G$3:$G$32,0)),IF(LEFT($F123,3)="P2P",IFERROR(INDEX(Mapping!$E$3:$E$6,MATCH($G123,Mapping!$D$3:$D$6,0)),IFERROR(INDEX(Mapping!$B$3:$B$13,MATCH($J123,Mapping!$A$3:$A$13,0)),"(unmapped)")),IFERROR(INDEX(Mapping!$B$17:$B$22,MATCH($F123,Mapping!$A$17:$A$22,0)),$F123)&amp;" "&amp;IF($G123="Banking","Banking",IFERROR(INDEX(Mapping!$E$17:$E$28,MATCH($J123,Mapping!$D$17:$D$28,0)),"(unmapped)")))))</f>
        <v>Banking</v>
      </c>
    </row>
    <row r="124" spans="1:11" x14ac:dyDescent="0.3">
      <c r="A124" t="s">
        <v>42</v>
      </c>
      <c r="B124">
        <v>103379</v>
      </c>
      <c r="C124" t="s">
        <v>177</v>
      </c>
      <c r="D124" t="s">
        <v>380</v>
      </c>
      <c r="E124">
        <v>2026</v>
      </c>
      <c r="F124" t="s">
        <v>57</v>
      </c>
      <c r="H124" t="s">
        <v>55</v>
      </c>
      <c r="I124">
        <v>1</v>
      </c>
      <c r="J124" t="s">
        <v>178</v>
      </c>
      <c r="K124" s="37" t="str">
        <f>IF($D124="","",IFERROR(INDEX(Mapping!$H$3:$H$32,MATCH($B124,Mapping!$G$3:$G$32,0)),IF(LEFT($F124,3)="P2P",IFERROR(INDEX(Mapping!$E$3:$E$6,MATCH($G124,Mapping!$D$3:$D$6,0)),IFERROR(INDEX(Mapping!$B$3:$B$13,MATCH($J124,Mapping!$A$3:$A$13,0)),"(unmapped)")),IFERROR(INDEX(Mapping!$B$17:$B$22,MATCH($F124,Mapping!$A$17:$A$22,0)),$F124)&amp;" "&amp;IF($G124="Banking","Banking",IFERROR(INDEX(Mapping!$E$17:$E$28,MATCH($J124,Mapping!$D$17:$D$28,0)),"(unmapped)")))))</f>
        <v>AR IB</v>
      </c>
    </row>
    <row r="125" spans="1:11" x14ac:dyDescent="0.3">
      <c r="A125" t="s">
        <v>42</v>
      </c>
      <c r="B125">
        <v>103380</v>
      </c>
      <c r="C125" t="s">
        <v>179</v>
      </c>
      <c r="D125" t="s">
        <v>380</v>
      </c>
      <c r="E125">
        <v>2026</v>
      </c>
      <c r="F125" t="s">
        <v>84</v>
      </c>
      <c r="H125" t="s">
        <v>55</v>
      </c>
      <c r="I125">
        <v>1</v>
      </c>
      <c r="J125" t="s">
        <v>46</v>
      </c>
      <c r="K125" s="37" t="str">
        <f>IF($D125="","",IFERROR(INDEX(Mapping!$H$3:$H$32,MATCH($B125,Mapping!$G$3:$G$32,0)),IF(LEFT($F125,3)="P2P",IFERROR(INDEX(Mapping!$E$3:$E$6,MATCH($G125,Mapping!$D$3:$D$6,0)),IFERROR(INDEX(Mapping!$B$3:$B$13,MATCH($J125,Mapping!$A$3:$A$13,0)),"(unmapped)")),IFERROR(INDEX(Mapping!$B$17:$B$22,MATCH($F125,Mapping!$A$17:$A$22,0)),$F125)&amp;" "&amp;IF($G125="Banking","Banking",IFERROR(INDEX(Mapping!$E$17:$E$28,MATCH($J125,Mapping!$D$17:$D$28,0)),"(unmapped)")))))</f>
        <v>R2R IB</v>
      </c>
    </row>
    <row r="126" spans="1:11" x14ac:dyDescent="0.3">
      <c r="A126" t="s">
        <v>42</v>
      </c>
      <c r="B126">
        <v>103382</v>
      </c>
      <c r="C126" t="s">
        <v>180</v>
      </c>
      <c r="D126" t="s">
        <v>380</v>
      </c>
      <c r="E126">
        <v>2026</v>
      </c>
      <c r="F126" t="s">
        <v>118</v>
      </c>
      <c r="G126" t="s">
        <v>59</v>
      </c>
      <c r="H126" t="s">
        <v>55</v>
      </c>
      <c r="I126">
        <v>1</v>
      </c>
      <c r="J126" t="s">
        <v>46</v>
      </c>
      <c r="K126" s="37" t="str">
        <f>IF($D126="","",IFERROR(INDEX(Mapping!$H$3:$H$32,MATCH($B126,Mapping!$G$3:$G$32,0)),IF(LEFT($F126,3)="P2P",IFERROR(INDEX(Mapping!$E$3:$E$6,MATCH($G126,Mapping!$D$3:$D$6,0)),IFERROR(INDEX(Mapping!$B$3:$B$13,MATCH($J126,Mapping!$A$3:$A$13,0)),"(unmapped)")),IFERROR(INDEX(Mapping!$B$17:$B$22,MATCH($F126,Mapping!$A$17:$A$22,0)),$F126)&amp;" "&amp;IF($G126="Banking","Banking",IFERROR(INDEX(Mapping!$E$17:$E$28,MATCH($J126,Mapping!$D$17:$D$28,0)),"(unmapped)")))))</f>
        <v>Banking</v>
      </c>
    </row>
    <row r="127" spans="1:11" x14ac:dyDescent="0.3">
      <c r="A127" t="s">
        <v>42</v>
      </c>
      <c r="B127">
        <v>103384</v>
      </c>
      <c r="C127" t="s">
        <v>181</v>
      </c>
      <c r="D127" t="s">
        <v>380</v>
      </c>
      <c r="E127">
        <v>2026</v>
      </c>
      <c r="F127" t="s">
        <v>118</v>
      </c>
      <c r="H127" t="s">
        <v>55</v>
      </c>
      <c r="I127">
        <v>1</v>
      </c>
      <c r="J127" t="s">
        <v>350</v>
      </c>
      <c r="K127" s="37" t="str">
        <f>IF($D127="","",IFERROR(INDEX(Mapping!$H$3:$H$32,MATCH($B127,Mapping!$G$3:$G$32,0)),IF(LEFT($F127,3)="P2P",IFERROR(INDEX(Mapping!$E$3:$E$6,MATCH($G127,Mapping!$D$3:$D$6,0)),IFERROR(INDEX(Mapping!$B$3:$B$13,MATCH($J127,Mapping!$A$3:$A$13,0)),"(unmapped)")),IFERROR(INDEX(Mapping!$B$17:$B$22,MATCH($F127,Mapping!$A$17:$A$22,0)),$F127)&amp;" "&amp;IF($G127="Banking","Banking",IFERROR(INDEX(Mapping!$E$17:$E$28,MATCH($J127,Mapping!$D$17:$D$28,0)),"(unmapped)")))))</f>
        <v>AP MA</v>
      </c>
    </row>
    <row r="128" spans="1:11" x14ac:dyDescent="0.3">
      <c r="A128" t="s">
        <v>42</v>
      </c>
      <c r="B128">
        <v>103385</v>
      </c>
      <c r="C128" t="s">
        <v>182</v>
      </c>
      <c r="D128" t="s">
        <v>380</v>
      </c>
      <c r="E128">
        <v>2026</v>
      </c>
      <c r="F128" t="s">
        <v>84</v>
      </c>
      <c r="H128" t="s">
        <v>45</v>
      </c>
      <c r="I128">
        <v>1</v>
      </c>
      <c r="J128" t="s">
        <v>46</v>
      </c>
      <c r="K128" s="37" t="str">
        <f>IF($D128="","",IFERROR(INDEX(Mapping!$H$3:$H$32,MATCH($B128,Mapping!$G$3:$G$32,0)),IF(LEFT($F128,3)="P2P",IFERROR(INDEX(Mapping!$E$3:$E$6,MATCH($G128,Mapping!$D$3:$D$6,0)),IFERROR(INDEX(Mapping!$B$3:$B$13,MATCH($J128,Mapping!$A$3:$A$13,0)),"(unmapped)")),IFERROR(INDEX(Mapping!$B$17:$B$22,MATCH($F128,Mapping!$A$17:$A$22,0)),$F128)&amp;" "&amp;IF($G128="Banking","Banking",IFERROR(INDEX(Mapping!$E$17:$E$28,MATCH($J128,Mapping!$D$17:$D$28,0)),"(unmapped)")))))</f>
        <v>R2R IB</v>
      </c>
    </row>
    <row r="129" spans="1:11" x14ac:dyDescent="0.3">
      <c r="A129" t="s">
        <v>42</v>
      </c>
      <c r="B129">
        <v>103387</v>
      </c>
      <c r="C129" t="s">
        <v>183</v>
      </c>
      <c r="D129" t="s">
        <v>380</v>
      </c>
      <c r="E129">
        <v>2026</v>
      </c>
      <c r="F129" t="s">
        <v>84</v>
      </c>
      <c r="H129" t="s">
        <v>45</v>
      </c>
      <c r="I129">
        <v>1</v>
      </c>
      <c r="J129" t="s">
        <v>46</v>
      </c>
      <c r="K129" s="37" t="str">
        <f>IF($D129="","",IFERROR(INDEX(Mapping!$H$3:$H$32,MATCH($B129,Mapping!$G$3:$G$32,0)),IF(LEFT($F129,3)="P2P",IFERROR(INDEX(Mapping!$E$3:$E$6,MATCH($G129,Mapping!$D$3:$D$6,0)),IFERROR(INDEX(Mapping!$B$3:$B$13,MATCH($J129,Mapping!$A$3:$A$13,0)),"(unmapped)")),IFERROR(INDEX(Mapping!$B$17:$B$22,MATCH($F129,Mapping!$A$17:$A$22,0)),$F129)&amp;" "&amp;IF($G129="Banking","Banking",IFERROR(INDEX(Mapping!$E$17:$E$28,MATCH($J129,Mapping!$D$17:$D$28,0)),"(unmapped)")))))</f>
        <v>R2R IB</v>
      </c>
    </row>
    <row r="130" spans="1:11" x14ac:dyDescent="0.3">
      <c r="A130" t="s">
        <v>42</v>
      </c>
      <c r="B130">
        <v>103389</v>
      </c>
      <c r="C130" t="s">
        <v>136</v>
      </c>
      <c r="D130" t="s">
        <v>380</v>
      </c>
      <c r="E130">
        <v>2026</v>
      </c>
      <c r="F130" t="s">
        <v>381</v>
      </c>
      <c r="H130" t="s">
        <v>45</v>
      </c>
      <c r="I130">
        <v>1</v>
      </c>
      <c r="J130" t="s">
        <v>349</v>
      </c>
      <c r="K130" s="37" t="str">
        <f>IF($D130="","",IFERROR(INDEX(Mapping!$H$3:$H$32,MATCH($B130,Mapping!$G$3:$G$32,0)),IF(LEFT($F130,3)="P2P",IFERROR(INDEX(Mapping!$E$3:$E$6,MATCH($G130,Mapping!$D$3:$D$6,0)),IFERROR(INDEX(Mapping!$B$3:$B$13,MATCH($J130,Mapping!$A$3:$A$13,0)),"(unmapped)")),IFERROR(INDEX(Mapping!$B$17:$B$22,MATCH($F130,Mapping!$A$17:$A$22,0)),$F130)&amp;" "&amp;IF($G130="Banking","Banking",IFERROR(INDEX(Mapping!$E$17:$E$28,MATCH($J130,Mapping!$D$17:$D$28,0)),"(unmapped)")))))</f>
        <v>P2P Vuelta BE</v>
      </c>
    </row>
    <row r="131" spans="1:11" x14ac:dyDescent="0.3">
      <c r="A131" t="s">
        <v>42</v>
      </c>
      <c r="B131">
        <v>103390</v>
      </c>
      <c r="C131" t="s">
        <v>184</v>
      </c>
      <c r="D131" t="s">
        <v>380</v>
      </c>
      <c r="E131">
        <v>2026</v>
      </c>
      <c r="F131" t="s">
        <v>118</v>
      </c>
      <c r="H131" t="s">
        <v>45</v>
      </c>
      <c r="I131">
        <v>1</v>
      </c>
      <c r="J131" t="s">
        <v>46</v>
      </c>
      <c r="K131" s="37" t="str">
        <f>IF($D131="","",IFERROR(INDEX(Mapping!$H$3:$H$32,MATCH($B131,Mapping!$G$3:$G$32,0)),IF(LEFT($F131,3)="P2P",IFERROR(INDEX(Mapping!$E$3:$E$6,MATCH($G131,Mapping!$D$3:$D$6,0)),IFERROR(INDEX(Mapping!$B$3:$B$13,MATCH($J131,Mapping!$A$3:$A$13,0)),"(unmapped)")),IFERROR(INDEX(Mapping!$B$17:$B$22,MATCH($F131,Mapping!$A$17:$A$22,0)),$F131)&amp;" "&amp;IF($G131="Banking","Banking",IFERROR(INDEX(Mapping!$E$17:$E$28,MATCH($J131,Mapping!$D$17:$D$28,0)),"(unmapped)")))))</f>
        <v>AP IB</v>
      </c>
    </row>
    <row r="132" spans="1:11" x14ac:dyDescent="0.3">
      <c r="A132" t="s">
        <v>42</v>
      </c>
      <c r="B132">
        <v>103391</v>
      </c>
      <c r="C132" t="s">
        <v>185</v>
      </c>
      <c r="D132" t="s">
        <v>380</v>
      </c>
      <c r="E132">
        <v>2026</v>
      </c>
      <c r="F132" t="s">
        <v>118</v>
      </c>
      <c r="H132" t="s">
        <v>55</v>
      </c>
      <c r="I132">
        <v>1</v>
      </c>
      <c r="J132" t="s">
        <v>3</v>
      </c>
      <c r="K132" s="37" t="str">
        <f>IF($D132="","",IFERROR(INDEX(Mapping!$H$3:$H$32,MATCH($B132,Mapping!$G$3:$G$32,0)),IF(LEFT($F132,3)="P2P",IFERROR(INDEX(Mapping!$E$3:$E$6,MATCH($G132,Mapping!$D$3:$D$6,0)),IFERROR(INDEX(Mapping!$B$3:$B$13,MATCH($J132,Mapping!$A$3:$A$13,0)),"(unmapped)")),IFERROR(INDEX(Mapping!$B$17:$B$22,MATCH($F132,Mapping!$A$17:$A$22,0)),$F132)&amp;" "&amp;IF($G132="Banking","Banking",IFERROR(INDEX(Mapping!$E$17:$E$28,MATCH($J132,Mapping!$D$17:$D$28,0)),"(unmapped)")))))</f>
        <v>AP IT</v>
      </c>
    </row>
    <row r="133" spans="1:11" x14ac:dyDescent="0.3">
      <c r="A133" t="s">
        <v>42</v>
      </c>
      <c r="B133">
        <v>103392</v>
      </c>
      <c r="C133" t="s">
        <v>186</v>
      </c>
      <c r="D133" t="s">
        <v>380</v>
      </c>
      <c r="E133">
        <v>2026</v>
      </c>
      <c r="F133" t="s">
        <v>118</v>
      </c>
      <c r="H133" t="s">
        <v>55</v>
      </c>
      <c r="I133">
        <v>0.8</v>
      </c>
      <c r="J133" t="s">
        <v>1</v>
      </c>
      <c r="K133" s="37" t="str">
        <f>IF($D133="","",IFERROR(INDEX(Mapping!$H$3:$H$32,MATCH($B133,Mapping!$G$3:$G$32,0)),IF(LEFT($F133,3)="P2P",IFERROR(INDEX(Mapping!$E$3:$E$6,MATCH($G133,Mapping!$D$3:$D$6,0)),IFERROR(INDEX(Mapping!$B$3:$B$13,MATCH($J133,Mapping!$A$3:$A$13,0)),"(unmapped)")),IFERROR(INDEX(Mapping!$B$17:$B$22,MATCH($F133,Mapping!$A$17:$A$22,0)),$F133)&amp;" "&amp;IF($G133="Banking","Banking",IFERROR(INDEX(Mapping!$E$17:$E$28,MATCH($J133,Mapping!$D$17:$D$28,0)),"(unmapped)")))))</f>
        <v>AP FR</v>
      </c>
    </row>
    <row r="134" spans="1:11" x14ac:dyDescent="0.3">
      <c r="A134" t="s">
        <v>42</v>
      </c>
      <c r="B134">
        <v>103398</v>
      </c>
      <c r="C134" t="s">
        <v>192</v>
      </c>
      <c r="D134" t="s">
        <v>380</v>
      </c>
      <c r="E134">
        <v>2026</v>
      </c>
      <c r="F134" t="s">
        <v>84</v>
      </c>
      <c r="H134" t="s">
        <v>55</v>
      </c>
      <c r="I134">
        <v>1</v>
      </c>
      <c r="J134" t="s">
        <v>46</v>
      </c>
      <c r="K134" s="37" t="str">
        <f>IF($D134="","",IFERROR(INDEX(Mapping!$H$3:$H$32,MATCH($B134,Mapping!$G$3:$G$32,0)),IF(LEFT($F134,3)="P2P",IFERROR(INDEX(Mapping!$E$3:$E$6,MATCH($G134,Mapping!$D$3:$D$6,0)),IFERROR(INDEX(Mapping!$B$3:$B$13,MATCH($J134,Mapping!$A$3:$A$13,0)),"(unmapped)")),IFERROR(INDEX(Mapping!$B$17:$B$22,MATCH($F134,Mapping!$A$17:$A$22,0)),$F134)&amp;" "&amp;IF($G134="Banking","Banking",IFERROR(INDEX(Mapping!$E$17:$E$28,MATCH($J134,Mapping!$D$17:$D$28,0)),"(unmapped)")))))</f>
        <v>R2R IB</v>
      </c>
    </row>
    <row r="135" spans="1:11" x14ac:dyDescent="0.3">
      <c r="A135" t="s">
        <v>42</v>
      </c>
      <c r="B135">
        <v>103399</v>
      </c>
      <c r="C135" t="s">
        <v>193</v>
      </c>
      <c r="D135" t="s">
        <v>380</v>
      </c>
      <c r="E135">
        <v>2026</v>
      </c>
      <c r="F135" t="s">
        <v>84</v>
      </c>
      <c r="H135" t="s">
        <v>55</v>
      </c>
      <c r="I135">
        <v>1</v>
      </c>
      <c r="J135" t="s">
        <v>46</v>
      </c>
      <c r="K135" s="37" t="str">
        <f>IF($D135="","",IFERROR(INDEX(Mapping!$H$3:$H$32,MATCH($B135,Mapping!$G$3:$G$32,0)),IF(LEFT($F135,3)="P2P",IFERROR(INDEX(Mapping!$E$3:$E$6,MATCH($G135,Mapping!$D$3:$D$6,0)),IFERROR(INDEX(Mapping!$B$3:$B$13,MATCH($J135,Mapping!$A$3:$A$13,0)),"(unmapped)")),IFERROR(INDEX(Mapping!$B$17:$B$22,MATCH($F135,Mapping!$A$17:$A$22,0)),$F135)&amp;" "&amp;IF($G135="Banking","Banking",IFERROR(INDEX(Mapping!$E$17:$E$28,MATCH($J135,Mapping!$D$17:$D$28,0)),"(unmapped)")))))</f>
        <v>R2R IB</v>
      </c>
    </row>
    <row r="136" spans="1:11" x14ac:dyDescent="0.3">
      <c r="A136" t="s">
        <v>42</v>
      </c>
      <c r="B136">
        <v>103400</v>
      </c>
      <c r="C136" t="s">
        <v>194</v>
      </c>
      <c r="D136" t="s">
        <v>380</v>
      </c>
      <c r="E136">
        <v>2026</v>
      </c>
      <c r="F136" t="s">
        <v>118</v>
      </c>
      <c r="H136" t="s">
        <v>55</v>
      </c>
      <c r="I136">
        <v>1</v>
      </c>
      <c r="J136" t="s">
        <v>350</v>
      </c>
      <c r="K136" s="37" t="str">
        <f>IF($D136="","",IFERROR(INDEX(Mapping!$H$3:$H$32,MATCH($B136,Mapping!$G$3:$G$32,0)),IF(LEFT($F136,3)="P2P",IFERROR(INDEX(Mapping!$E$3:$E$6,MATCH($G136,Mapping!$D$3:$D$6,0)),IFERROR(INDEX(Mapping!$B$3:$B$13,MATCH($J136,Mapping!$A$3:$A$13,0)),"(unmapped)")),IFERROR(INDEX(Mapping!$B$17:$B$22,MATCH($F136,Mapping!$A$17:$A$22,0)),$F136)&amp;" "&amp;IF($G136="Banking","Banking",IFERROR(INDEX(Mapping!$E$17:$E$28,MATCH($J136,Mapping!$D$17:$D$28,0)),"(unmapped)")))))</f>
        <v>AP MA</v>
      </c>
    </row>
    <row r="137" spans="1:11" x14ac:dyDescent="0.3">
      <c r="A137" t="s">
        <v>42</v>
      </c>
      <c r="B137">
        <v>103407</v>
      </c>
      <c r="C137" t="s">
        <v>195</v>
      </c>
      <c r="D137" t="s">
        <v>380</v>
      </c>
      <c r="E137">
        <v>2026</v>
      </c>
      <c r="F137" t="s">
        <v>84</v>
      </c>
      <c r="H137" t="s">
        <v>55</v>
      </c>
      <c r="I137">
        <v>1</v>
      </c>
      <c r="J137" t="s">
        <v>46</v>
      </c>
      <c r="K137" s="37" t="str">
        <f>IF($D137="","",IFERROR(INDEX(Mapping!$H$3:$H$32,MATCH($B137,Mapping!$G$3:$G$32,0)),IF(LEFT($F137,3)="P2P",IFERROR(INDEX(Mapping!$E$3:$E$6,MATCH($G137,Mapping!$D$3:$D$6,0)),IFERROR(INDEX(Mapping!$B$3:$B$13,MATCH($J137,Mapping!$A$3:$A$13,0)),"(unmapped)")),IFERROR(INDEX(Mapping!$B$17:$B$22,MATCH($F137,Mapping!$A$17:$A$22,0)),$F137)&amp;" "&amp;IF($G137="Banking","Banking",IFERROR(INDEX(Mapping!$E$17:$E$28,MATCH($J137,Mapping!$D$17:$D$28,0)),"(unmapped)")))))</f>
        <v>R2R IB</v>
      </c>
    </row>
    <row r="138" spans="1:11" x14ac:dyDescent="0.3">
      <c r="A138" t="s">
        <v>42</v>
      </c>
      <c r="B138">
        <v>103408</v>
      </c>
      <c r="C138" t="s">
        <v>196</v>
      </c>
      <c r="D138" t="s">
        <v>380</v>
      </c>
      <c r="E138">
        <v>2026</v>
      </c>
      <c r="F138" t="s">
        <v>381</v>
      </c>
      <c r="H138" t="s">
        <v>45</v>
      </c>
      <c r="I138">
        <v>1</v>
      </c>
      <c r="J138" t="s">
        <v>7</v>
      </c>
      <c r="K138" s="37" t="str">
        <f>IF($D138="","",IFERROR(INDEX(Mapping!$H$3:$H$32,MATCH($B138,Mapping!$G$3:$G$32,0)),IF(LEFT($F138,3)="P2P",IFERROR(INDEX(Mapping!$E$3:$E$6,MATCH($G138,Mapping!$D$3:$D$6,0)),IFERROR(INDEX(Mapping!$B$3:$B$13,MATCH($J138,Mapping!$A$3:$A$13,0)),"(unmapped)")),IFERROR(INDEX(Mapping!$B$17:$B$22,MATCH($F138,Mapping!$A$17:$A$22,0)),$F138)&amp;" "&amp;IF($G138="Banking","Banking",IFERROR(INDEX(Mapping!$E$17:$E$28,MATCH($J138,Mapping!$D$17:$D$28,0)),"(unmapped)")))))</f>
        <v>P2P Vuelta UK</v>
      </c>
    </row>
    <row r="139" spans="1:11" x14ac:dyDescent="0.3">
      <c r="A139" t="s">
        <v>42</v>
      </c>
      <c r="B139">
        <v>103409</v>
      </c>
      <c r="C139" t="s">
        <v>197</v>
      </c>
      <c r="D139" t="s">
        <v>380</v>
      </c>
      <c r="E139">
        <v>2026</v>
      </c>
      <c r="F139" t="s">
        <v>84</v>
      </c>
      <c r="H139" t="s">
        <v>45</v>
      </c>
      <c r="I139">
        <v>1</v>
      </c>
      <c r="J139" t="s">
        <v>46</v>
      </c>
      <c r="K139" s="37" t="str">
        <f>IF($D139="","",IFERROR(INDEX(Mapping!$H$3:$H$32,MATCH($B139,Mapping!$G$3:$G$32,0)),IF(LEFT($F139,3)="P2P",IFERROR(INDEX(Mapping!$E$3:$E$6,MATCH($G139,Mapping!$D$3:$D$6,0)),IFERROR(INDEX(Mapping!$B$3:$B$13,MATCH($J139,Mapping!$A$3:$A$13,0)),"(unmapped)")),IFERROR(INDEX(Mapping!$B$17:$B$22,MATCH($F139,Mapping!$A$17:$A$22,0)),$F139)&amp;" "&amp;IF($G139="Banking","Banking",IFERROR(INDEX(Mapping!$E$17:$E$28,MATCH($J139,Mapping!$D$17:$D$28,0)),"(unmapped)")))))</f>
        <v>R2R IB</v>
      </c>
    </row>
    <row r="140" spans="1:11" x14ac:dyDescent="0.3">
      <c r="A140" t="s">
        <v>42</v>
      </c>
      <c r="B140">
        <v>103410</v>
      </c>
      <c r="C140" t="s">
        <v>198</v>
      </c>
      <c r="D140" t="s">
        <v>380</v>
      </c>
      <c r="E140">
        <v>2026</v>
      </c>
      <c r="F140" t="s">
        <v>118</v>
      </c>
      <c r="G140" t="s">
        <v>59</v>
      </c>
      <c r="H140" t="s">
        <v>55</v>
      </c>
      <c r="I140">
        <v>1</v>
      </c>
      <c r="J140" t="s">
        <v>46</v>
      </c>
      <c r="K140" s="37" t="str">
        <f>IF($D140="","",IFERROR(INDEX(Mapping!$H$3:$H$32,MATCH($B140,Mapping!$G$3:$G$32,0)),IF(LEFT($F140,3)="P2P",IFERROR(INDEX(Mapping!$E$3:$E$6,MATCH($G140,Mapping!$D$3:$D$6,0)),IFERROR(INDEX(Mapping!$B$3:$B$13,MATCH($J140,Mapping!$A$3:$A$13,0)),"(unmapped)")),IFERROR(INDEX(Mapping!$B$17:$B$22,MATCH($F140,Mapping!$A$17:$A$22,0)),$F140)&amp;" "&amp;IF($G140="Banking","Banking",IFERROR(INDEX(Mapping!$E$17:$E$28,MATCH($J140,Mapping!$D$17:$D$28,0)),"(unmapped)")))))</f>
        <v>Banking</v>
      </c>
    </row>
    <row r="141" spans="1:11" x14ac:dyDescent="0.3">
      <c r="A141" t="s">
        <v>42</v>
      </c>
      <c r="B141">
        <v>103411</v>
      </c>
      <c r="C141" t="s">
        <v>199</v>
      </c>
      <c r="D141" t="s">
        <v>380</v>
      </c>
      <c r="E141">
        <v>2026</v>
      </c>
      <c r="F141" t="s">
        <v>118</v>
      </c>
      <c r="H141" t="s">
        <v>55</v>
      </c>
      <c r="I141">
        <v>1</v>
      </c>
      <c r="J141" t="s">
        <v>46</v>
      </c>
      <c r="K141" s="37" t="str">
        <f>IF($D141="","",IFERROR(INDEX(Mapping!$H$3:$H$32,MATCH($B141,Mapping!$G$3:$G$32,0)),IF(LEFT($F141,3)="P2P",IFERROR(INDEX(Mapping!$E$3:$E$6,MATCH($G141,Mapping!$D$3:$D$6,0)),IFERROR(INDEX(Mapping!$B$3:$B$13,MATCH($J141,Mapping!$A$3:$A$13,0)),"(unmapped)")),IFERROR(INDEX(Mapping!$B$17:$B$22,MATCH($F141,Mapping!$A$17:$A$22,0)),$F141)&amp;" "&amp;IF($G141="Banking","Banking",IFERROR(INDEX(Mapping!$E$17:$E$28,MATCH($J141,Mapping!$D$17:$D$28,0)),"(unmapped)")))))</f>
        <v>AP IB</v>
      </c>
    </row>
    <row r="142" spans="1:11" x14ac:dyDescent="0.3">
      <c r="A142" t="s">
        <v>42</v>
      </c>
      <c r="B142">
        <v>103415</v>
      </c>
      <c r="C142" t="s">
        <v>200</v>
      </c>
      <c r="D142" t="s">
        <v>380</v>
      </c>
      <c r="E142">
        <v>2026</v>
      </c>
      <c r="F142" t="s">
        <v>381</v>
      </c>
      <c r="G142" t="s">
        <v>59</v>
      </c>
      <c r="H142" t="s">
        <v>45</v>
      </c>
      <c r="I142">
        <v>1</v>
      </c>
      <c r="J142" t="s">
        <v>128</v>
      </c>
      <c r="K142" s="37" t="str">
        <f>IF($D142="","",IFERROR(INDEX(Mapping!$H$3:$H$32,MATCH($B142,Mapping!$G$3:$G$32,0)),IF(LEFT($F142,3)="P2P",IFERROR(INDEX(Mapping!$E$3:$E$6,MATCH($G142,Mapping!$D$3:$D$6,0)),IFERROR(INDEX(Mapping!$B$3:$B$13,MATCH($J142,Mapping!$A$3:$A$13,0)),"(unmapped)")),IFERROR(INDEX(Mapping!$B$17:$B$22,MATCH($F142,Mapping!$A$17:$A$22,0)),$F142)&amp;" "&amp;IF($G142="Banking","Banking",IFERROR(INDEX(Mapping!$E$17:$E$28,MATCH($J142,Mapping!$D$17:$D$28,0)),"(unmapped)")))))</f>
        <v>P2P Vuelta Banking</v>
      </c>
    </row>
    <row r="143" spans="1:11" x14ac:dyDescent="0.3">
      <c r="A143" t="s">
        <v>42</v>
      </c>
      <c r="B143">
        <v>103450</v>
      </c>
      <c r="C143" t="s">
        <v>201</v>
      </c>
      <c r="D143" t="s">
        <v>380</v>
      </c>
      <c r="E143">
        <v>2026</v>
      </c>
      <c r="F143" t="s">
        <v>44</v>
      </c>
      <c r="H143" t="s">
        <v>45</v>
      </c>
      <c r="I143">
        <v>1</v>
      </c>
      <c r="J143" t="s">
        <v>46</v>
      </c>
      <c r="K143" s="37" t="str">
        <f>IF($D143="","",IFERROR(INDEX(Mapping!$H$3:$H$32,MATCH($B143,Mapping!$G$3:$G$32,0)),IF(LEFT($F143,3)="P2P",IFERROR(INDEX(Mapping!$E$3:$E$6,MATCH($G143,Mapping!$D$3:$D$6,0)),IFERROR(INDEX(Mapping!$B$3:$B$13,MATCH($J143,Mapping!$A$3:$A$13,0)),"(unmapped)")),IFERROR(INDEX(Mapping!$B$17:$B$22,MATCH($F143,Mapping!$A$17:$A$22,0)),$F143)&amp;" "&amp;IF($G143="Banking","Banking",IFERROR(INDEX(Mapping!$E$17:$E$28,MATCH($J143,Mapping!$D$17:$D$28,0)),"(unmapped)")))))</f>
        <v>MD IB</v>
      </c>
    </row>
    <row r="144" spans="1:11" x14ac:dyDescent="0.3">
      <c r="A144" t="s">
        <v>42</v>
      </c>
      <c r="B144">
        <v>103453</v>
      </c>
      <c r="C144" t="s">
        <v>202</v>
      </c>
      <c r="D144" t="s">
        <v>380</v>
      </c>
      <c r="E144">
        <v>2026</v>
      </c>
      <c r="F144" t="s">
        <v>381</v>
      </c>
      <c r="H144" t="s">
        <v>45</v>
      </c>
      <c r="I144">
        <v>1</v>
      </c>
      <c r="J144" t="s">
        <v>1</v>
      </c>
      <c r="K144" s="37" t="str">
        <f>IF($D144="","",IFERROR(INDEX(Mapping!$H$3:$H$32,MATCH($B144,Mapping!$G$3:$G$32,0)),IF(LEFT($F144,3)="P2P",IFERROR(INDEX(Mapping!$E$3:$E$6,MATCH($G144,Mapping!$D$3:$D$6,0)),IFERROR(INDEX(Mapping!$B$3:$B$13,MATCH($J144,Mapping!$A$3:$A$13,0)),"(unmapped)")),IFERROR(INDEX(Mapping!$B$17:$B$22,MATCH($F144,Mapping!$A$17:$A$22,0)),$F144)&amp;" "&amp;IF($G144="Banking","Banking",IFERROR(INDEX(Mapping!$E$17:$E$28,MATCH($J144,Mapping!$D$17:$D$28,0)),"(unmapped)")))))</f>
        <v>P2P Vuelta FR</v>
      </c>
    </row>
    <row r="145" spans="1:11" x14ac:dyDescent="0.3">
      <c r="A145" t="s">
        <v>42</v>
      </c>
      <c r="B145">
        <v>103458</v>
      </c>
      <c r="C145" t="s">
        <v>203</v>
      </c>
      <c r="D145" t="s">
        <v>380</v>
      </c>
      <c r="E145">
        <v>2026</v>
      </c>
      <c r="F145" t="s">
        <v>381</v>
      </c>
      <c r="H145" t="s">
        <v>45</v>
      </c>
      <c r="I145">
        <v>1</v>
      </c>
      <c r="J145" t="s">
        <v>8</v>
      </c>
      <c r="K145" s="37" t="str">
        <f>IF($D145="","",IFERROR(INDEX(Mapping!$H$3:$H$32,MATCH($B145,Mapping!$G$3:$G$32,0)),IF(LEFT($F145,3)="P2P",IFERROR(INDEX(Mapping!$E$3:$E$6,MATCH($G145,Mapping!$D$3:$D$6,0)),IFERROR(INDEX(Mapping!$B$3:$B$13,MATCH($J145,Mapping!$A$3:$A$13,0)),"(unmapped)")),IFERROR(INDEX(Mapping!$B$17:$B$22,MATCH($F145,Mapping!$A$17:$A$22,0)),$F145)&amp;" "&amp;IF($G145="Banking","Banking",IFERROR(INDEX(Mapping!$E$17:$E$28,MATCH($J145,Mapping!$D$17:$D$28,0)),"(unmapped)")))))</f>
        <v>P2P Vuelta PS</v>
      </c>
    </row>
    <row r="146" spans="1:11" x14ac:dyDescent="0.3">
      <c r="A146" t="s">
        <v>42</v>
      </c>
      <c r="B146">
        <v>103466</v>
      </c>
      <c r="C146" t="s">
        <v>204</v>
      </c>
      <c r="D146" t="s">
        <v>380</v>
      </c>
      <c r="E146">
        <v>2026</v>
      </c>
      <c r="F146" t="s">
        <v>84</v>
      </c>
      <c r="H146" t="s">
        <v>45</v>
      </c>
      <c r="I146">
        <v>1</v>
      </c>
      <c r="J146" t="s">
        <v>46</v>
      </c>
      <c r="K146" s="37" t="str">
        <f>IF($D146="","",IFERROR(INDEX(Mapping!$H$3:$H$32,MATCH($B146,Mapping!$G$3:$G$32,0)),IF(LEFT($F146,3)="P2P",IFERROR(INDEX(Mapping!$E$3:$E$6,MATCH($G146,Mapping!$D$3:$D$6,0)),IFERROR(INDEX(Mapping!$B$3:$B$13,MATCH($J146,Mapping!$A$3:$A$13,0)),"(unmapped)")),IFERROR(INDEX(Mapping!$B$17:$B$22,MATCH($F146,Mapping!$A$17:$A$22,0)),$F146)&amp;" "&amp;IF($G146="Banking","Banking",IFERROR(INDEX(Mapping!$E$17:$E$28,MATCH($J146,Mapping!$D$17:$D$28,0)),"(unmapped)")))))</f>
        <v>R2R IB</v>
      </c>
    </row>
    <row r="147" spans="1:11" x14ac:dyDescent="0.3">
      <c r="A147" t="s">
        <v>42</v>
      </c>
      <c r="B147">
        <v>103470</v>
      </c>
      <c r="C147" t="s">
        <v>205</v>
      </c>
      <c r="D147" t="s">
        <v>380</v>
      </c>
      <c r="E147">
        <v>2026</v>
      </c>
      <c r="F147" t="s">
        <v>57</v>
      </c>
      <c r="H147" t="s">
        <v>55</v>
      </c>
      <c r="I147">
        <v>1</v>
      </c>
      <c r="J147" t="s">
        <v>46</v>
      </c>
      <c r="K147" s="37" t="str">
        <f>IF($D147="","",IFERROR(INDEX(Mapping!$H$3:$H$32,MATCH($B147,Mapping!$G$3:$G$32,0)),IF(LEFT($F147,3)="P2P",IFERROR(INDEX(Mapping!$E$3:$E$6,MATCH($G147,Mapping!$D$3:$D$6,0)),IFERROR(INDEX(Mapping!$B$3:$B$13,MATCH($J147,Mapping!$A$3:$A$13,0)),"(unmapped)")),IFERROR(INDEX(Mapping!$B$17:$B$22,MATCH($F147,Mapping!$A$17:$A$22,0)),$F147)&amp;" "&amp;IF($G147="Banking","Banking",IFERROR(INDEX(Mapping!$E$17:$E$28,MATCH($J147,Mapping!$D$17:$D$28,0)),"(unmapped)")))))</f>
        <v>AR IB</v>
      </c>
    </row>
    <row r="148" spans="1:11" x14ac:dyDescent="0.3">
      <c r="A148" t="s">
        <v>42</v>
      </c>
      <c r="B148">
        <v>103471</v>
      </c>
      <c r="C148" t="s">
        <v>207</v>
      </c>
      <c r="D148" t="s">
        <v>380</v>
      </c>
      <c r="E148">
        <v>2026</v>
      </c>
      <c r="F148" t="s">
        <v>118</v>
      </c>
      <c r="H148" t="s">
        <v>55</v>
      </c>
      <c r="I148">
        <v>1</v>
      </c>
      <c r="J148" t="s">
        <v>350</v>
      </c>
      <c r="K148" s="37" t="str">
        <f>IF($D148="","",IFERROR(INDEX(Mapping!$H$3:$H$32,MATCH($B148,Mapping!$G$3:$G$32,0)),IF(LEFT($F148,3)="P2P",IFERROR(INDEX(Mapping!$E$3:$E$6,MATCH($G148,Mapping!$D$3:$D$6,0)),IFERROR(INDEX(Mapping!$B$3:$B$13,MATCH($J148,Mapping!$A$3:$A$13,0)),"(unmapped)")),IFERROR(INDEX(Mapping!$B$17:$B$22,MATCH($F148,Mapping!$A$17:$A$22,0)),$F148)&amp;" "&amp;IF($G148="Banking","Banking",IFERROR(INDEX(Mapping!$E$17:$E$28,MATCH($J148,Mapping!$D$17:$D$28,0)),"(unmapped)")))))</f>
        <v>AP MA</v>
      </c>
    </row>
    <row r="149" spans="1:11" x14ac:dyDescent="0.3">
      <c r="A149" t="s">
        <v>42</v>
      </c>
      <c r="B149">
        <v>103472</v>
      </c>
      <c r="C149" t="s">
        <v>208</v>
      </c>
      <c r="D149" t="s">
        <v>380</v>
      </c>
      <c r="E149">
        <v>2026</v>
      </c>
      <c r="F149" t="s">
        <v>381</v>
      </c>
      <c r="H149" t="s">
        <v>45</v>
      </c>
      <c r="I149">
        <v>1</v>
      </c>
      <c r="J149" t="s">
        <v>0</v>
      </c>
      <c r="K149" s="37" t="str">
        <f>IF($D149="","",IFERROR(INDEX(Mapping!$H$3:$H$32,MATCH($B149,Mapping!$G$3:$G$32,0)),IF(LEFT($F149,3)="P2P",IFERROR(INDEX(Mapping!$E$3:$E$6,MATCH($G149,Mapping!$D$3:$D$6,0)),IFERROR(INDEX(Mapping!$B$3:$B$13,MATCH($J149,Mapping!$A$3:$A$13,0)),"(unmapped)")),IFERROR(INDEX(Mapping!$B$17:$B$22,MATCH($F149,Mapping!$A$17:$A$22,0)),$F149)&amp;" "&amp;IF($G149="Banking","Banking",IFERROR(INDEX(Mapping!$E$17:$E$28,MATCH($J149,Mapping!$D$17:$D$28,0)),"(unmapped)")))))</f>
        <v>P2P Vuelta DE</v>
      </c>
    </row>
    <row r="150" spans="1:11" x14ac:dyDescent="0.3">
      <c r="A150" t="s">
        <v>42</v>
      </c>
      <c r="B150">
        <v>103473</v>
      </c>
      <c r="C150" t="s">
        <v>209</v>
      </c>
      <c r="D150" t="s">
        <v>380</v>
      </c>
      <c r="E150">
        <v>2026</v>
      </c>
      <c r="F150" t="s">
        <v>118</v>
      </c>
      <c r="H150" t="s">
        <v>55</v>
      </c>
      <c r="I150">
        <v>1</v>
      </c>
      <c r="J150" t="s">
        <v>350</v>
      </c>
      <c r="K150" s="37" t="str">
        <f>IF($D150="","",IFERROR(INDEX(Mapping!$H$3:$H$32,MATCH($B150,Mapping!$G$3:$G$32,0)),IF(LEFT($F150,3)="P2P",IFERROR(INDEX(Mapping!$E$3:$E$6,MATCH($G150,Mapping!$D$3:$D$6,0)),IFERROR(INDEX(Mapping!$B$3:$B$13,MATCH($J150,Mapping!$A$3:$A$13,0)),"(unmapped)")),IFERROR(INDEX(Mapping!$B$17:$B$22,MATCH($F150,Mapping!$A$17:$A$22,0)),$F150)&amp;" "&amp;IF($G150="Banking","Banking",IFERROR(INDEX(Mapping!$E$17:$E$28,MATCH($J150,Mapping!$D$17:$D$28,0)),"(unmapped)")))))</f>
        <v>AP MA</v>
      </c>
    </row>
    <row r="151" spans="1:11" x14ac:dyDescent="0.3">
      <c r="A151" t="s">
        <v>42</v>
      </c>
      <c r="B151">
        <v>103476</v>
      </c>
      <c r="C151" t="s">
        <v>210</v>
      </c>
      <c r="D151" t="s">
        <v>380</v>
      </c>
      <c r="E151">
        <v>2026</v>
      </c>
      <c r="F151" t="s">
        <v>381</v>
      </c>
      <c r="H151" t="s">
        <v>45</v>
      </c>
      <c r="I151">
        <v>1</v>
      </c>
      <c r="J151" t="s">
        <v>7</v>
      </c>
      <c r="K151" s="37" t="str">
        <f>IF($D151="","",IFERROR(INDEX(Mapping!$H$3:$H$32,MATCH($B151,Mapping!$G$3:$G$32,0)),IF(LEFT($F151,3)="P2P",IFERROR(INDEX(Mapping!$E$3:$E$6,MATCH($G151,Mapping!$D$3:$D$6,0)),IFERROR(INDEX(Mapping!$B$3:$B$13,MATCH($J151,Mapping!$A$3:$A$13,0)),"(unmapped)")),IFERROR(INDEX(Mapping!$B$17:$B$22,MATCH($F151,Mapping!$A$17:$A$22,0)),$F151)&amp;" "&amp;IF($G151="Banking","Banking",IFERROR(INDEX(Mapping!$E$17:$E$28,MATCH($J151,Mapping!$D$17:$D$28,0)),"(unmapped)")))))</f>
        <v>P2P Vuelta UK</v>
      </c>
    </row>
    <row r="152" spans="1:11" x14ac:dyDescent="0.3">
      <c r="A152" t="s">
        <v>42</v>
      </c>
      <c r="B152">
        <v>103477</v>
      </c>
      <c r="C152" t="s">
        <v>211</v>
      </c>
      <c r="D152" t="s">
        <v>380</v>
      </c>
      <c r="E152">
        <v>2026</v>
      </c>
      <c r="F152" t="s">
        <v>118</v>
      </c>
      <c r="H152" t="s">
        <v>55</v>
      </c>
      <c r="I152">
        <v>1</v>
      </c>
      <c r="J152" t="s">
        <v>1</v>
      </c>
      <c r="K152" s="37" t="str">
        <f>IF($D152="","",IFERROR(INDEX(Mapping!$H$3:$H$32,MATCH($B152,Mapping!$G$3:$G$32,0)),IF(LEFT($F152,3)="P2P",IFERROR(INDEX(Mapping!$E$3:$E$6,MATCH($G152,Mapping!$D$3:$D$6,0)),IFERROR(INDEX(Mapping!$B$3:$B$13,MATCH($J152,Mapping!$A$3:$A$13,0)),"(unmapped)")),IFERROR(INDEX(Mapping!$B$17:$B$22,MATCH($F152,Mapping!$A$17:$A$22,0)),$F152)&amp;" "&amp;IF($G152="Banking","Banking",IFERROR(INDEX(Mapping!$E$17:$E$28,MATCH($J152,Mapping!$D$17:$D$28,0)),"(unmapped)")))))</f>
        <v>AP FR</v>
      </c>
    </row>
    <row r="153" spans="1:11" x14ac:dyDescent="0.3">
      <c r="A153" t="s">
        <v>42</v>
      </c>
      <c r="B153">
        <v>103482</v>
      </c>
      <c r="C153" t="s">
        <v>212</v>
      </c>
      <c r="D153" t="s">
        <v>380</v>
      </c>
      <c r="E153">
        <v>2026</v>
      </c>
      <c r="F153" t="s">
        <v>381</v>
      </c>
      <c r="H153" t="s">
        <v>45</v>
      </c>
      <c r="I153">
        <v>1</v>
      </c>
      <c r="J153" t="s">
        <v>1</v>
      </c>
      <c r="K153" s="37" t="str">
        <f>IF($D153="","",IFERROR(INDEX(Mapping!$H$3:$H$32,MATCH($B153,Mapping!$G$3:$G$32,0)),IF(LEFT($F153,3)="P2P",IFERROR(INDEX(Mapping!$E$3:$E$6,MATCH($G153,Mapping!$D$3:$D$6,0)),IFERROR(INDEX(Mapping!$B$3:$B$13,MATCH($J153,Mapping!$A$3:$A$13,0)),"(unmapped)")),IFERROR(INDEX(Mapping!$B$17:$B$22,MATCH($F153,Mapping!$A$17:$A$22,0)),$F153)&amp;" "&amp;IF($G153="Banking","Banking",IFERROR(INDEX(Mapping!$E$17:$E$28,MATCH($J153,Mapping!$D$17:$D$28,0)),"(unmapped)")))))</f>
        <v>P2P Vuelta FR</v>
      </c>
    </row>
    <row r="154" spans="1:11" x14ac:dyDescent="0.3">
      <c r="A154" t="s">
        <v>42</v>
      </c>
      <c r="B154">
        <v>103483</v>
      </c>
      <c r="C154" t="s">
        <v>188</v>
      </c>
      <c r="D154" t="s">
        <v>380</v>
      </c>
      <c r="E154">
        <v>2026</v>
      </c>
      <c r="F154" t="s">
        <v>118</v>
      </c>
      <c r="H154" t="s">
        <v>45</v>
      </c>
      <c r="I154">
        <v>1</v>
      </c>
      <c r="J154" t="s">
        <v>3</v>
      </c>
      <c r="K154" s="37" t="str">
        <f>IF($D154="","",IFERROR(INDEX(Mapping!$H$3:$H$32,MATCH($B154,Mapping!$G$3:$G$32,0)),IF(LEFT($F154,3)="P2P",IFERROR(INDEX(Mapping!$E$3:$E$6,MATCH($G154,Mapping!$D$3:$D$6,0)),IFERROR(INDEX(Mapping!$B$3:$B$13,MATCH($J154,Mapping!$A$3:$A$13,0)),"(unmapped)")),IFERROR(INDEX(Mapping!$B$17:$B$22,MATCH($F154,Mapping!$A$17:$A$22,0)),$F154)&amp;" "&amp;IF($G154="Banking","Banking",IFERROR(INDEX(Mapping!$E$17:$E$28,MATCH($J154,Mapping!$D$17:$D$28,0)),"(unmapped)")))))</f>
        <v>AP IT</v>
      </c>
    </row>
    <row r="155" spans="1:11" x14ac:dyDescent="0.3">
      <c r="A155" t="s">
        <v>42</v>
      </c>
      <c r="B155">
        <v>103485</v>
      </c>
      <c r="C155" t="s">
        <v>213</v>
      </c>
      <c r="D155" t="s">
        <v>380</v>
      </c>
      <c r="E155">
        <v>2026</v>
      </c>
      <c r="F155" t="s">
        <v>118</v>
      </c>
      <c r="H155" t="s">
        <v>55</v>
      </c>
      <c r="I155">
        <v>1</v>
      </c>
      <c r="J155" t="s">
        <v>46</v>
      </c>
      <c r="K155" s="37" t="str">
        <f>IF($D155="","",IFERROR(INDEX(Mapping!$H$3:$H$32,MATCH($B155,Mapping!$G$3:$G$32,0)),IF(LEFT($F155,3)="P2P",IFERROR(INDEX(Mapping!$E$3:$E$6,MATCH($G155,Mapping!$D$3:$D$6,0)),IFERROR(INDEX(Mapping!$B$3:$B$13,MATCH($J155,Mapping!$A$3:$A$13,0)),"(unmapped)")),IFERROR(INDEX(Mapping!$B$17:$B$22,MATCH($F155,Mapping!$A$17:$A$22,0)),$F155)&amp;" "&amp;IF($G155="Banking","Banking",IFERROR(INDEX(Mapping!$E$17:$E$28,MATCH($J155,Mapping!$D$17:$D$28,0)),"(unmapped)")))))</f>
        <v>AP IB</v>
      </c>
    </row>
    <row r="156" spans="1:11" x14ac:dyDescent="0.3">
      <c r="A156" t="s">
        <v>42</v>
      </c>
      <c r="B156">
        <v>103494</v>
      </c>
      <c r="C156" t="s">
        <v>214</v>
      </c>
      <c r="D156" t="s">
        <v>380</v>
      </c>
      <c r="E156">
        <v>2026</v>
      </c>
      <c r="F156" t="s">
        <v>381</v>
      </c>
      <c r="H156" t="s">
        <v>45</v>
      </c>
      <c r="I156">
        <v>1</v>
      </c>
      <c r="J156" t="s">
        <v>7</v>
      </c>
      <c r="K156" s="37" t="str">
        <f>IF($D156="","",IFERROR(INDEX(Mapping!$H$3:$H$32,MATCH($B156,Mapping!$G$3:$G$32,0)),IF(LEFT($F156,3)="P2P",IFERROR(INDEX(Mapping!$E$3:$E$6,MATCH($G156,Mapping!$D$3:$D$6,0)),IFERROR(INDEX(Mapping!$B$3:$B$13,MATCH($J156,Mapping!$A$3:$A$13,0)),"(unmapped)")),IFERROR(INDEX(Mapping!$B$17:$B$22,MATCH($F156,Mapping!$A$17:$A$22,0)),$F156)&amp;" "&amp;IF($G156="Banking","Banking",IFERROR(INDEX(Mapping!$E$17:$E$28,MATCH($J156,Mapping!$D$17:$D$28,0)),"(unmapped)")))))</f>
        <v>P2P Vuelta UK</v>
      </c>
    </row>
    <row r="157" spans="1:11" x14ac:dyDescent="0.3">
      <c r="A157" t="s">
        <v>42</v>
      </c>
      <c r="B157">
        <v>103498</v>
      </c>
      <c r="C157" t="s">
        <v>215</v>
      </c>
      <c r="D157" t="s">
        <v>380</v>
      </c>
      <c r="E157">
        <v>2026</v>
      </c>
      <c r="F157" t="s">
        <v>84</v>
      </c>
      <c r="H157" t="s">
        <v>45</v>
      </c>
      <c r="I157">
        <v>1</v>
      </c>
      <c r="J157" t="s">
        <v>46</v>
      </c>
      <c r="K157" s="37" t="str">
        <f>IF($D157="","",IFERROR(INDEX(Mapping!$H$3:$H$32,MATCH($B157,Mapping!$G$3:$G$32,0)),IF(LEFT($F157,3)="P2P",IFERROR(INDEX(Mapping!$E$3:$E$6,MATCH($G157,Mapping!$D$3:$D$6,0)),IFERROR(INDEX(Mapping!$B$3:$B$13,MATCH($J157,Mapping!$A$3:$A$13,0)),"(unmapped)")),IFERROR(INDEX(Mapping!$B$17:$B$22,MATCH($F157,Mapping!$A$17:$A$22,0)),$F157)&amp;" "&amp;IF($G157="Banking","Banking",IFERROR(INDEX(Mapping!$E$17:$E$28,MATCH($J157,Mapping!$D$17:$D$28,0)),"(unmapped)")))))</f>
        <v>R2R IB</v>
      </c>
    </row>
    <row r="158" spans="1:11" x14ac:dyDescent="0.3">
      <c r="A158" t="s">
        <v>42</v>
      </c>
      <c r="B158">
        <v>103500</v>
      </c>
      <c r="C158" t="s">
        <v>216</v>
      </c>
      <c r="D158" t="s">
        <v>380</v>
      </c>
      <c r="E158">
        <v>2026</v>
      </c>
      <c r="F158" t="s">
        <v>57</v>
      </c>
      <c r="G158" t="s">
        <v>59</v>
      </c>
      <c r="H158" t="s">
        <v>45</v>
      </c>
      <c r="I158">
        <v>1</v>
      </c>
      <c r="J158" t="s">
        <v>46</v>
      </c>
      <c r="K158" s="37" t="str">
        <f>IF($D158="","",IFERROR(INDEX(Mapping!$H$3:$H$32,MATCH($B158,Mapping!$G$3:$G$32,0)),IF(LEFT($F158,3)="P2P",IFERROR(INDEX(Mapping!$E$3:$E$6,MATCH($G158,Mapping!$D$3:$D$6,0)),IFERROR(INDEX(Mapping!$B$3:$B$13,MATCH($J158,Mapping!$A$3:$A$13,0)),"(unmapped)")),IFERROR(INDEX(Mapping!$B$17:$B$22,MATCH($F158,Mapping!$A$17:$A$22,0)),$F158)&amp;" "&amp;IF($G158="Banking","Banking",IFERROR(INDEX(Mapping!$E$17:$E$28,MATCH($J158,Mapping!$D$17:$D$28,0)),"(unmapped)")))))</f>
        <v>AR Banking</v>
      </c>
    </row>
    <row r="159" spans="1:11" x14ac:dyDescent="0.3">
      <c r="A159" t="s">
        <v>42</v>
      </c>
      <c r="B159">
        <v>103508</v>
      </c>
      <c r="C159" t="s">
        <v>335</v>
      </c>
      <c r="D159" t="s">
        <v>380</v>
      </c>
      <c r="E159">
        <v>2026</v>
      </c>
      <c r="F159" t="s">
        <v>381</v>
      </c>
      <c r="G159" t="s">
        <v>347</v>
      </c>
      <c r="H159" t="s">
        <v>45</v>
      </c>
      <c r="I159">
        <v>1</v>
      </c>
      <c r="J159" t="s">
        <v>7</v>
      </c>
      <c r="K159" s="37" t="str">
        <f>IF($D159="","",IFERROR(INDEX(Mapping!$H$3:$H$32,MATCH($B159,Mapping!$G$3:$G$32,0)),IF(LEFT($F159,3)="P2P",IFERROR(INDEX(Mapping!$E$3:$E$6,MATCH($G159,Mapping!$D$3:$D$6,0)),IFERROR(INDEX(Mapping!$B$3:$B$13,MATCH($J159,Mapping!$A$3:$A$13,0)),"(unmapped)")),IFERROR(INDEX(Mapping!$B$17:$B$22,MATCH($F159,Mapping!$A$17:$A$22,0)),$F159)&amp;" "&amp;IF($G159="Banking","Banking",IFERROR(INDEX(Mapping!$E$17:$E$28,MATCH($J159,Mapping!$D$17:$D$28,0)),"(unmapped)")))))</f>
        <v>P2P Vuelta UK</v>
      </c>
    </row>
    <row r="160" spans="1:11" x14ac:dyDescent="0.3">
      <c r="A160" t="s">
        <v>42</v>
      </c>
      <c r="B160">
        <v>103509</v>
      </c>
      <c r="C160" t="s">
        <v>336</v>
      </c>
      <c r="D160" t="s">
        <v>380</v>
      </c>
      <c r="E160">
        <v>2026</v>
      </c>
      <c r="F160" t="s">
        <v>57</v>
      </c>
      <c r="G160" t="s">
        <v>59</v>
      </c>
      <c r="H160" t="s">
        <v>55</v>
      </c>
      <c r="I160">
        <v>1</v>
      </c>
      <c r="J160" t="s">
        <v>46</v>
      </c>
      <c r="K160" s="37" t="str">
        <f>IF($D160="","",IFERROR(INDEX(Mapping!$H$3:$H$32,MATCH($B160,Mapping!$G$3:$G$32,0)),IF(LEFT($F160,3)="P2P",IFERROR(INDEX(Mapping!$E$3:$E$6,MATCH($G160,Mapping!$D$3:$D$6,0)),IFERROR(INDEX(Mapping!$B$3:$B$13,MATCH($J160,Mapping!$A$3:$A$13,0)),"(unmapped)")),IFERROR(INDEX(Mapping!$B$17:$B$22,MATCH($F160,Mapping!$A$17:$A$22,0)),$F160)&amp;" "&amp;IF($G160="Banking","Banking",IFERROR(INDEX(Mapping!$E$17:$E$28,MATCH($J160,Mapping!$D$17:$D$28,0)),"(unmapped)")))))</f>
        <v>AR Banking</v>
      </c>
    </row>
    <row r="161" spans="1:11" x14ac:dyDescent="0.3">
      <c r="A161" t="s">
        <v>42</v>
      </c>
      <c r="B161">
        <v>103511</v>
      </c>
      <c r="C161" t="s">
        <v>337</v>
      </c>
      <c r="D161" t="s">
        <v>380</v>
      </c>
      <c r="E161">
        <v>2026</v>
      </c>
      <c r="F161" t="s">
        <v>381</v>
      </c>
      <c r="H161" t="s">
        <v>45</v>
      </c>
      <c r="I161">
        <v>1</v>
      </c>
      <c r="J161" t="s">
        <v>349</v>
      </c>
      <c r="K161" s="37" t="str">
        <f>IF($D161="","",IFERROR(INDEX(Mapping!$H$3:$H$32,MATCH($B161,Mapping!$G$3:$G$32,0)),IF(LEFT($F161,3)="P2P",IFERROR(INDEX(Mapping!$E$3:$E$6,MATCH($G161,Mapping!$D$3:$D$6,0)),IFERROR(INDEX(Mapping!$B$3:$B$13,MATCH($J161,Mapping!$A$3:$A$13,0)),"(unmapped)")),IFERROR(INDEX(Mapping!$B$17:$B$22,MATCH($F161,Mapping!$A$17:$A$22,0)),$F161)&amp;" "&amp;IF($G161="Banking","Banking",IFERROR(INDEX(Mapping!$E$17:$E$28,MATCH($J161,Mapping!$D$17:$D$28,0)),"(unmapped)")))))</f>
        <v>P2P Vuelta BE</v>
      </c>
    </row>
    <row r="162" spans="1:11" x14ac:dyDescent="0.3">
      <c r="A162" t="s">
        <v>42</v>
      </c>
      <c r="B162">
        <v>103512</v>
      </c>
      <c r="C162" t="s">
        <v>338</v>
      </c>
      <c r="D162" t="s">
        <v>380</v>
      </c>
      <c r="E162">
        <v>2026</v>
      </c>
      <c r="F162" t="s">
        <v>381</v>
      </c>
      <c r="H162" t="s">
        <v>45</v>
      </c>
      <c r="I162">
        <v>1</v>
      </c>
      <c r="J162" t="s">
        <v>7</v>
      </c>
      <c r="K162" s="37" t="str">
        <f>IF($D162="","",IFERROR(INDEX(Mapping!$H$3:$H$32,MATCH($B162,Mapping!$G$3:$G$32,0)),IF(LEFT($F162,3)="P2P",IFERROR(INDEX(Mapping!$E$3:$E$6,MATCH($G162,Mapping!$D$3:$D$6,0)),IFERROR(INDEX(Mapping!$B$3:$B$13,MATCH($J162,Mapping!$A$3:$A$13,0)),"(unmapped)")),IFERROR(INDEX(Mapping!$B$17:$B$22,MATCH($F162,Mapping!$A$17:$A$22,0)),$F162)&amp;" "&amp;IF($G162="Banking","Banking",IFERROR(INDEX(Mapping!$E$17:$E$28,MATCH($J162,Mapping!$D$17:$D$28,0)),"(unmapped)")))))</f>
        <v>P2P Vuelta UK</v>
      </c>
    </row>
    <row r="163" spans="1:11" x14ac:dyDescent="0.3">
      <c r="A163" t="s">
        <v>42</v>
      </c>
      <c r="B163">
        <v>103519</v>
      </c>
      <c r="C163" t="s">
        <v>339</v>
      </c>
      <c r="D163" t="s">
        <v>380</v>
      </c>
      <c r="E163">
        <v>2026</v>
      </c>
      <c r="F163" t="s">
        <v>118</v>
      </c>
      <c r="H163" t="s">
        <v>55</v>
      </c>
      <c r="I163">
        <v>1</v>
      </c>
      <c r="J163" t="s">
        <v>3</v>
      </c>
      <c r="K163" s="37" t="str">
        <f>IF($D163="","",IFERROR(INDEX(Mapping!$H$3:$H$32,MATCH($B163,Mapping!$G$3:$G$32,0)),IF(LEFT($F163,3)="P2P",IFERROR(INDEX(Mapping!$E$3:$E$6,MATCH($G163,Mapping!$D$3:$D$6,0)),IFERROR(INDEX(Mapping!$B$3:$B$13,MATCH($J163,Mapping!$A$3:$A$13,0)),"(unmapped)")),IFERROR(INDEX(Mapping!$B$17:$B$22,MATCH($F163,Mapping!$A$17:$A$22,0)),$F163)&amp;" "&amp;IF($G163="Banking","Banking",IFERROR(INDEX(Mapping!$E$17:$E$28,MATCH($J163,Mapping!$D$17:$D$28,0)),"(unmapped)")))))</f>
        <v>AP IT</v>
      </c>
    </row>
    <row r="164" spans="1:11" x14ac:dyDescent="0.3">
      <c r="A164" t="s">
        <v>42</v>
      </c>
      <c r="B164">
        <v>103520</v>
      </c>
      <c r="C164" t="s">
        <v>340</v>
      </c>
      <c r="D164" t="s">
        <v>380</v>
      </c>
      <c r="E164">
        <v>2026</v>
      </c>
      <c r="F164" t="s">
        <v>57</v>
      </c>
      <c r="H164" t="s">
        <v>55</v>
      </c>
      <c r="I164">
        <v>0.875</v>
      </c>
      <c r="J164" t="s">
        <v>46</v>
      </c>
      <c r="K164" s="37" t="str">
        <f>IF($D164="","",IFERROR(INDEX(Mapping!$H$3:$H$32,MATCH($B164,Mapping!$G$3:$G$32,0)),IF(LEFT($F164,3)="P2P",IFERROR(INDEX(Mapping!$E$3:$E$6,MATCH($G164,Mapping!$D$3:$D$6,0)),IFERROR(INDEX(Mapping!$B$3:$B$13,MATCH($J164,Mapping!$A$3:$A$13,0)),"(unmapped)")),IFERROR(INDEX(Mapping!$B$17:$B$22,MATCH($F164,Mapping!$A$17:$A$22,0)),$F164)&amp;" "&amp;IF($G164="Banking","Banking",IFERROR(INDEX(Mapping!$E$17:$E$28,MATCH($J164,Mapping!$D$17:$D$28,0)),"(unmapped)")))))</f>
        <v>AR IB</v>
      </c>
    </row>
    <row r="165" spans="1:11" x14ac:dyDescent="0.3">
      <c r="A165" t="s">
        <v>42</v>
      </c>
      <c r="B165">
        <v>190068</v>
      </c>
      <c r="C165" t="s">
        <v>341</v>
      </c>
      <c r="D165" t="s">
        <v>380</v>
      </c>
      <c r="E165">
        <v>2026</v>
      </c>
      <c r="F165" t="s">
        <v>48</v>
      </c>
      <c r="H165" t="s">
        <v>45</v>
      </c>
      <c r="I165">
        <v>0</v>
      </c>
      <c r="J165" t="s">
        <v>1</v>
      </c>
      <c r="K165" s="37" t="str">
        <f>IF($D165="","",IFERROR(INDEX(Mapping!$H$3:$H$32,MATCH($B165,Mapping!$G$3:$G$32,0)),IF(LEFT($F165,3)="P2P",IFERROR(INDEX(Mapping!$E$3:$E$6,MATCH($G165,Mapping!$D$3:$D$6,0)),IFERROR(INDEX(Mapping!$B$3:$B$13,MATCH($J165,Mapping!$A$3:$A$13,0)),"(unmapped)")),IFERROR(INDEX(Mapping!$B$17:$B$22,MATCH($F165,Mapping!$A$17:$A$22,0)),$F165)&amp;" "&amp;IF($G165="Banking","Banking",IFERROR(INDEX(Mapping!$E$17:$E$28,MATCH($J165,Mapping!$D$17:$D$28,0)),"(unmapped)")))))</f>
        <v>OoS FR</v>
      </c>
    </row>
    <row r="166" spans="1:11" x14ac:dyDescent="0.3">
      <c r="A166" t="s">
        <v>42</v>
      </c>
      <c r="B166">
        <v>103521</v>
      </c>
      <c r="C166" t="s">
        <v>376</v>
      </c>
      <c r="D166" t="s">
        <v>380</v>
      </c>
      <c r="E166">
        <v>2026</v>
      </c>
      <c r="F166" t="s">
        <v>118</v>
      </c>
      <c r="G166" t="s">
        <v>347</v>
      </c>
      <c r="H166" t="s">
        <v>55</v>
      </c>
      <c r="I166">
        <v>0</v>
      </c>
      <c r="J166" t="s">
        <v>350</v>
      </c>
      <c r="K166" s="37" t="str">
        <f>IF($D166="","",IFERROR(INDEX(Mapping!$H$3:$H$32,MATCH($B166,Mapping!$G$3:$G$32,0)),IF(LEFT($F166,3)="P2P",IFERROR(INDEX(Mapping!$E$3:$E$6,MATCH($G166,Mapping!$D$3:$D$6,0)),IFERROR(INDEX(Mapping!$B$3:$B$13,MATCH($J166,Mapping!$A$3:$A$13,0)),"(unmapped)")),IFERROR(INDEX(Mapping!$B$17:$B$22,MATCH($F166,Mapping!$A$17:$A$22,0)),$F166)&amp;" "&amp;IF($G166="Banking","Banking",IFERROR(INDEX(Mapping!$E$17:$E$28,MATCH($J166,Mapping!$D$17:$D$28,0)),"(unmapped)")))))</f>
        <v>AP Help Desk</v>
      </c>
    </row>
    <row r="167" spans="1:11" x14ac:dyDescent="0.3">
      <c r="A167" t="s">
        <v>42</v>
      </c>
      <c r="B167">
        <v>103522</v>
      </c>
      <c r="C167" t="s">
        <v>346</v>
      </c>
      <c r="D167" t="s">
        <v>380</v>
      </c>
      <c r="E167">
        <v>2026</v>
      </c>
      <c r="F167" t="s">
        <v>57</v>
      </c>
      <c r="H167" t="s">
        <v>55</v>
      </c>
      <c r="I167">
        <v>1</v>
      </c>
      <c r="J167" t="s">
        <v>3</v>
      </c>
      <c r="K167" s="37" t="str">
        <f>IF($D167="","",IFERROR(INDEX(Mapping!$H$3:$H$32,MATCH($B167,Mapping!$G$3:$G$32,0)),IF(LEFT($F167,3)="P2P",IFERROR(INDEX(Mapping!$E$3:$E$6,MATCH($G167,Mapping!$D$3:$D$6,0)),IFERROR(INDEX(Mapping!$B$3:$B$13,MATCH($J167,Mapping!$A$3:$A$13,0)),"(unmapped)")),IFERROR(INDEX(Mapping!$B$17:$B$22,MATCH($F167,Mapping!$A$17:$A$22,0)),$F167)&amp;" "&amp;IF($G167="Banking","Banking",IFERROR(INDEX(Mapping!$E$17:$E$28,MATCH($J167,Mapping!$D$17:$D$28,0)),"(unmapped)")))))</f>
        <v>AR IT</v>
      </c>
    </row>
    <row r="168" spans="1:11" x14ac:dyDescent="0.3">
      <c r="A168" t="s">
        <v>42</v>
      </c>
      <c r="B168">
        <v>103524</v>
      </c>
      <c r="C168" t="s">
        <v>377</v>
      </c>
      <c r="D168" t="s">
        <v>380</v>
      </c>
      <c r="E168">
        <v>2026</v>
      </c>
      <c r="F168" t="s">
        <v>84</v>
      </c>
      <c r="G168" t="s">
        <v>59</v>
      </c>
      <c r="H168" t="s">
        <v>55</v>
      </c>
      <c r="I168">
        <v>1</v>
      </c>
      <c r="J168" t="s">
        <v>46</v>
      </c>
      <c r="K168" s="37" t="str">
        <f>IF($D168="","",IFERROR(INDEX(Mapping!$H$3:$H$32,MATCH($B168,Mapping!$G$3:$G$32,0)),IF(LEFT($F168,3)="P2P",IFERROR(INDEX(Mapping!$E$3:$E$6,MATCH($G168,Mapping!$D$3:$D$6,0)),IFERROR(INDEX(Mapping!$B$3:$B$13,MATCH($J168,Mapping!$A$3:$A$13,0)),"(unmapped)")),IFERROR(INDEX(Mapping!$B$17:$B$22,MATCH($F168,Mapping!$A$17:$A$22,0)),$F168)&amp;" "&amp;IF($G168="Banking","Banking",IFERROR(INDEX(Mapping!$E$17:$E$28,MATCH($J168,Mapping!$D$17:$D$28,0)),"(unmapped)")))))</f>
        <v>R2R Banking</v>
      </c>
    </row>
    <row r="169" spans="1:11" x14ac:dyDescent="0.3">
      <c r="A169" t="s">
        <v>42</v>
      </c>
      <c r="B169">
        <v>103541</v>
      </c>
      <c r="C169" t="s">
        <v>382</v>
      </c>
      <c r="D169" t="s">
        <v>380</v>
      </c>
      <c r="E169">
        <v>2026</v>
      </c>
      <c r="F169" t="s">
        <v>118</v>
      </c>
      <c r="H169" t="s">
        <v>45</v>
      </c>
      <c r="I169">
        <v>1</v>
      </c>
      <c r="J169" t="s">
        <v>1</v>
      </c>
      <c r="K169" s="37" t="str">
        <f>IF($D169="","",IFERROR(INDEX(Mapping!$H$3:$H$32,MATCH($B169,Mapping!$G$3:$G$32,0)),IF(LEFT($F169,3)="P2P",IFERROR(INDEX(Mapping!$E$3:$E$6,MATCH($G169,Mapping!$D$3:$D$6,0)),IFERROR(INDEX(Mapping!$B$3:$B$13,MATCH($J169,Mapping!$A$3:$A$13,0)),"(unmapped)")),IFERROR(INDEX(Mapping!$B$17:$B$22,MATCH($F169,Mapping!$A$17:$A$22,0)),$F169)&amp;" "&amp;IF($G169="Banking","Banking",IFERROR(INDEX(Mapping!$E$17:$E$28,MATCH($J169,Mapping!$D$17:$D$28,0)),"(unmapped)")))))</f>
        <v>AP FR</v>
      </c>
    </row>
    <row r="170" spans="1:11" x14ac:dyDescent="0.3">
      <c r="A170" t="s">
        <v>42</v>
      </c>
      <c r="B170">
        <v>103542</v>
      </c>
      <c r="C170" t="s">
        <v>383</v>
      </c>
      <c r="D170" t="s">
        <v>380</v>
      </c>
      <c r="E170">
        <v>2026</v>
      </c>
      <c r="F170" t="s">
        <v>48</v>
      </c>
      <c r="H170" t="s">
        <v>49</v>
      </c>
      <c r="I170">
        <v>1</v>
      </c>
      <c r="J170" t="s">
        <v>50</v>
      </c>
      <c r="K170" s="37" t="str">
        <f>IF($D170="","",IFERROR(INDEX(Mapping!$H$3:$H$32,MATCH($B170,Mapping!$G$3:$G$32,0)),IF(LEFT($F170,3)="P2P",IFERROR(INDEX(Mapping!$E$3:$E$6,MATCH($G170,Mapping!$D$3:$D$6,0)),IFERROR(INDEX(Mapping!$B$3:$B$13,MATCH($J170,Mapping!$A$3:$A$13,0)),"(unmapped)")),IFERROR(INDEX(Mapping!$B$17:$B$22,MATCH($F170,Mapping!$A$17:$A$22,0)),$F170)&amp;" "&amp;IF($G170="Banking","Banking",IFERROR(INDEX(Mapping!$E$17:$E$28,MATCH($J170,Mapping!$D$17:$D$28,0)),"(unmapped)")))))</f>
        <v>OoS (unmapped)</v>
      </c>
    </row>
    <row r="171" spans="1:11" x14ac:dyDescent="0.3">
      <c r="A171" t="s">
        <v>42</v>
      </c>
      <c r="B171">
        <v>103543</v>
      </c>
      <c r="C171" t="s">
        <v>384</v>
      </c>
      <c r="D171" t="s">
        <v>380</v>
      </c>
      <c r="E171">
        <v>2026</v>
      </c>
      <c r="F171" t="s">
        <v>48</v>
      </c>
      <c r="H171" t="s">
        <v>49</v>
      </c>
      <c r="I171">
        <v>1</v>
      </c>
      <c r="J171" t="s">
        <v>50</v>
      </c>
      <c r="K171" s="37" t="str">
        <f>IF($D171="","",IFERROR(INDEX(Mapping!$H$3:$H$32,MATCH($B171,Mapping!$G$3:$G$32,0)),IF(LEFT($F171,3)="P2P",IFERROR(INDEX(Mapping!$E$3:$E$6,MATCH($G171,Mapping!$D$3:$D$6,0)),IFERROR(INDEX(Mapping!$B$3:$B$13,MATCH($J171,Mapping!$A$3:$A$13,0)),"(unmapped)")),IFERROR(INDEX(Mapping!$B$17:$B$22,MATCH($F171,Mapping!$A$17:$A$22,0)),$F171)&amp;" "&amp;IF($G171="Banking","Banking",IFERROR(INDEX(Mapping!$E$17:$E$28,MATCH($J171,Mapping!$D$17:$D$28,0)),"(unmapped)")))))</f>
        <v>OoS (unmapped)</v>
      </c>
    </row>
    <row r="172" spans="1:11" x14ac:dyDescent="0.3">
      <c r="A172" t="s">
        <v>42</v>
      </c>
      <c r="B172">
        <v>103547</v>
      </c>
      <c r="C172" t="s">
        <v>385</v>
      </c>
      <c r="D172" t="s">
        <v>380</v>
      </c>
      <c r="E172">
        <v>2026</v>
      </c>
      <c r="F172" t="s">
        <v>84</v>
      </c>
      <c r="H172" t="s">
        <v>55</v>
      </c>
      <c r="I172">
        <v>1</v>
      </c>
      <c r="J172" t="s">
        <v>46</v>
      </c>
      <c r="K172" s="37" t="str">
        <f>IF($D172="","",IFERROR(INDEX(Mapping!$H$3:$H$32,MATCH($B172,Mapping!$G$3:$G$32,0)),IF(LEFT($F172,3)="P2P",IFERROR(INDEX(Mapping!$E$3:$E$6,MATCH($G172,Mapping!$D$3:$D$6,0)),IFERROR(INDEX(Mapping!$B$3:$B$13,MATCH($J172,Mapping!$A$3:$A$13,0)),"(unmapped)")),IFERROR(INDEX(Mapping!$B$17:$B$22,MATCH($F172,Mapping!$A$17:$A$22,0)),$F172)&amp;" "&amp;IF($G172="Banking","Banking",IFERROR(INDEX(Mapping!$E$17:$E$28,MATCH($J172,Mapping!$D$17:$D$28,0)),"(unmapped)")))))</f>
        <v>R2R IB</v>
      </c>
    </row>
    <row r="173" spans="1:11" x14ac:dyDescent="0.3">
      <c r="A173" t="s">
        <v>42</v>
      </c>
      <c r="B173">
        <v>103548</v>
      </c>
      <c r="C173" t="s">
        <v>386</v>
      </c>
      <c r="D173" t="s">
        <v>380</v>
      </c>
      <c r="E173">
        <v>2026</v>
      </c>
      <c r="F173" t="s">
        <v>84</v>
      </c>
      <c r="H173" t="s">
        <v>45</v>
      </c>
      <c r="I173">
        <v>1</v>
      </c>
      <c r="J173" t="s">
        <v>46</v>
      </c>
      <c r="K173" s="37" t="str">
        <f>IF($D173="","",IFERROR(INDEX(Mapping!$H$3:$H$32,MATCH($B173,Mapping!$G$3:$G$32,0)),IF(LEFT($F173,3)="P2P",IFERROR(INDEX(Mapping!$E$3:$E$6,MATCH($G173,Mapping!$D$3:$D$6,0)),IFERROR(INDEX(Mapping!$B$3:$B$13,MATCH($J173,Mapping!$A$3:$A$13,0)),"(unmapped)")),IFERROR(INDEX(Mapping!$B$17:$B$22,MATCH($F173,Mapping!$A$17:$A$22,0)),$F173)&amp;" "&amp;IF($G173="Banking","Banking",IFERROR(INDEX(Mapping!$E$17:$E$28,MATCH($J173,Mapping!$D$17:$D$28,0)),"(unmapped)")))))</f>
        <v>R2R IB</v>
      </c>
    </row>
    <row r="174" spans="1:11" x14ac:dyDescent="0.3">
      <c r="A174" t="s">
        <v>42</v>
      </c>
      <c r="B174">
        <v>190069</v>
      </c>
      <c r="C174" t="s">
        <v>387</v>
      </c>
      <c r="D174" t="s">
        <v>380</v>
      </c>
      <c r="E174">
        <v>2026</v>
      </c>
      <c r="F174" t="s">
        <v>48</v>
      </c>
      <c r="I174">
        <v>0</v>
      </c>
      <c r="K174" s="37" t="str">
        <f>IF($D174="","",IFERROR(INDEX(Mapping!$H$3:$H$32,MATCH($B174,Mapping!$G$3:$G$32,0)),IF(LEFT($F174,3)="P2P",IFERROR(INDEX(Mapping!$E$3:$E$6,MATCH($G174,Mapping!$D$3:$D$6,0)),IFERROR(INDEX(Mapping!$B$3:$B$13,MATCH($J174,Mapping!$A$3:$A$13,0)),"(unmapped)")),IFERROR(INDEX(Mapping!$B$17:$B$22,MATCH($F174,Mapping!$A$17:$A$22,0)),$F174)&amp;" "&amp;IF($G174="Banking","Banking",IFERROR(INDEX(Mapping!$E$17:$E$28,MATCH($J174,Mapping!$D$17:$D$28,0)),"(unmapped)")))))</f>
        <v>OoS (unmapped)</v>
      </c>
    </row>
    <row r="175" spans="1:11" x14ac:dyDescent="0.3">
      <c r="A175" t="s">
        <v>42</v>
      </c>
      <c r="B175">
        <v>190070</v>
      </c>
      <c r="C175" t="s">
        <v>388</v>
      </c>
      <c r="D175" t="s">
        <v>380</v>
      </c>
      <c r="E175">
        <v>2026</v>
      </c>
      <c r="F175" t="s">
        <v>48</v>
      </c>
      <c r="I175">
        <v>0</v>
      </c>
      <c r="K175" s="37" t="str">
        <f>IF($D175="","",IFERROR(INDEX(Mapping!$H$3:$H$32,MATCH($B175,Mapping!$G$3:$G$32,0)),IF(LEFT($F175,3)="P2P",IFERROR(INDEX(Mapping!$E$3:$E$6,MATCH($G175,Mapping!$D$3:$D$6,0)),IFERROR(INDEX(Mapping!$B$3:$B$13,MATCH($J175,Mapping!$A$3:$A$13,0)),"(unmapped)")),IFERROR(INDEX(Mapping!$B$17:$B$22,MATCH($F175,Mapping!$A$17:$A$22,0)),$F175)&amp;" "&amp;IF($G175="Banking","Banking",IFERROR(INDEX(Mapping!$E$17:$E$28,MATCH($J175,Mapping!$D$17:$D$28,0)),"(unmapped)")))))</f>
        <v>OoS (unmapped)</v>
      </c>
    </row>
    <row r="176" spans="1:11" x14ac:dyDescent="0.3">
      <c r="A176" t="s">
        <v>42</v>
      </c>
      <c r="B176">
        <v>190071</v>
      </c>
      <c r="C176" t="s">
        <v>389</v>
      </c>
      <c r="D176" t="s">
        <v>380</v>
      </c>
      <c r="E176">
        <v>2026</v>
      </c>
      <c r="F176" t="s">
        <v>48</v>
      </c>
      <c r="I176">
        <v>0</v>
      </c>
      <c r="K176" t="str">
        <f>IF($D176="","",IFERROR(INDEX(Mapping!$H$3:$H$32,MATCH($B176,Mapping!$G$3:$G$32,0)),IF(LEFT($F176,3)="P2P",IFERROR(INDEX(Mapping!$E$3:$E$6,MATCH($G176,Mapping!$D$3:$D$6,0)),IFERROR(INDEX(Mapping!$B$3:$B$13,MATCH($J176,Mapping!$A$3:$A$13,0)),"(unmapped)")),IFERROR(INDEX(Mapping!$B$17:$B$22,MATCH($F176,Mapping!$A$17:$A$22,0)),$F176)&amp;" "&amp;IF($G176="Banking","Banking",IFERROR(INDEX(Mapping!$E$17:$E$28,MATCH($J176,Mapping!$D$17:$D$28,0)),"(unmapped)")))))</f>
      </c>
    </row>
    <row r="177" spans="1:11" x14ac:dyDescent="0.3">
      <c r="A177" t="s">
        <v>42</v>
      </c>
      <c r="B177">
        <v>103551</v>
      </c>
      <c r="C177" t="s">
        <v>390</v>
      </c>
      <c r="D177" t="s">
        <v>380</v>
      </c>
      <c r="E177">
        <v>2026</v>
      </c>
      <c r="F177" t="s">
        <v>84</v>
      </c>
      <c r="H177" t="s">
        <v>55</v>
      </c>
      <c r="I177">
        <v>1</v>
      </c>
      <c r="J177" t="s">
        <v>46</v>
      </c>
      <c r="K177" t="str">
        <f>IF($D177="","",IFERROR(INDEX(Mapping!$H$3:$H$32,MATCH($B177,Mapping!$G$3:$G$32,0)),IF(LEFT($F177,3)="P2P",IFERROR(INDEX(Mapping!$E$3:$E$6,MATCH($G177,Mapping!$D$3:$D$6,0)),IFERROR(INDEX(Mapping!$B$3:$B$13,MATCH($J177,Mapping!$A$3:$A$13,0)),"(unmapped)")),IFERROR(INDEX(Mapping!$B$17:$B$22,MATCH($F177,Mapping!$A$17:$A$22,0)),$F177)&amp;" "&amp;IF($G177="Banking","Banking",IFERROR(INDEX(Mapping!$E$17:$E$28,MATCH($J177,Mapping!$D$17:$D$28,0)),"(unmapped)")))))</f>
      </c>
    </row>
    <row r="178" spans="1:11" x14ac:dyDescent="0.3">
      <c r="A178" t="s">
        <v>42</v>
      </c>
      <c r="B178">
        <v>103558</v>
      </c>
      <c r="C178" t="s">
        <v>391</v>
      </c>
      <c r="D178" t="s">
        <v>380</v>
      </c>
      <c r="E178">
        <v>2026</v>
      </c>
      <c r="F178" t="s">
        <v>118</v>
      </c>
      <c r="H178" t="s">
        <v>45</v>
      </c>
      <c r="I178">
        <v>1</v>
      </c>
      <c r="J178" t="s">
        <v>46</v>
      </c>
      <c r="K178" t="str">
        <f>IF($D178="","",IFERROR(INDEX(Mapping!$H$3:$H$32,MATCH($B178,Mapping!$G$3:$G$32,0)),IF(LEFT($F178,3)="P2P",IFERROR(INDEX(Mapping!$E$3:$E$6,MATCH($G178,Mapping!$D$3:$D$6,0)),IFERROR(INDEX(Mapping!$B$3:$B$13,MATCH($J178,Mapping!$A$3:$A$13,0)),"(unmapped)")),IFERROR(INDEX(Mapping!$B$17:$B$22,MATCH($F178,Mapping!$A$17:$A$22,0)),$F178)&amp;" "&amp;IF($G178="Banking","Banking",IFERROR(INDEX(Mapping!$E$17:$E$28,MATCH($J178,Mapping!$D$17:$D$28,0)),"(unmapped)")))))</f>
      </c>
    </row>
    <row r="179" spans="1:11" x14ac:dyDescent="0.3">
      <c r="A179" t="s">
        <v>42</v>
      </c>
      <c r="B179">
        <v>103557</v>
      </c>
      <c r="C179" t="s">
        <v>392</v>
      </c>
      <c r="D179" t="s">
        <v>380</v>
      </c>
      <c r="E179">
        <v>2026</v>
      </c>
      <c r="F179" t="s">
        <v>57</v>
      </c>
      <c r="H179" t="s">
        <v>45</v>
      </c>
      <c r="I179">
        <v>1</v>
      </c>
      <c r="J179" t="s">
        <v>46</v>
      </c>
      <c r="K179" t="str">
        <f>IF($D179="","",IFERROR(INDEX(Mapping!$H$3:$H$32,MATCH($B179,Mapping!$G$3:$G$32,0)),IF(LEFT($F179,3)="P2P",IFERROR(INDEX(Mapping!$E$3:$E$6,MATCH($G179,Mapping!$D$3:$D$6,0)),IFERROR(INDEX(Mapping!$B$3:$B$13,MATCH($J179,Mapping!$A$3:$A$13,0)),"(unmapped)")),IFERROR(INDEX(Mapping!$B$17:$B$22,MATCH($F179,Mapping!$A$17:$A$22,0)),$F179)&amp;" "&amp;IF($G179="Banking","Banking",IFERROR(INDEX(Mapping!$E$17:$E$28,MATCH($J179,Mapping!$D$17:$D$28,0)),"(unmapped)")))))</f>
      </c>
    </row>
    <row r="180" spans="1:11" x14ac:dyDescent="0.3">
      <c r="A180" t="s">
        <v>42</v>
      </c>
      <c r="B180">
        <v>103556</v>
      </c>
      <c r="C180" t="s">
        <v>393</v>
      </c>
      <c r="D180" t="s">
        <v>380</v>
      </c>
      <c r="E180">
        <v>2026</v>
      </c>
      <c r="F180" t="s">
        <v>84</v>
      </c>
      <c r="H180" t="s">
        <v>45</v>
      </c>
      <c r="I180">
        <v>1</v>
      </c>
      <c r="J180" t="s">
        <v>85</v>
      </c>
      <c r="K180" t="str">
        <f>IF($D180="","",IFERROR(INDEX(Mapping!$H$3:$H$32,MATCH($B180,Mapping!$G$3:$G$32,0)),IF(LEFT($F180,3)="P2P",IFERROR(INDEX(Mapping!$E$3:$E$6,MATCH($G180,Mapping!$D$3:$D$6,0)),IFERROR(INDEX(Mapping!$B$3:$B$13,MATCH($J180,Mapping!$A$3:$A$13,0)),"(unmapped)")),IFERROR(INDEX(Mapping!$B$17:$B$22,MATCH($F180,Mapping!$A$17:$A$22,0)),$F180)&amp;" "&amp;IF($G180="Banking","Banking",IFERROR(INDEX(Mapping!$E$17:$E$28,MATCH($J180,Mapping!$D$17:$D$28,0)),"(unmapped)")))))</f>
      </c>
    </row>
    <row r="181" spans="1:11" x14ac:dyDescent="0.3">
      <c r="A181" t="s">
        <v>42</v>
      </c>
      <c r="B181">
        <v>103552</v>
      </c>
      <c r="C181" t="s">
        <v>394</v>
      </c>
      <c r="D181" t="s">
        <v>380</v>
      </c>
      <c r="E181">
        <v>2026</v>
      </c>
      <c r="F181" t="s">
        <v>118</v>
      </c>
      <c r="H181" t="s">
        <v>45</v>
      </c>
      <c r="I181">
        <v>0.3125</v>
      </c>
      <c r="J181" t="s">
        <v>1</v>
      </c>
      <c r="K181" t="str">
        <f>IF($D181="","",IFERROR(INDEX(Mapping!$H$3:$H$32,MATCH($B181,Mapping!$G$3:$G$32,0)),IF(LEFT($F181,3)="P2P",IFERROR(INDEX(Mapping!$E$3:$E$6,MATCH($G181,Mapping!$D$3:$D$6,0)),IFERROR(INDEX(Mapping!$B$3:$B$13,MATCH($J181,Mapping!$A$3:$A$13,0)),"(unmapped)")),IFERROR(INDEX(Mapping!$B$17:$B$22,MATCH($F181,Mapping!$A$17:$A$22,0)),$F181)&amp;" "&amp;IF($G181="Banking","Banking",IFERROR(INDEX(Mapping!$E$17:$E$28,MATCH($J181,Mapping!$D$17:$D$28,0)),"(unmapped)")))))</f>
        <v>AP FR</v>
      </c>
    </row>
    <row r="182" spans="1:11" x14ac:dyDescent="0.3">
      <c r="K182" t="str">
        <f>IF($D182="","",IFERROR(INDEX(Mapping!$H$3:$H$32,MATCH($B182,Mapping!$G$3:$G$32,0)),IF(LEFT($F182,3)="P2P",IFERROR(INDEX(Mapping!$E$3:$E$6,MATCH($G182,Mapping!$D$3:$D$6,0)),IFERROR(INDEX(Mapping!$B$3:$B$13,MATCH($J182,Mapping!$A$3:$A$13,0)),"(unmapped)")),IFERROR(INDEX(Mapping!$B$17:$B$22,MATCH($F182,Mapping!$A$17:$A$22,0)),$F182)&amp;" "&amp;IF($G182="Banking","Banking",IFERROR(INDEX(Mapping!$E$17:$E$28,MATCH($J182,Mapping!$D$17:$D$28,0)),"(unmapped)")))))</f>
        <v/>
      </c>
    </row>
    <row r="183" spans="1:11" x14ac:dyDescent="0.3">
      <c r="K183" t="str">
        <f>IF($D183="","",IFERROR(INDEX(Mapping!$H$3:$H$32,MATCH($B183,Mapping!$G$3:$G$32,0)),IF(LEFT($F183,3)="P2P",IFERROR(INDEX(Mapping!$E$3:$E$6,MATCH($G183,Mapping!$D$3:$D$6,0)),IFERROR(INDEX(Mapping!$B$3:$B$13,MATCH($J183,Mapping!$A$3:$A$13,0)),"(unmapped)")),IFERROR(INDEX(Mapping!$B$17:$B$22,MATCH($F183,Mapping!$A$17:$A$22,0)),$F183)&amp;" "&amp;IF($G183="Banking","Banking",IFERROR(INDEX(Mapping!$E$17:$E$28,MATCH($J183,Mapping!$D$17:$D$28,0)),"(unmapped)")))))</f>
        <v/>
      </c>
    </row>
    <row r="184" spans="1:11" x14ac:dyDescent="0.3">
      <c r="K184" t="str">
        <f>IF($D184="","",IFERROR(INDEX(Mapping!$H$3:$H$32,MATCH($B184,Mapping!$G$3:$G$32,0)),IF(LEFT($F184,3)="P2P",IFERROR(INDEX(Mapping!$E$3:$E$6,MATCH($G184,Mapping!$D$3:$D$6,0)),IFERROR(INDEX(Mapping!$B$3:$B$13,MATCH($J184,Mapping!$A$3:$A$13,0)),"(unmapped)")),IFERROR(INDEX(Mapping!$B$17:$B$22,MATCH($F184,Mapping!$A$17:$A$22,0)),$F184)&amp;" "&amp;IF($G184="Banking","Banking",IFERROR(INDEX(Mapping!$E$17:$E$28,MATCH($J184,Mapping!$D$17:$D$28,0)),"(unmapped)")))))</f>
        <v/>
      </c>
    </row>
    <row r="185" spans="1:11" x14ac:dyDescent="0.3">
      <c r="K185" t="str">
        <f>IF($D185="","",IFERROR(INDEX(Mapping!$H$3:$H$32,MATCH($B185,Mapping!$G$3:$G$32,0)),IF(LEFT($F185,3)="P2P",IFERROR(INDEX(Mapping!$E$3:$E$6,MATCH($G185,Mapping!$D$3:$D$6,0)),IFERROR(INDEX(Mapping!$B$3:$B$13,MATCH($J185,Mapping!$A$3:$A$13,0)),"(unmapped)")),IFERROR(INDEX(Mapping!$B$17:$B$22,MATCH($F185,Mapping!$A$17:$A$22,0)),$F185)&amp;" "&amp;IF($G185="Banking","Banking",IFERROR(INDEX(Mapping!$E$17:$E$28,MATCH($J185,Mapping!$D$17:$D$28,0)),"(unmapped)")))))</f>
        <v/>
      </c>
    </row>
    <row r="186" spans="1:11" x14ac:dyDescent="0.3">
      <c r="K186" t="str">
        <f>IF($D186="","",IFERROR(INDEX(Mapping!$H$3:$H$32,MATCH($B186,Mapping!$G$3:$G$32,0)),IF(LEFT($F186,3)="P2P",IFERROR(INDEX(Mapping!$E$3:$E$6,MATCH($G186,Mapping!$D$3:$D$6,0)),IFERROR(INDEX(Mapping!$B$3:$B$13,MATCH($J186,Mapping!$A$3:$A$13,0)),"(unmapped)")),IFERROR(INDEX(Mapping!$B$17:$B$22,MATCH($F186,Mapping!$A$17:$A$22,0)),$F186)&amp;" "&amp;IF($G186="Banking","Banking",IFERROR(INDEX(Mapping!$E$17:$E$28,MATCH($J186,Mapping!$D$17:$D$28,0)),"(unmapped)")))))</f>
        <v/>
      </c>
    </row>
    <row r="187" spans="1:11" x14ac:dyDescent="0.3">
      <c r="K187" t="str">
        <f>IF($D187="","",IFERROR(INDEX(Mapping!$H$3:$H$32,MATCH($B187,Mapping!$G$3:$G$32,0)),IF(LEFT($F187,3)="P2P",IFERROR(INDEX(Mapping!$E$3:$E$6,MATCH($G187,Mapping!$D$3:$D$6,0)),IFERROR(INDEX(Mapping!$B$3:$B$13,MATCH($J187,Mapping!$A$3:$A$13,0)),"(unmapped)")),IFERROR(INDEX(Mapping!$B$17:$B$22,MATCH($F187,Mapping!$A$17:$A$22,0)),$F187)&amp;" "&amp;IF($G187="Banking","Banking",IFERROR(INDEX(Mapping!$E$17:$E$28,MATCH($J187,Mapping!$D$17:$D$28,0)),"(unmapped)")))))</f>
        <v/>
      </c>
    </row>
    <row r="188" spans="1:11" x14ac:dyDescent="0.3">
      <c r="K188" t="str">
        <f>IF($D188="","",IFERROR(INDEX(Mapping!$H$3:$H$32,MATCH($B188,Mapping!$G$3:$G$32,0)),IF(LEFT($F188,3)="P2P",IFERROR(INDEX(Mapping!$E$3:$E$6,MATCH($G188,Mapping!$D$3:$D$6,0)),IFERROR(INDEX(Mapping!$B$3:$B$13,MATCH($J188,Mapping!$A$3:$A$13,0)),"(unmapped)")),IFERROR(INDEX(Mapping!$B$17:$B$22,MATCH($F188,Mapping!$A$17:$A$22,0)),$F188)&amp;" "&amp;IF($G188="Banking","Banking",IFERROR(INDEX(Mapping!$E$17:$E$28,MATCH($J188,Mapping!$D$17:$D$28,0)),"(unmapped)")))))</f>
        <v/>
      </c>
    </row>
    <row r="189" spans="1:11" x14ac:dyDescent="0.3">
      <c r="K189" t="str">
        <f>IF($D189="","",IFERROR(INDEX(Mapping!$H$3:$H$32,MATCH($B189,Mapping!$G$3:$G$32,0)),IF(LEFT($F189,3)="P2P",IFERROR(INDEX(Mapping!$E$3:$E$6,MATCH($G189,Mapping!$D$3:$D$6,0)),IFERROR(INDEX(Mapping!$B$3:$B$13,MATCH($J189,Mapping!$A$3:$A$13,0)),"(unmapped)")),IFERROR(INDEX(Mapping!$B$17:$B$22,MATCH($F189,Mapping!$A$17:$A$22,0)),$F189)&amp;" "&amp;IF($G189="Banking","Banking",IFERROR(INDEX(Mapping!$E$17:$E$28,MATCH($J189,Mapping!$D$17:$D$28,0)),"(unmapped)")))))</f>
        <v/>
      </c>
    </row>
    <row r="190" spans="1:11" x14ac:dyDescent="0.3">
      <c r="K190" t="str">
        <f>IF($D190="","",IFERROR(INDEX(Mapping!$H$3:$H$32,MATCH($B190,Mapping!$G$3:$G$32,0)),IF(LEFT($F190,3)="P2P",IFERROR(INDEX(Mapping!$E$3:$E$6,MATCH($G190,Mapping!$D$3:$D$6,0)),IFERROR(INDEX(Mapping!$B$3:$B$13,MATCH($J190,Mapping!$A$3:$A$13,0)),"(unmapped)")),IFERROR(INDEX(Mapping!$B$17:$B$22,MATCH($F190,Mapping!$A$17:$A$22,0)),$F190)&amp;" "&amp;IF($G190="Banking","Banking",IFERROR(INDEX(Mapping!$E$17:$E$28,MATCH($J190,Mapping!$D$17:$D$28,0)),"(unmapped)")))))</f>
        <v/>
      </c>
    </row>
    <row r="191" spans="1:11" x14ac:dyDescent="0.3">
      <c r="K191" t="str">
        <f>IF($D191="","",IFERROR(INDEX(Mapping!$H$3:$H$32,MATCH($B191,Mapping!$G$3:$G$32,0)),IF(LEFT($F191,3)="P2P",IFERROR(INDEX(Mapping!$E$3:$E$6,MATCH($G191,Mapping!$D$3:$D$6,0)),IFERROR(INDEX(Mapping!$B$3:$B$13,MATCH($J191,Mapping!$A$3:$A$13,0)),"(unmapped)")),IFERROR(INDEX(Mapping!$B$17:$B$22,MATCH($F191,Mapping!$A$17:$A$22,0)),$F191)&amp;" "&amp;IF($G191="Banking","Banking",IFERROR(INDEX(Mapping!$E$17:$E$28,MATCH($J191,Mapping!$D$17:$D$28,0)),"(unmapped)")))))</f>
        <v/>
      </c>
    </row>
    <row r="192" spans="1:11" x14ac:dyDescent="0.3">
      <c r="K192" t="str">
        <f>IF($D192="","",IFERROR(INDEX(Mapping!$H$3:$H$32,MATCH($B192,Mapping!$G$3:$G$32,0)),IF(LEFT($F192,3)="P2P",IFERROR(INDEX(Mapping!$E$3:$E$6,MATCH($G192,Mapping!$D$3:$D$6,0)),IFERROR(INDEX(Mapping!$B$3:$B$13,MATCH($J192,Mapping!$A$3:$A$13,0)),"(unmapped)")),IFERROR(INDEX(Mapping!$B$17:$B$22,MATCH($F192,Mapping!$A$17:$A$22,0)),$F192)&amp;" "&amp;IF($G192="Banking","Banking",IFERROR(INDEX(Mapping!$E$17:$E$28,MATCH($J192,Mapping!$D$17:$D$28,0)),"(unmapped)")))))</f>
        <v/>
      </c>
    </row>
    <row r="193" spans="11:11" x14ac:dyDescent="0.3">
      <c r="K193" t="str">
        <f>IF($D193="","",IFERROR(INDEX(Mapping!$H$3:$H$32,MATCH($B193,Mapping!$G$3:$G$32,0)),IF(LEFT($F193,3)="P2P",IFERROR(INDEX(Mapping!$E$3:$E$6,MATCH($G193,Mapping!$D$3:$D$6,0)),IFERROR(INDEX(Mapping!$B$3:$B$13,MATCH($J193,Mapping!$A$3:$A$13,0)),"(unmapped)")),IFERROR(INDEX(Mapping!$B$17:$B$22,MATCH($F193,Mapping!$A$17:$A$22,0)),$F193)&amp;" "&amp;IF($G193="Banking","Banking",IFERROR(INDEX(Mapping!$E$17:$E$28,MATCH($J193,Mapping!$D$17:$D$28,0)),"(unmapped)")))))</f>
        <v/>
      </c>
    </row>
    <row r="194" spans="11:11" x14ac:dyDescent="0.3">
      <c r="K194" t="str">
        <f>IF($D194="","",IFERROR(INDEX(Mapping!$H$3:$H$32,MATCH($B194,Mapping!$G$3:$G$32,0)),IF(LEFT($F194,3)="P2P",IFERROR(INDEX(Mapping!$E$3:$E$6,MATCH($G194,Mapping!$D$3:$D$6,0)),IFERROR(INDEX(Mapping!$B$3:$B$13,MATCH($J194,Mapping!$A$3:$A$13,0)),"(unmapped)")),IFERROR(INDEX(Mapping!$B$17:$B$22,MATCH($F194,Mapping!$A$17:$A$22,0)),$F194)&amp;" "&amp;IF($G194="Banking","Banking",IFERROR(INDEX(Mapping!$E$17:$E$28,MATCH($J194,Mapping!$D$17:$D$28,0)),"(unmapped)")))))</f>
        <v/>
      </c>
    </row>
    <row r="195" spans="11:11" x14ac:dyDescent="0.3">
      <c r="K195" t="str">
        <f>IF($D195="","",IFERROR(INDEX(Mapping!$H$3:$H$32,MATCH($B195,Mapping!$G$3:$G$32,0)),IF(LEFT($F195,3)="P2P",IFERROR(INDEX(Mapping!$E$3:$E$6,MATCH($G195,Mapping!$D$3:$D$6,0)),IFERROR(INDEX(Mapping!$B$3:$B$13,MATCH($J195,Mapping!$A$3:$A$13,0)),"(unmapped)")),IFERROR(INDEX(Mapping!$B$17:$B$22,MATCH($F195,Mapping!$A$17:$A$22,0)),$F195)&amp;" "&amp;IF($G195="Banking","Banking",IFERROR(INDEX(Mapping!$E$17:$E$28,MATCH($J195,Mapping!$D$17:$D$28,0)),"(unmapped)")))))</f>
        <v/>
      </c>
    </row>
    <row r="196" spans="11:11" x14ac:dyDescent="0.3">
      <c r="K196" t="str">
        <f>IF($D196="","",IFERROR(INDEX(Mapping!$H$3:$H$32,MATCH($B196,Mapping!$G$3:$G$32,0)),IF(LEFT($F196,3)="P2P",IFERROR(INDEX(Mapping!$E$3:$E$6,MATCH($G196,Mapping!$D$3:$D$6,0)),IFERROR(INDEX(Mapping!$B$3:$B$13,MATCH($J196,Mapping!$A$3:$A$13,0)),"(unmapped)")),IFERROR(INDEX(Mapping!$B$17:$B$22,MATCH($F196,Mapping!$A$17:$A$22,0)),$F196)&amp;" "&amp;IF($G196="Banking","Banking",IFERROR(INDEX(Mapping!$E$17:$E$28,MATCH($J196,Mapping!$D$17:$D$28,0)),"(unmapped)")))))</f>
        <v/>
      </c>
    </row>
    <row r="197" spans="11:11" x14ac:dyDescent="0.3">
      <c r="K197" t="str">
        <f>IF($D197="","",IFERROR(INDEX(Mapping!$H$3:$H$32,MATCH($B197,Mapping!$G$3:$G$32,0)),IF(LEFT($F197,3)="P2P",IFERROR(INDEX(Mapping!$E$3:$E$6,MATCH($G197,Mapping!$D$3:$D$6,0)),IFERROR(INDEX(Mapping!$B$3:$B$13,MATCH($J197,Mapping!$A$3:$A$13,0)),"(unmapped)")),IFERROR(INDEX(Mapping!$B$17:$B$22,MATCH($F197,Mapping!$A$17:$A$22,0)),$F197)&amp;" "&amp;IF($G197="Banking","Banking",IFERROR(INDEX(Mapping!$E$17:$E$28,MATCH($J197,Mapping!$D$17:$D$28,0)),"(unmapped)")))))</f>
        <v/>
      </c>
    </row>
    <row r="198" spans="11:11" x14ac:dyDescent="0.3">
      <c r="K198" t="str">
        <f>IF($D198="","",IFERROR(INDEX(Mapping!$H$3:$H$32,MATCH($B198,Mapping!$G$3:$G$32,0)),IF(LEFT($F198,3)="P2P",IFERROR(INDEX(Mapping!$E$3:$E$6,MATCH($G198,Mapping!$D$3:$D$6,0)),IFERROR(INDEX(Mapping!$B$3:$B$13,MATCH($J198,Mapping!$A$3:$A$13,0)),"(unmapped)")),IFERROR(INDEX(Mapping!$B$17:$B$22,MATCH($F198,Mapping!$A$17:$A$22,0)),$F198)&amp;" "&amp;IF($G198="Banking","Banking",IFERROR(INDEX(Mapping!$E$17:$E$28,MATCH($J198,Mapping!$D$17:$D$28,0)),"(unmapped)")))))</f>
        <v/>
      </c>
    </row>
    <row r="199" spans="11:11" x14ac:dyDescent="0.3">
      <c r="K199" t="str">
        <f>IF($D199="","",IFERROR(INDEX(Mapping!$H$3:$H$32,MATCH($B199,Mapping!$G$3:$G$32,0)),IF(LEFT($F199,3)="P2P",IFERROR(INDEX(Mapping!$E$3:$E$6,MATCH($G199,Mapping!$D$3:$D$6,0)),IFERROR(INDEX(Mapping!$B$3:$B$13,MATCH($J199,Mapping!$A$3:$A$13,0)),"(unmapped)")),IFERROR(INDEX(Mapping!$B$17:$B$22,MATCH($F199,Mapping!$A$17:$A$22,0)),$F199)&amp;" "&amp;IF($G199="Banking","Banking",IFERROR(INDEX(Mapping!$E$17:$E$28,MATCH($J199,Mapping!$D$17:$D$28,0)),"(unmapped)")))))</f>
        <v/>
      </c>
    </row>
    <row r="200" spans="11:11" x14ac:dyDescent="0.3">
      <c r="K200" t="str">
        <f>IF($D200="","",IFERROR(INDEX(Mapping!$H$3:$H$32,MATCH($B200,Mapping!$G$3:$G$32,0)),IF(LEFT($F200,3)="P2P",IFERROR(INDEX(Mapping!$E$3:$E$6,MATCH($G200,Mapping!$D$3:$D$6,0)),IFERROR(INDEX(Mapping!$B$3:$B$13,MATCH($J200,Mapping!$A$3:$A$13,0)),"(unmapped)")),IFERROR(INDEX(Mapping!$B$17:$B$22,MATCH($F200,Mapping!$A$17:$A$22,0)),$F200)&amp;" "&amp;IF($G200="Banking","Banking",IFERROR(INDEX(Mapping!$E$17:$E$28,MATCH($J200,Mapping!$D$17:$D$28,0)),"(unmapped)")))))</f>
        <v/>
      </c>
    </row>
    <row r="201" spans="11:11" x14ac:dyDescent="0.3">
      <c r="K201" t="str">
        <f>IF($D201="","",IFERROR(INDEX(Mapping!$H$3:$H$32,MATCH($B201,Mapping!$G$3:$G$32,0)),IF(LEFT($F201,3)="P2P",IFERROR(INDEX(Mapping!$E$3:$E$6,MATCH($G201,Mapping!$D$3:$D$6,0)),IFERROR(INDEX(Mapping!$B$3:$B$13,MATCH($J201,Mapping!$A$3:$A$13,0)),"(unmapped)")),IFERROR(INDEX(Mapping!$B$17:$B$22,MATCH($F201,Mapping!$A$17:$A$22,0)),$F201)&amp;" "&amp;IF($G201="Banking","Banking",IFERROR(INDEX(Mapping!$E$17:$E$28,MATCH($J201,Mapping!$D$17:$D$28,0)),"(unmapped)")))))</f>
        <v/>
      </c>
    </row>
    <row r="202" spans="11:11" x14ac:dyDescent="0.3">
      <c r="K202" t="str">
        <f>IF($D202="","",IFERROR(INDEX(Mapping!$H$3:$H$32,MATCH($B202,Mapping!$G$3:$G$32,0)),IF(LEFT($F202,3)="P2P",IFERROR(INDEX(Mapping!$E$3:$E$6,MATCH($G202,Mapping!$D$3:$D$6,0)),IFERROR(INDEX(Mapping!$B$3:$B$13,MATCH($J202,Mapping!$A$3:$A$13,0)),"(unmapped)")),IFERROR(INDEX(Mapping!$B$17:$B$22,MATCH($F202,Mapping!$A$17:$A$22,0)),$F202)&amp;" "&amp;IF($G202="Banking","Banking",IFERROR(INDEX(Mapping!$E$17:$E$28,MATCH($J202,Mapping!$D$17:$D$28,0)),"(unmapped)")))))</f>
        <v/>
      </c>
    </row>
    <row r="203" spans="11:11" x14ac:dyDescent="0.3">
      <c r="K203" t="str">
        <f>IF($D203="","",IFERROR(INDEX(Mapping!$H$3:$H$32,MATCH($B203,Mapping!$G$3:$G$32,0)),IF(LEFT($F203,3)="P2P",IFERROR(INDEX(Mapping!$E$3:$E$6,MATCH($G203,Mapping!$D$3:$D$6,0)),IFERROR(INDEX(Mapping!$B$3:$B$13,MATCH($J203,Mapping!$A$3:$A$13,0)),"(unmapped)")),IFERROR(INDEX(Mapping!$B$17:$B$22,MATCH($F203,Mapping!$A$17:$A$22,0)),$F203)&amp;" "&amp;IF($G203="Banking","Banking",IFERROR(INDEX(Mapping!$E$17:$E$28,MATCH($J203,Mapping!$D$17:$D$28,0)),"(unmapped)")))))</f>
        <v/>
      </c>
    </row>
    <row r="204" spans="11:11" x14ac:dyDescent="0.3">
      <c r="K204" t="str">
        <f>IF($D204="","",IFERROR(INDEX(Mapping!$H$3:$H$32,MATCH($B204,Mapping!$G$3:$G$32,0)),IF(LEFT($F204,3)="P2P",IFERROR(INDEX(Mapping!$E$3:$E$6,MATCH($G204,Mapping!$D$3:$D$6,0)),IFERROR(INDEX(Mapping!$B$3:$B$13,MATCH($J204,Mapping!$A$3:$A$13,0)),"(unmapped)")),IFERROR(INDEX(Mapping!$B$17:$B$22,MATCH($F204,Mapping!$A$17:$A$22,0)),$F204)&amp;" "&amp;IF($G204="Banking","Banking",IFERROR(INDEX(Mapping!$E$17:$E$28,MATCH($J204,Mapping!$D$17:$D$28,0)),"(unmapped)")))))</f>
        <v/>
      </c>
    </row>
    <row r="205" spans="11:11" x14ac:dyDescent="0.3">
      <c r="K205" t="str">
        <f>IF($D205="","",IFERROR(INDEX(Mapping!$H$3:$H$32,MATCH($B205,Mapping!$G$3:$G$32,0)),IF(LEFT($F205,3)="P2P",IFERROR(INDEX(Mapping!$E$3:$E$6,MATCH($G205,Mapping!$D$3:$D$6,0)),IFERROR(INDEX(Mapping!$B$3:$B$13,MATCH($J205,Mapping!$A$3:$A$13,0)),"(unmapped)")),IFERROR(INDEX(Mapping!$B$17:$B$22,MATCH($F205,Mapping!$A$17:$A$22,0)),$F205)&amp;" "&amp;IF($G205="Banking","Banking",IFERROR(INDEX(Mapping!$E$17:$E$28,MATCH($J205,Mapping!$D$17:$D$28,0)),"(unmapped)")))))</f>
        <v/>
      </c>
    </row>
    <row r="206" spans="11:11" x14ac:dyDescent="0.3">
      <c r="K206" t="str">
        <f>IF($D206="","",IFERROR(INDEX(Mapping!$H$3:$H$32,MATCH($B206,Mapping!$G$3:$G$32,0)),IF(LEFT($F206,3)="P2P",IFERROR(INDEX(Mapping!$E$3:$E$6,MATCH($G206,Mapping!$D$3:$D$6,0)),IFERROR(INDEX(Mapping!$B$3:$B$13,MATCH($J206,Mapping!$A$3:$A$13,0)),"(unmapped)")),IFERROR(INDEX(Mapping!$B$17:$B$22,MATCH($F206,Mapping!$A$17:$A$22,0)),$F206)&amp;" "&amp;IF($G206="Banking","Banking",IFERROR(INDEX(Mapping!$E$17:$E$28,MATCH($J206,Mapping!$D$17:$D$28,0)),"(unmapped)")))))</f>
        <v/>
      </c>
    </row>
    <row r="207" spans="11:11" x14ac:dyDescent="0.3">
      <c r="K207" t="str">
        <f>IF($D207="","",IFERROR(INDEX(Mapping!$H$3:$H$32,MATCH($B207,Mapping!$G$3:$G$32,0)),IF(LEFT($F207,3)="P2P",IFERROR(INDEX(Mapping!$E$3:$E$6,MATCH($G207,Mapping!$D$3:$D$6,0)),IFERROR(INDEX(Mapping!$B$3:$B$13,MATCH($J207,Mapping!$A$3:$A$13,0)),"(unmapped)")),IFERROR(INDEX(Mapping!$B$17:$B$22,MATCH($F207,Mapping!$A$17:$A$22,0)),$F207)&amp;" "&amp;IF($G207="Banking","Banking",IFERROR(INDEX(Mapping!$E$17:$E$28,MATCH($J207,Mapping!$D$17:$D$28,0)),"(unmapped)")))))</f>
        <v/>
      </c>
    </row>
    <row r="208" spans="11:11" x14ac:dyDescent="0.3">
      <c r="K208" t="str">
        <f>IF($D208="","",IFERROR(INDEX(Mapping!$H$3:$H$32,MATCH($B208,Mapping!$G$3:$G$32,0)),IF(LEFT($F208,3)="P2P",IFERROR(INDEX(Mapping!$E$3:$E$6,MATCH($G208,Mapping!$D$3:$D$6,0)),IFERROR(INDEX(Mapping!$B$3:$B$13,MATCH($J208,Mapping!$A$3:$A$13,0)),"(unmapped)")),IFERROR(INDEX(Mapping!$B$17:$B$22,MATCH($F208,Mapping!$A$17:$A$22,0)),$F208)&amp;" "&amp;IF($G208="Banking","Banking",IFERROR(INDEX(Mapping!$E$17:$E$28,MATCH($J208,Mapping!$D$17:$D$28,0)),"(unmapped)")))))</f>
        <v/>
      </c>
    </row>
    <row r="209" spans="11:11" x14ac:dyDescent="0.3">
      <c r="K209" t="str">
        <f>IF($D209="","",IFERROR(INDEX(Mapping!$H$3:$H$32,MATCH($B209,Mapping!$G$3:$G$32,0)),IF(LEFT($F209,3)="P2P",IFERROR(INDEX(Mapping!$E$3:$E$6,MATCH($G209,Mapping!$D$3:$D$6,0)),IFERROR(INDEX(Mapping!$B$3:$B$13,MATCH($J209,Mapping!$A$3:$A$13,0)),"(unmapped)")),IFERROR(INDEX(Mapping!$B$17:$B$22,MATCH($F209,Mapping!$A$17:$A$22,0)),$F209)&amp;" "&amp;IF($G209="Banking","Banking",IFERROR(INDEX(Mapping!$E$17:$E$28,MATCH($J209,Mapping!$D$17:$D$28,0)),"(unmapped)")))))</f>
        <v/>
      </c>
    </row>
    <row r="210" spans="11:11" x14ac:dyDescent="0.3">
      <c r="K210" t="str">
        <f>IF($D210="","",IFERROR(INDEX(Mapping!$H$3:$H$32,MATCH($B210,Mapping!$G$3:$G$32,0)),IF(LEFT($F210,3)="P2P",IFERROR(INDEX(Mapping!$E$3:$E$6,MATCH($G210,Mapping!$D$3:$D$6,0)),IFERROR(INDEX(Mapping!$B$3:$B$13,MATCH($J210,Mapping!$A$3:$A$13,0)),"(unmapped)")),IFERROR(INDEX(Mapping!$B$17:$B$22,MATCH($F210,Mapping!$A$17:$A$22,0)),$F210)&amp;" "&amp;IF($G210="Banking","Banking",IFERROR(INDEX(Mapping!$E$17:$E$28,MATCH($J210,Mapping!$D$17:$D$28,0)),"(unmapped)")))))</f>
        <v/>
      </c>
    </row>
    <row r="211" spans="11:11" x14ac:dyDescent="0.3">
      <c r="K211" t="str">
        <f>IF($D211="","",IFERROR(INDEX(Mapping!$H$3:$H$32,MATCH($B211,Mapping!$G$3:$G$32,0)),IF(LEFT($F211,3)="P2P",IFERROR(INDEX(Mapping!$E$3:$E$6,MATCH($G211,Mapping!$D$3:$D$6,0)),IFERROR(INDEX(Mapping!$B$3:$B$13,MATCH($J211,Mapping!$A$3:$A$13,0)),"(unmapped)")),IFERROR(INDEX(Mapping!$B$17:$B$22,MATCH($F211,Mapping!$A$17:$A$22,0)),$F211)&amp;" "&amp;IF($G211="Banking","Banking",IFERROR(INDEX(Mapping!$E$17:$E$28,MATCH($J211,Mapping!$D$17:$D$28,0)),"(unmapped)")))))</f>
        <v/>
      </c>
    </row>
    <row r="212" spans="11:11" x14ac:dyDescent="0.3">
      <c r="K212" t="str">
        <f>IF($D212="","",IFERROR(INDEX(Mapping!$H$3:$H$32,MATCH($B212,Mapping!$G$3:$G$32,0)),IF(LEFT($F212,3)="P2P",IFERROR(INDEX(Mapping!$E$3:$E$6,MATCH($G212,Mapping!$D$3:$D$6,0)),IFERROR(INDEX(Mapping!$B$3:$B$13,MATCH($J212,Mapping!$A$3:$A$13,0)),"(unmapped)")),IFERROR(INDEX(Mapping!$B$17:$B$22,MATCH($F212,Mapping!$A$17:$A$22,0)),$F212)&amp;" "&amp;IF($G212="Banking","Banking",IFERROR(INDEX(Mapping!$E$17:$E$28,MATCH($J212,Mapping!$D$17:$D$28,0)),"(unmapped)")))))</f>
        <v/>
      </c>
    </row>
    <row r="213" spans="11:11" x14ac:dyDescent="0.3">
      <c r="K213" t="str">
        <f>IF($D213="","",IFERROR(INDEX(Mapping!$H$3:$H$32,MATCH($B213,Mapping!$G$3:$G$32,0)),IF(LEFT($F213,3)="P2P",IFERROR(INDEX(Mapping!$E$3:$E$6,MATCH($G213,Mapping!$D$3:$D$6,0)),IFERROR(INDEX(Mapping!$B$3:$B$13,MATCH($J213,Mapping!$A$3:$A$13,0)),"(unmapped)")),IFERROR(INDEX(Mapping!$B$17:$B$22,MATCH($F213,Mapping!$A$17:$A$22,0)),$F213)&amp;" "&amp;IF($G213="Banking","Banking",IFERROR(INDEX(Mapping!$E$17:$E$28,MATCH($J213,Mapping!$D$17:$D$28,0)),"(unmapped)")))))</f>
        <v/>
      </c>
    </row>
    <row r="214" spans="11:11" x14ac:dyDescent="0.3">
      <c r="K214" t="str">
        <f>IF($D214="","",IFERROR(INDEX(Mapping!$H$3:$H$32,MATCH($B214,Mapping!$G$3:$G$32,0)),IF(LEFT($F214,3)="P2P",IFERROR(INDEX(Mapping!$E$3:$E$6,MATCH($G214,Mapping!$D$3:$D$6,0)),IFERROR(INDEX(Mapping!$B$3:$B$13,MATCH($J214,Mapping!$A$3:$A$13,0)),"(unmapped)")),IFERROR(INDEX(Mapping!$B$17:$B$22,MATCH($F214,Mapping!$A$17:$A$22,0)),$F214)&amp;" "&amp;IF($G214="Banking","Banking",IFERROR(INDEX(Mapping!$E$17:$E$28,MATCH($J214,Mapping!$D$17:$D$28,0)),"(unmapped)")))))</f>
        <v/>
      </c>
    </row>
    <row r="215" spans="11:11" x14ac:dyDescent="0.3">
      <c r="K215" t="str">
        <f>IF($D215="","",IFERROR(INDEX(Mapping!$H$3:$H$32,MATCH($B215,Mapping!$G$3:$G$32,0)),IF(LEFT($F215,3)="P2P",IFERROR(INDEX(Mapping!$E$3:$E$6,MATCH($G215,Mapping!$D$3:$D$6,0)),IFERROR(INDEX(Mapping!$B$3:$B$13,MATCH($J215,Mapping!$A$3:$A$13,0)),"(unmapped)")),IFERROR(INDEX(Mapping!$B$17:$B$22,MATCH($F215,Mapping!$A$17:$A$22,0)),$F215)&amp;" "&amp;IF($G215="Banking","Banking",IFERROR(INDEX(Mapping!$E$17:$E$28,MATCH($J215,Mapping!$D$17:$D$28,0)),"(unmapped)")))))</f>
        <v/>
      </c>
    </row>
    <row r="216" spans="11:11" x14ac:dyDescent="0.3">
      <c r="K216" t="str">
        <f>IF($D216="","",IFERROR(INDEX(Mapping!$H$3:$H$32,MATCH($B216,Mapping!$G$3:$G$32,0)),IF(LEFT($F216,3)="P2P",IFERROR(INDEX(Mapping!$E$3:$E$6,MATCH($G216,Mapping!$D$3:$D$6,0)),IFERROR(INDEX(Mapping!$B$3:$B$13,MATCH($J216,Mapping!$A$3:$A$13,0)),"(unmapped)")),IFERROR(INDEX(Mapping!$B$17:$B$22,MATCH($F216,Mapping!$A$17:$A$22,0)),$F216)&amp;" "&amp;IF($G216="Banking","Banking",IFERROR(INDEX(Mapping!$E$17:$E$28,MATCH($J216,Mapping!$D$17:$D$28,0)),"(unmapped)")))))</f>
        <v/>
      </c>
    </row>
    <row r="217" spans="11:11" x14ac:dyDescent="0.3">
      <c r="K217" t="str">
        <f>IF($D217="","",IFERROR(INDEX(Mapping!$H$3:$H$32,MATCH($B217,Mapping!$G$3:$G$32,0)),IF(LEFT($F217,3)="P2P",IFERROR(INDEX(Mapping!$E$3:$E$6,MATCH($G217,Mapping!$D$3:$D$6,0)),IFERROR(INDEX(Mapping!$B$3:$B$13,MATCH($J217,Mapping!$A$3:$A$13,0)),"(unmapped)")),IFERROR(INDEX(Mapping!$B$17:$B$22,MATCH($F217,Mapping!$A$17:$A$22,0)),$F217)&amp;" "&amp;IF($G217="Banking","Banking",IFERROR(INDEX(Mapping!$E$17:$E$28,MATCH($J217,Mapping!$D$17:$D$28,0)),"(unmapped)")))))</f>
        <v/>
      </c>
    </row>
    <row r="218" spans="11:11" x14ac:dyDescent="0.3">
      <c r="K218" t="str">
        <f>IF($D218="","",IFERROR(INDEX(Mapping!$H$3:$H$32,MATCH($B218,Mapping!$G$3:$G$32,0)),IF(LEFT($F218,3)="P2P",IFERROR(INDEX(Mapping!$E$3:$E$6,MATCH($G218,Mapping!$D$3:$D$6,0)),IFERROR(INDEX(Mapping!$B$3:$B$13,MATCH($J218,Mapping!$A$3:$A$13,0)),"(unmapped)")),IFERROR(INDEX(Mapping!$B$17:$B$22,MATCH($F218,Mapping!$A$17:$A$22,0)),$F218)&amp;" "&amp;IF($G218="Banking","Banking",IFERROR(INDEX(Mapping!$E$17:$E$28,MATCH($J218,Mapping!$D$17:$D$28,0)),"(unmapped)")))))</f>
        <v/>
      </c>
    </row>
    <row r="219" spans="11:11" x14ac:dyDescent="0.3">
      <c r="K219" t="str">
        <f>IF($D219="","",IFERROR(INDEX(Mapping!$H$3:$H$32,MATCH($B219,Mapping!$G$3:$G$32,0)),IF(LEFT($F219,3)="P2P",IFERROR(INDEX(Mapping!$E$3:$E$6,MATCH($G219,Mapping!$D$3:$D$6,0)),IFERROR(INDEX(Mapping!$B$3:$B$13,MATCH($J219,Mapping!$A$3:$A$13,0)),"(unmapped)")),IFERROR(INDEX(Mapping!$B$17:$B$22,MATCH($F219,Mapping!$A$17:$A$22,0)),$F219)&amp;" "&amp;IF($G219="Banking","Banking",IFERROR(INDEX(Mapping!$E$17:$E$28,MATCH($J219,Mapping!$D$17:$D$28,0)),"(unmapped)")))))</f>
        <v/>
      </c>
    </row>
    <row r="220" spans="11:11" x14ac:dyDescent="0.3">
      <c r="K220" t="str">
        <f>IF($D220="","",IFERROR(INDEX(Mapping!$H$3:$H$32,MATCH($B220,Mapping!$G$3:$G$32,0)),IF(LEFT($F220,3)="P2P",IFERROR(INDEX(Mapping!$E$3:$E$6,MATCH($G220,Mapping!$D$3:$D$6,0)),IFERROR(INDEX(Mapping!$B$3:$B$13,MATCH($J220,Mapping!$A$3:$A$13,0)),"(unmapped)")),IFERROR(INDEX(Mapping!$B$17:$B$22,MATCH($F220,Mapping!$A$17:$A$22,0)),$F220)&amp;" "&amp;IF($G220="Banking","Banking",IFERROR(INDEX(Mapping!$E$17:$E$28,MATCH($J220,Mapping!$D$17:$D$28,0)),"(unmapped)")))))</f>
        <v/>
      </c>
    </row>
    <row r="221" spans="11:11" x14ac:dyDescent="0.3">
      <c r="K221" t="str">
        <f>IF($D221="","",IFERROR(INDEX(Mapping!$H$3:$H$32,MATCH($B221,Mapping!$G$3:$G$32,0)),IF(LEFT($F221,3)="P2P",IFERROR(INDEX(Mapping!$E$3:$E$6,MATCH($G221,Mapping!$D$3:$D$6,0)),IFERROR(INDEX(Mapping!$B$3:$B$13,MATCH($J221,Mapping!$A$3:$A$13,0)),"(unmapped)")),IFERROR(INDEX(Mapping!$B$17:$B$22,MATCH($F221,Mapping!$A$17:$A$22,0)),$F221)&amp;" "&amp;IF($G221="Banking","Banking",IFERROR(INDEX(Mapping!$E$17:$E$28,MATCH($J221,Mapping!$D$17:$D$28,0)),"(unmapped)")))))</f>
        <v/>
      </c>
    </row>
    <row r="222" spans="11:11" x14ac:dyDescent="0.3">
      <c r="K222" t="str">
        <f>IF($D222="","",IFERROR(INDEX(Mapping!$H$3:$H$32,MATCH($B222,Mapping!$G$3:$G$32,0)),IF(LEFT($F222,3)="P2P",IFERROR(INDEX(Mapping!$E$3:$E$6,MATCH($G222,Mapping!$D$3:$D$6,0)),IFERROR(INDEX(Mapping!$B$3:$B$13,MATCH($J222,Mapping!$A$3:$A$13,0)),"(unmapped)")),IFERROR(INDEX(Mapping!$B$17:$B$22,MATCH($F222,Mapping!$A$17:$A$22,0)),$F222)&amp;" "&amp;IF($G222="Banking","Banking",IFERROR(INDEX(Mapping!$E$17:$E$28,MATCH($J222,Mapping!$D$17:$D$28,0)),"(unmapped)")))))</f>
        <v/>
      </c>
    </row>
    <row r="223" spans="11:11" x14ac:dyDescent="0.3">
      <c r="K223" t="str">
        <f>IF($D223="","",IFERROR(INDEX(Mapping!$H$3:$H$32,MATCH($B223,Mapping!$G$3:$G$32,0)),IF(LEFT($F223,3)="P2P",IFERROR(INDEX(Mapping!$E$3:$E$6,MATCH($G223,Mapping!$D$3:$D$6,0)),IFERROR(INDEX(Mapping!$B$3:$B$13,MATCH($J223,Mapping!$A$3:$A$13,0)),"(unmapped)")),IFERROR(INDEX(Mapping!$B$17:$B$22,MATCH($F223,Mapping!$A$17:$A$22,0)),$F223)&amp;" "&amp;IF($G223="Banking","Banking",IFERROR(INDEX(Mapping!$E$17:$E$28,MATCH($J223,Mapping!$D$17:$D$28,0)),"(unmapped)")))))</f>
        <v/>
      </c>
    </row>
    <row r="224" spans="11:11" x14ac:dyDescent="0.3">
      <c r="K224" t="str">
        <f>IF($D224="","",IFERROR(INDEX(Mapping!$H$3:$H$32,MATCH($B224,Mapping!$G$3:$G$32,0)),IF(LEFT($F224,3)="P2P",IFERROR(INDEX(Mapping!$E$3:$E$6,MATCH($G224,Mapping!$D$3:$D$6,0)),IFERROR(INDEX(Mapping!$B$3:$B$13,MATCH($J224,Mapping!$A$3:$A$13,0)),"(unmapped)")),IFERROR(INDEX(Mapping!$B$17:$B$22,MATCH($F224,Mapping!$A$17:$A$22,0)),$F224)&amp;" "&amp;IF($G224="Banking","Banking",IFERROR(INDEX(Mapping!$E$17:$E$28,MATCH($J224,Mapping!$D$17:$D$28,0)),"(unmapped)")))))</f>
        <v/>
      </c>
    </row>
    <row r="225" spans="11:11" x14ac:dyDescent="0.3">
      <c r="K225" t="str">
        <f>IF($D225="","",IFERROR(INDEX(Mapping!$H$3:$H$32,MATCH($B225,Mapping!$G$3:$G$32,0)),IF(LEFT($F225,3)="P2P",IFERROR(INDEX(Mapping!$E$3:$E$6,MATCH($G225,Mapping!$D$3:$D$6,0)),IFERROR(INDEX(Mapping!$B$3:$B$13,MATCH($J225,Mapping!$A$3:$A$13,0)),"(unmapped)")),IFERROR(INDEX(Mapping!$B$17:$B$22,MATCH($F225,Mapping!$A$17:$A$22,0)),$F225)&amp;" "&amp;IF($G225="Banking","Banking",IFERROR(INDEX(Mapping!$E$17:$E$28,MATCH($J225,Mapping!$D$17:$D$28,0)),"(unmapped)")))))</f>
        <v/>
      </c>
    </row>
    <row r="226" spans="11:11" x14ac:dyDescent="0.3">
      <c r="K226" t="str">
        <f>IF($D226="","",IFERROR(INDEX(Mapping!$H$3:$H$32,MATCH($B226,Mapping!$G$3:$G$32,0)),IF(LEFT($F226,3)="P2P",IFERROR(INDEX(Mapping!$E$3:$E$6,MATCH($G226,Mapping!$D$3:$D$6,0)),IFERROR(INDEX(Mapping!$B$3:$B$13,MATCH($J226,Mapping!$A$3:$A$13,0)),"(unmapped)")),IFERROR(INDEX(Mapping!$B$17:$B$22,MATCH($F226,Mapping!$A$17:$A$22,0)),$F226)&amp;" "&amp;IF($G226="Banking","Banking",IFERROR(INDEX(Mapping!$E$17:$E$28,MATCH($J226,Mapping!$D$17:$D$28,0)),"(unmapped)")))))</f>
        <v/>
      </c>
    </row>
    <row r="227" spans="11:11" x14ac:dyDescent="0.3">
      <c r="K227" t="str">
        <f>IF($D227="","",IFERROR(INDEX(Mapping!$H$3:$H$32,MATCH($B227,Mapping!$G$3:$G$32,0)),IF(LEFT($F227,3)="P2P",IFERROR(INDEX(Mapping!$E$3:$E$6,MATCH($G227,Mapping!$D$3:$D$6,0)),IFERROR(INDEX(Mapping!$B$3:$B$13,MATCH($J227,Mapping!$A$3:$A$13,0)),"(unmapped)")),IFERROR(INDEX(Mapping!$B$17:$B$22,MATCH($F227,Mapping!$A$17:$A$22,0)),$F227)&amp;" "&amp;IF($G227="Banking","Banking",IFERROR(INDEX(Mapping!$E$17:$E$28,MATCH($J227,Mapping!$D$17:$D$28,0)),"(unmapped)")))))</f>
        <v/>
      </c>
    </row>
    <row r="228" spans="11:11" x14ac:dyDescent="0.3">
      <c r="K228" t="str">
        <f>IF($D228="","",IFERROR(INDEX(Mapping!$H$3:$H$32,MATCH($B228,Mapping!$G$3:$G$32,0)),IF(LEFT($F228,3)="P2P",IFERROR(INDEX(Mapping!$E$3:$E$6,MATCH($G228,Mapping!$D$3:$D$6,0)),IFERROR(INDEX(Mapping!$B$3:$B$13,MATCH($J228,Mapping!$A$3:$A$13,0)),"(unmapped)")),IFERROR(INDEX(Mapping!$B$17:$B$22,MATCH($F228,Mapping!$A$17:$A$22,0)),$F228)&amp;" "&amp;IF($G228="Banking","Banking",IFERROR(INDEX(Mapping!$E$17:$E$28,MATCH($J228,Mapping!$D$17:$D$28,0)),"(unmapped)")))))</f>
        <v/>
      </c>
    </row>
    <row r="229" spans="11:11" x14ac:dyDescent="0.3">
      <c r="K229" t="str">
        <f>IF($D229="","",IFERROR(INDEX(Mapping!$H$3:$H$32,MATCH($B229,Mapping!$G$3:$G$32,0)),IF(LEFT($F229,3)="P2P",IFERROR(INDEX(Mapping!$E$3:$E$6,MATCH($G229,Mapping!$D$3:$D$6,0)),IFERROR(INDEX(Mapping!$B$3:$B$13,MATCH($J229,Mapping!$A$3:$A$13,0)),"(unmapped)")),IFERROR(INDEX(Mapping!$B$17:$B$22,MATCH($F229,Mapping!$A$17:$A$22,0)),$F229)&amp;" "&amp;IF($G229="Banking","Banking",IFERROR(INDEX(Mapping!$E$17:$E$28,MATCH($J229,Mapping!$D$17:$D$28,0)),"(unmapped)")))))</f>
        <v/>
      </c>
    </row>
    <row r="230" spans="11:11" x14ac:dyDescent="0.3">
      <c r="K230" t="str">
        <f>IF($D230="","",IFERROR(INDEX(Mapping!$H$3:$H$32,MATCH($B230,Mapping!$G$3:$G$32,0)),IF(LEFT($F230,3)="P2P",IFERROR(INDEX(Mapping!$E$3:$E$6,MATCH($G230,Mapping!$D$3:$D$6,0)),IFERROR(INDEX(Mapping!$B$3:$B$13,MATCH($J230,Mapping!$A$3:$A$13,0)),"(unmapped)")),IFERROR(INDEX(Mapping!$B$17:$B$22,MATCH($F230,Mapping!$A$17:$A$22,0)),$F230)&amp;" "&amp;IF($G230="Banking","Banking",IFERROR(INDEX(Mapping!$E$17:$E$28,MATCH($J230,Mapping!$D$17:$D$28,0)),"(unmapped)")))))</f>
        <v/>
      </c>
    </row>
    <row r="231" spans="11:11" x14ac:dyDescent="0.3">
      <c r="K231" t="str">
        <f>IF($D231="","",IFERROR(INDEX(Mapping!$H$3:$H$32,MATCH($B231,Mapping!$G$3:$G$32,0)),IF(LEFT($F231,3)="P2P",IFERROR(INDEX(Mapping!$E$3:$E$6,MATCH($G231,Mapping!$D$3:$D$6,0)),IFERROR(INDEX(Mapping!$B$3:$B$13,MATCH($J231,Mapping!$A$3:$A$13,0)),"(unmapped)")),IFERROR(INDEX(Mapping!$B$17:$B$22,MATCH($F231,Mapping!$A$17:$A$22,0)),$F231)&amp;" "&amp;IF($G231="Banking","Banking",IFERROR(INDEX(Mapping!$E$17:$E$28,MATCH($J231,Mapping!$D$17:$D$28,0)),"(unmapped)")))))</f>
        <v/>
      </c>
    </row>
    <row r="232" spans="11:11" x14ac:dyDescent="0.3">
      <c r="K232" t="str">
        <f>IF($D232="","",IFERROR(INDEX(Mapping!$H$3:$H$32,MATCH($B232,Mapping!$G$3:$G$32,0)),IF(LEFT($F232,3)="P2P",IFERROR(INDEX(Mapping!$E$3:$E$6,MATCH($G232,Mapping!$D$3:$D$6,0)),IFERROR(INDEX(Mapping!$B$3:$B$13,MATCH($J232,Mapping!$A$3:$A$13,0)),"(unmapped)")),IFERROR(INDEX(Mapping!$B$17:$B$22,MATCH($F232,Mapping!$A$17:$A$22,0)),$F232)&amp;" "&amp;IF($G232="Banking","Banking",IFERROR(INDEX(Mapping!$E$17:$E$28,MATCH($J232,Mapping!$D$17:$D$28,0)),"(unmapped)")))))</f>
        <v/>
      </c>
    </row>
    <row r="233" spans="11:11" x14ac:dyDescent="0.3">
      <c r="K233" t="str">
        <f>IF($D233="","",IFERROR(INDEX(Mapping!$H$3:$H$32,MATCH($B233,Mapping!$G$3:$G$32,0)),IF(LEFT($F233,3)="P2P",IFERROR(INDEX(Mapping!$E$3:$E$6,MATCH($G233,Mapping!$D$3:$D$6,0)),IFERROR(INDEX(Mapping!$B$3:$B$13,MATCH($J233,Mapping!$A$3:$A$13,0)),"(unmapped)")),IFERROR(INDEX(Mapping!$B$17:$B$22,MATCH($F233,Mapping!$A$17:$A$22,0)),$F233)&amp;" "&amp;IF($G233="Banking","Banking",IFERROR(INDEX(Mapping!$E$17:$E$28,MATCH($J233,Mapping!$D$17:$D$28,0)),"(unmapped)")))))</f>
        <v/>
      </c>
    </row>
    <row r="234" spans="11:11" x14ac:dyDescent="0.3">
      <c r="K234" t="str">
        <f>IF($D234="","",IFERROR(INDEX(Mapping!$H$3:$H$32,MATCH($B234,Mapping!$G$3:$G$32,0)),IF(LEFT($F234,3)="P2P",IFERROR(INDEX(Mapping!$E$3:$E$6,MATCH($G234,Mapping!$D$3:$D$6,0)),IFERROR(INDEX(Mapping!$B$3:$B$13,MATCH($J234,Mapping!$A$3:$A$13,0)),"(unmapped)")),IFERROR(INDEX(Mapping!$B$17:$B$22,MATCH($F234,Mapping!$A$17:$A$22,0)),$F234)&amp;" "&amp;IF($G234="Banking","Banking",IFERROR(INDEX(Mapping!$E$17:$E$28,MATCH($J234,Mapping!$D$17:$D$28,0)),"(unmapped)")))))</f>
        <v/>
      </c>
    </row>
    <row r="235" spans="11:11" x14ac:dyDescent="0.3">
      <c r="K235" t="str">
        <f>IF($D235="","",IFERROR(INDEX(Mapping!$H$3:$H$32,MATCH($B235,Mapping!$G$3:$G$32,0)),IF(LEFT($F235,3)="P2P",IFERROR(INDEX(Mapping!$E$3:$E$6,MATCH($G235,Mapping!$D$3:$D$6,0)),IFERROR(INDEX(Mapping!$B$3:$B$13,MATCH($J235,Mapping!$A$3:$A$13,0)),"(unmapped)")),IFERROR(INDEX(Mapping!$B$17:$B$22,MATCH($F235,Mapping!$A$17:$A$22,0)),$F235)&amp;" "&amp;IF($G235="Banking","Banking",IFERROR(INDEX(Mapping!$E$17:$E$28,MATCH($J235,Mapping!$D$17:$D$28,0)),"(unmapped)")))))</f>
        <v/>
      </c>
    </row>
    <row r="236" spans="11:11" x14ac:dyDescent="0.3">
      <c r="K236" t="str">
        <f>IF($D236="","",IFERROR(INDEX(Mapping!$H$3:$H$32,MATCH($B236,Mapping!$G$3:$G$32,0)),IF(LEFT($F236,3)="P2P",IFERROR(INDEX(Mapping!$E$3:$E$6,MATCH($G236,Mapping!$D$3:$D$6,0)),IFERROR(INDEX(Mapping!$B$3:$B$13,MATCH($J236,Mapping!$A$3:$A$13,0)),"(unmapped)")),IFERROR(INDEX(Mapping!$B$17:$B$22,MATCH($F236,Mapping!$A$17:$A$22,0)),$F236)&amp;" "&amp;IF($G236="Banking","Banking",IFERROR(INDEX(Mapping!$E$17:$E$28,MATCH($J236,Mapping!$D$17:$D$28,0)),"(unmapped)")))))</f>
        <v/>
      </c>
    </row>
    <row r="237" spans="11:11" x14ac:dyDescent="0.3">
      <c r="K237" t="str">
        <f>IF($D237="","",IFERROR(INDEX(Mapping!$H$3:$H$32,MATCH($B237,Mapping!$G$3:$G$32,0)),IF(LEFT($F237,3)="P2P",IFERROR(INDEX(Mapping!$E$3:$E$6,MATCH($G237,Mapping!$D$3:$D$6,0)),IFERROR(INDEX(Mapping!$B$3:$B$13,MATCH($J237,Mapping!$A$3:$A$13,0)),"(unmapped)")),IFERROR(INDEX(Mapping!$B$17:$B$22,MATCH($F237,Mapping!$A$17:$A$22,0)),$F237)&amp;" "&amp;IF($G237="Banking","Banking",IFERROR(INDEX(Mapping!$E$17:$E$28,MATCH($J237,Mapping!$D$17:$D$28,0)),"(unmapped)")))))</f>
        <v/>
      </c>
    </row>
    <row r="238" spans="11:11" x14ac:dyDescent="0.3">
      <c r="K238" t="str">
        <f>IF($D238="","",IFERROR(INDEX(Mapping!$H$3:$H$32,MATCH($B238,Mapping!$G$3:$G$32,0)),IF(LEFT($F238,3)="P2P",IFERROR(INDEX(Mapping!$E$3:$E$6,MATCH($G238,Mapping!$D$3:$D$6,0)),IFERROR(INDEX(Mapping!$B$3:$B$13,MATCH($J238,Mapping!$A$3:$A$13,0)),"(unmapped)")),IFERROR(INDEX(Mapping!$B$17:$B$22,MATCH($F238,Mapping!$A$17:$A$22,0)),$F238)&amp;" "&amp;IF($G238="Banking","Banking",IFERROR(INDEX(Mapping!$E$17:$E$28,MATCH($J238,Mapping!$D$17:$D$28,0)),"(unmapped)")))))</f>
        <v/>
      </c>
    </row>
    <row r="239" spans="11:11" x14ac:dyDescent="0.3">
      <c r="K239" t="str">
        <f>IF($D239="","",IFERROR(INDEX(Mapping!$H$3:$H$32,MATCH($B239,Mapping!$G$3:$G$32,0)),IF(LEFT($F239,3)="P2P",IFERROR(INDEX(Mapping!$E$3:$E$6,MATCH($G239,Mapping!$D$3:$D$6,0)),IFERROR(INDEX(Mapping!$B$3:$B$13,MATCH($J239,Mapping!$A$3:$A$13,0)),"(unmapped)")),IFERROR(INDEX(Mapping!$B$17:$B$22,MATCH($F239,Mapping!$A$17:$A$22,0)),$F239)&amp;" "&amp;IF($G239="Banking","Banking",IFERROR(INDEX(Mapping!$E$17:$E$28,MATCH($J239,Mapping!$D$17:$D$28,0)),"(unmapped)")))))</f>
        <v/>
      </c>
    </row>
    <row r="240" spans="11:11" x14ac:dyDescent="0.3">
      <c r="K240" t="str">
        <f>IF($D240="","",IFERROR(INDEX(Mapping!$H$3:$H$32,MATCH($B240,Mapping!$G$3:$G$32,0)),IF(LEFT($F240,3)="P2P",IFERROR(INDEX(Mapping!$E$3:$E$6,MATCH($G240,Mapping!$D$3:$D$6,0)),IFERROR(INDEX(Mapping!$B$3:$B$13,MATCH($J240,Mapping!$A$3:$A$13,0)),"(unmapped)")),IFERROR(INDEX(Mapping!$B$17:$B$22,MATCH($F240,Mapping!$A$17:$A$22,0)),$F240)&amp;" "&amp;IF($G240="Banking","Banking",IFERROR(INDEX(Mapping!$E$17:$E$28,MATCH($J240,Mapping!$D$17:$D$28,0)),"(unmapped)")))))</f>
        <v/>
      </c>
    </row>
    <row r="241" spans="11:11" x14ac:dyDescent="0.3">
      <c r="K241" t="str">
        <f>IF($D241="","",IFERROR(INDEX(Mapping!$H$3:$H$32,MATCH($B241,Mapping!$G$3:$G$32,0)),IF(LEFT($F241,3)="P2P",IFERROR(INDEX(Mapping!$E$3:$E$6,MATCH($G241,Mapping!$D$3:$D$6,0)),IFERROR(INDEX(Mapping!$B$3:$B$13,MATCH($J241,Mapping!$A$3:$A$13,0)),"(unmapped)")),IFERROR(INDEX(Mapping!$B$17:$B$22,MATCH($F241,Mapping!$A$17:$A$22,0)),$F241)&amp;" "&amp;IF($G241="Banking","Banking",IFERROR(INDEX(Mapping!$E$17:$E$28,MATCH($J241,Mapping!$D$17:$D$28,0)),"(unmapped)")))))</f>
        <v/>
      </c>
    </row>
    <row r="242" spans="11:11" x14ac:dyDescent="0.3">
      <c r="K242" t="str">
        <f>IF($D242="","",IFERROR(INDEX(Mapping!$H$3:$H$32,MATCH($B242,Mapping!$G$3:$G$32,0)),IF(LEFT($F242,3)="P2P",IFERROR(INDEX(Mapping!$E$3:$E$6,MATCH($G242,Mapping!$D$3:$D$6,0)),IFERROR(INDEX(Mapping!$B$3:$B$13,MATCH($J242,Mapping!$A$3:$A$13,0)),"(unmapped)")),IFERROR(INDEX(Mapping!$B$17:$B$22,MATCH($F242,Mapping!$A$17:$A$22,0)),$F242)&amp;" "&amp;IF($G242="Banking","Banking",IFERROR(INDEX(Mapping!$E$17:$E$28,MATCH($J242,Mapping!$D$17:$D$28,0)),"(unmapped)")))))</f>
        <v/>
      </c>
    </row>
    <row r="243" spans="11:11" x14ac:dyDescent="0.3">
      <c r="K243" t="str">
        <f>IF($D243="","",IFERROR(INDEX(Mapping!$H$3:$H$32,MATCH($B243,Mapping!$G$3:$G$32,0)),IF(LEFT($F243,3)="P2P",IFERROR(INDEX(Mapping!$E$3:$E$6,MATCH($G243,Mapping!$D$3:$D$6,0)),IFERROR(INDEX(Mapping!$B$3:$B$13,MATCH($J243,Mapping!$A$3:$A$13,0)),"(unmapped)")),IFERROR(INDEX(Mapping!$B$17:$B$22,MATCH($F243,Mapping!$A$17:$A$22,0)),$F243)&amp;" "&amp;IF($G243="Banking","Banking",IFERROR(INDEX(Mapping!$E$17:$E$28,MATCH($J243,Mapping!$D$17:$D$28,0)),"(unmapped)")))))</f>
        <v/>
      </c>
    </row>
    <row r="244" spans="11:11" x14ac:dyDescent="0.3">
      <c r="K244" t="str">
        <f>IF($D244="","",IFERROR(INDEX(Mapping!$H$3:$H$32,MATCH($B244,Mapping!$G$3:$G$32,0)),IF(LEFT($F244,3)="P2P",IFERROR(INDEX(Mapping!$E$3:$E$6,MATCH($G244,Mapping!$D$3:$D$6,0)),IFERROR(INDEX(Mapping!$B$3:$B$13,MATCH($J244,Mapping!$A$3:$A$13,0)),"(unmapped)")),IFERROR(INDEX(Mapping!$B$17:$B$22,MATCH($F244,Mapping!$A$17:$A$22,0)),$F244)&amp;" "&amp;IF($G244="Banking","Banking",IFERROR(INDEX(Mapping!$E$17:$E$28,MATCH($J244,Mapping!$D$17:$D$28,0)),"(unmapped)")))))</f>
        <v/>
      </c>
    </row>
    <row r="245" spans="11:11" x14ac:dyDescent="0.3">
      <c r="K245" t="str">
        <f>IF($D245="","",IFERROR(INDEX(Mapping!$H$3:$H$32,MATCH($B245,Mapping!$G$3:$G$32,0)),IF(LEFT($F245,3)="P2P",IFERROR(INDEX(Mapping!$E$3:$E$6,MATCH($G245,Mapping!$D$3:$D$6,0)),IFERROR(INDEX(Mapping!$B$3:$B$13,MATCH($J245,Mapping!$A$3:$A$13,0)),"(unmapped)")),IFERROR(INDEX(Mapping!$B$17:$B$22,MATCH($F245,Mapping!$A$17:$A$22,0)),$F245)&amp;" "&amp;IF($G245="Banking","Banking",IFERROR(INDEX(Mapping!$E$17:$E$28,MATCH($J245,Mapping!$D$17:$D$28,0)),"(unmapped)")))))</f>
        <v/>
      </c>
    </row>
    <row r="246" spans="11:11" x14ac:dyDescent="0.3">
      <c r="K246" t="str">
        <f>IF($D246="","",IFERROR(INDEX(Mapping!$H$3:$H$32,MATCH($B246,Mapping!$G$3:$G$32,0)),IF(LEFT($F246,3)="P2P",IFERROR(INDEX(Mapping!$E$3:$E$6,MATCH($G246,Mapping!$D$3:$D$6,0)),IFERROR(INDEX(Mapping!$B$3:$B$13,MATCH($J246,Mapping!$A$3:$A$13,0)),"(unmapped)")),IFERROR(INDEX(Mapping!$B$17:$B$22,MATCH($F246,Mapping!$A$17:$A$22,0)),$F246)&amp;" "&amp;IF($G246="Banking","Banking",IFERROR(INDEX(Mapping!$E$17:$E$28,MATCH($J246,Mapping!$D$17:$D$28,0)),"(unmapped)")))))</f>
        <v/>
      </c>
    </row>
    <row r="247" spans="11:11" x14ac:dyDescent="0.3">
      <c r="K247" t="str">
        <f>IF($D247="","",IFERROR(INDEX(Mapping!$H$3:$H$32,MATCH($B247,Mapping!$G$3:$G$32,0)),IF(LEFT($F247,3)="P2P",IFERROR(INDEX(Mapping!$E$3:$E$6,MATCH($G247,Mapping!$D$3:$D$6,0)),IFERROR(INDEX(Mapping!$B$3:$B$13,MATCH($J247,Mapping!$A$3:$A$13,0)),"(unmapped)")),IFERROR(INDEX(Mapping!$B$17:$B$22,MATCH($F247,Mapping!$A$17:$A$22,0)),$F247)&amp;" "&amp;IF($G247="Banking","Banking",IFERROR(INDEX(Mapping!$E$17:$E$28,MATCH($J247,Mapping!$D$17:$D$28,0)),"(unmapped)")))))</f>
        <v/>
      </c>
    </row>
    <row r="248" spans="11:11" x14ac:dyDescent="0.3">
      <c r="K248" t="str">
        <f>IF($D248="","",IFERROR(INDEX(Mapping!$H$3:$H$32,MATCH($B248,Mapping!$G$3:$G$32,0)),IF(LEFT($F248,3)="P2P",IFERROR(INDEX(Mapping!$E$3:$E$6,MATCH($G248,Mapping!$D$3:$D$6,0)),IFERROR(INDEX(Mapping!$B$3:$B$13,MATCH($J248,Mapping!$A$3:$A$13,0)),"(unmapped)")),IFERROR(INDEX(Mapping!$B$17:$B$22,MATCH($F248,Mapping!$A$17:$A$22,0)),$F248)&amp;" "&amp;IF($G248="Banking","Banking",IFERROR(INDEX(Mapping!$E$17:$E$28,MATCH($J248,Mapping!$D$17:$D$28,0)),"(unmapped)")))))</f>
        <v/>
      </c>
    </row>
    <row r="249" spans="11:11" x14ac:dyDescent="0.3">
      <c r="K249" t="str">
        <f>IF($D249="","",IFERROR(INDEX(Mapping!$H$3:$H$32,MATCH($B249,Mapping!$G$3:$G$32,0)),IF(LEFT($F249,3)="P2P",IFERROR(INDEX(Mapping!$E$3:$E$6,MATCH($G249,Mapping!$D$3:$D$6,0)),IFERROR(INDEX(Mapping!$B$3:$B$13,MATCH($J249,Mapping!$A$3:$A$13,0)),"(unmapped)")),IFERROR(INDEX(Mapping!$B$17:$B$22,MATCH($F249,Mapping!$A$17:$A$22,0)),$F249)&amp;" "&amp;IF($G249="Banking","Banking",IFERROR(INDEX(Mapping!$E$17:$E$28,MATCH($J249,Mapping!$D$17:$D$28,0)),"(unmapped)")))))</f>
        <v/>
      </c>
    </row>
    <row r="250" spans="11:11" x14ac:dyDescent="0.3">
      <c r="K250" t="str">
        <f>IF($D250="","",IFERROR(INDEX(Mapping!$H$3:$H$32,MATCH($B250,Mapping!$G$3:$G$32,0)),IF(LEFT($F250,3)="P2P",IFERROR(INDEX(Mapping!$E$3:$E$6,MATCH($G250,Mapping!$D$3:$D$6,0)),IFERROR(INDEX(Mapping!$B$3:$B$13,MATCH($J250,Mapping!$A$3:$A$13,0)),"(unmapped)")),IFERROR(INDEX(Mapping!$B$17:$B$22,MATCH($F250,Mapping!$A$17:$A$22,0)),$F250)&amp;" "&amp;IF($G250="Banking","Banking",IFERROR(INDEX(Mapping!$E$17:$E$28,MATCH($J250,Mapping!$D$17:$D$28,0)),"(unmapped)")))))</f>
        <v/>
      </c>
    </row>
    <row r="251" spans="11:11" x14ac:dyDescent="0.3">
      <c r="K251" t="str">
        <f>IF($D251="","",IFERROR(INDEX(Mapping!$H$3:$H$32,MATCH($B251,Mapping!$G$3:$G$32,0)),IF(LEFT($F251,3)="P2P",IFERROR(INDEX(Mapping!$E$3:$E$6,MATCH($G251,Mapping!$D$3:$D$6,0)),IFERROR(INDEX(Mapping!$B$3:$B$13,MATCH($J251,Mapping!$A$3:$A$13,0)),"(unmapped)")),IFERROR(INDEX(Mapping!$B$17:$B$22,MATCH($F251,Mapping!$A$17:$A$22,0)),$F251)&amp;" "&amp;IF($G251="Banking","Banking",IFERROR(INDEX(Mapping!$E$17:$E$28,MATCH($J251,Mapping!$D$17:$D$28,0)),"(unmapped)")))))</f>
        <v/>
      </c>
    </row>
    <row r="252" spans="11:11" x14ac:dyDescent="0.3">
      <c r="K252" t="str">
        <f>IF($D252="","",IFERROR(INDEX(Mapping!$H$3:$H$32,MATCH($B252,Mapping!$G$3:$G$32,0)),IF(LEFT($F252,3)="P2P",IFERROR(INDEX(Mapping!$E$3:$E$6,MATCH($G252,Mapping!$D$3:$D$6,0)),IFERROR(INDEX(Mapping!$B$3:$B$13,MATCH($J252,Mapping!$A$3:$A$13,0)),"(unmapped)")),IFERROR(INDEX(Mapping!$B$17:$B$22,MATCH($F252,Mapping!$A$17:$A$22,0)),$F252)&amp;" "&amp;IF($G252="Banking","Banking",IFERROR(INDEX(Mapping!$E$17:$E$28,MATCH($J252,Mapping!$D$17:$D$28,0)),"(unmapped)")))))</f>
        <v/>
      </c>
    </row>
    <row r="253" spans="11:11" x14ac:dyDescent="0.3">
      <c r="K253" t="str">
        <f>IF($D253="","",IFERROR(INDEX(Mapping!$H$3:$H$32,MATCH($B253,Mapping!$G$3:$G$32,0)),IF(LEFT($F253,3)="P2P",IFERROR(INDEX(Mapping!$E$3:$E$6,MATCH($G253,Mapping!$D$3:$D$6,0)),IFERROR(INDEX(Mapping!$B$3:$B$13,MATCH($J253,Mapping!$A$3:$A$13,0)),"(unmapped)")),IFERROR(INDEX(Mapping!$B$17:$B$22,MATCH($F253,Mapping!$A$17:$A$22,0)),$F253)&amp;" "&amp;IF($G253="Banking","Banking",IFERROR(INDEX(Mapping!$E$17:$E$28,MATCH($J253,Mapping!$D$17:$D$28,0)),"(unmapped)")))))</f>
        <v/>
      </c>
    </row>
    <row r="254" spans="11:11" x14ac:dyDescent="0.3">
      <c r="K254" t="str">
        <f>IF($D254="","",IFERROR(INDEX(Mapping!$H$3:$H$32,MATCH($B254,Mapping!$G$3:$G$32,0)),IF(LEFT($F254,3)="P2P",IFERROR(INDEX(Mapping!$E$3:$E$6,MATCH($G254,Mapping!$D$3:$D$6,0)),IFERROR(INDEX(Mapping!$B$3:$B$13,MATCH($J254,Mapping!$A$3:$A$13,0)),"(unmapped)")),IFERROR(INDEX(Mapping!$B$17:$B$22,MATCH($F254,Mapping!$A$17:$A$22,0)),$F254)&amp;" "&amp;IF($G254="Banking","Banking",IFERROR(INDEX(Mapping!$E$17:$E$28,MATCH($J254,Mapping!$D$17:$D$28,0)),"(unmapped)")))))</f>
        <v/>
      </c>
    </row>
    <row r="255" spans="11:11" x14ac:dyDescent="0.3">
      <c r="K255" t="str">
        <f>IF($D255="","",IFERROR(INDEX(Mapping!$H$3:$H$32,MATCH($B255,Mapping!$G$3:$G$32,0)),IF(LEFT($F255,3)="P2P",IFERROR(INDEX(Mapping!$E$3:$E$6,MATCH($G255,Mapping!$D$3:$D$6,0)),IFERROR(INDEX(Mapping!$B$3:$B$13,MATCH($J255,Mapping!$A$3:$A$13,0)),"(unmapped)")),IFERROR(INDEX(Mapping!$B$17:$B$22,MATCH($F255,Mapping!$A$17:$A$22,0)),$F255)&amp;" "&amp;IF($G255="Banking","Banking",IFERROR(INDEX(Mapping!$E$17:$E$28,MATCH($J255,Mapping!$D$17:$D$28,0)),"(unmapped)")))))</f>
        <v/>
      </c>
    </row>
    <row r="256" spans="11:11" x14ac:dyDescent="0.3">
      <c r="K256" t="str">
        <f>IF($D256="","",IFERROR(INDEX(Mapping!$H$3:$H$32,MATCH($B256,Mapping!$G$3:$G$32,0)),IF(LEFT($F256,3)="P2P",IFERROR(INDEX(Mapping!$E$3:$E$6,MATCH($G256,Mapping!$D$3:$D$6,0)),IFERROR(INDEX(Mapping!$B$3:$B$13,MATCH($J256,Mapping!$A$3:$A$13,0)),"(unmapped)")),IFERROR(INDEX(Mapping!$B$17:$B$22,MATCH($F256,Mapping!$A$17:$A$22,0)),$F256)&amp;" "&amp;IF($G256="Banking","Banking",IFERROR(INDEX(Mapping!$E$17:$E$28,MATCH($J256,Mapping!$D$17:$D$28,0)),"(unmapped)")))))</f>
        <v/>
      </c>
    </row>
    <row r="257" spans="11:11" x14ac:dyDescent="0.3">
      <c r="K257" t="str">
        <f>IF($D257="","",IFERROR(INDEX(Mapping!$H$3:$H$32,MATCH($B257,Mapping!$G$3:$G$32,0)),IF(LEFT($F257,3)="P2P",IFERROR(INDEX(Mapping!$E$3:$E$6,MATCH($G257,Mapping!$D$3:$D$6,0)),IFERROR(INDEX(Mapping!$B$3:$B$13,MATCH($J257,Mapping!$A$3:$A$13,0)),"(unmapped)")),IFERROR(INDEX(Mapping!$B$17:$B$22,MATCH($F257,Mapping!$A$17:$A$22,0)),$F257)&amp;" "&amp;IF($G257="Banking","Banking",IFERROR(INDEX(Mapping!$E$17:$E$28,MATCH($J257,Mapping!$D$17:$D$28,0)),"(unmapped)")))))</f>
        <v/>
      </c>
    </row>
    <row r="258" spans="11:11" x14ac:dyDescent="0.3">
      <c r="K258" t="str">
        <f>IF($D258="","",IFERROR(INDEX(Mapping!$H$3:$H$32,MATCH($B258,Mapping!$G$3:$G$32,0)),IF(LEFT($F258,3)="P2P",IFERROR(INDEX(Mapping!$E$3:$E$6,MATCH($G258,Mapping!$D$3:$D$6,0)),IFERROR(INDEX(Mapping!$B$3:$B$13,MATCH($J258,Mapping!$A$3:$A$13,0)),"(unmapped)")),IFERROR(INDEX(Mapping!$B$17:$B$22,MATCH($F258,Mapping!$A$17:$A$22,0)),$F258)&amp;" "&amp;IF($G258="Banking","Banking",IFERROR(INDEX(Mapping!$E$17:$E$28,MATCH($J258,Mapping!$D$17:$D$28,0)),"(unmapped)")))))</f>
        <v/>
      </c>
    </row>
    <row r="259" spans="11:11" x14ac:dyDescent="0.3">
      <c r="K259" t="str">
        <f>IF($D259="","",IFERROR(INDEX(Mapping!$H$3:$H$32,MATCH($B259,Mapping!$G$3:$G$32,0)),IF(LEFT($F259,3)="P2P",IFERROR(INDEX(Mapping!$E$3:$E$6,MATCH($G259,Mapping!$D$3:$D$6,0)),IFERROR(INDEX(Mapping!$B$3:$B$13,MATCH($J259,Mapping!$A$3:$A$13,0)),"(unmapped)")),IFERROR(INDEX(Mapping!$B$17:$B$22,MATCH($F259,Mapping!$A$17:$A$22,0)),$F259)&amp;" "&amp;IF($G259="Banking","Banking",IFERROR(INDEX(Mapping!$E$17:$E$28,MATCH($J259,Mapping!$D$17:$D$28,0)),"(unmapped)")))))</f>
        <v/>
      </c>
    </row>
    <row r="260" spans="11:11" x14ac:dyDescent="0.3">
      <c r="K260" t="str">
        <f>IF($D260="","",IFERROR(INDEX(Mapping!$H$3:$H$32,MATCH($B260,Mapping!$G$3:$G$32,0)),IF(LEFT($F260,3)="P2P",IFERROR(INDEX(Mapping!$E$3:$E$6,MATCH($G260,Mapping!$D$3:$D$6,0)),IFERROR(INDEX(Mapping!$B$3:$B$13,MATCH($J260,Mapping!$A$3:$A$13,0)),"(unmapped)")),IFERROR(INDEX(Mapping!$B$17:$B$22,MATCH($F260,Mapping!$A$17:$A$22,0)),$F260)&amp;" "&amp;IF($G260="Banking","Banking",IFERROR(INDEX(Mapping!$E$17:$E$28,MATCH($J260,Mapping!$D$17:$D$28,0)),"(unmapped)")))))</f>
        <v/>
      </c>
    </row>
    <row r="261" spans="11:11" x14ac:dyDescent="0.3">
      <c r="K261" t="str">
        <f>IF($D261="","",IFERROR(INDEX(Mapping!$H$3:$H$32,MATCH($B261,Mapping!$G$3:$G$32,0)),IF(LEFT($F261,3)="P2P",IFERROR(INDEX(Mapping!$E$3:$E$6,MATCH($G261,Mapping!$D$3:$D$6,0)),IFERROR(INDEX(Mapping!$B$3:$B$13,MATCH($J261,Mapping!$A$3:$A$13,0)),"(unmapped)")),IFERROR(INDEX(Mapping!$B$17:$B$22,MATCH($F261,Mapping!$A$17:$A$22,0)),$F261)&amp;" "&amp;IF($G261="Banking","Banking",IFERROR(INDEX(Mapping!$E$17:$E$28,MATCH($J261,Mapping!$D$17:$D$28,0)),"(unmapped)")))))</f>
        <v/>
      </c>
    </row>
    <row r="262" spans="11:11" x14ac:dyDescent="0.3">
      <c r="K262" t="str">
        <f>IF($D262="","",IFERROR(INDEX(Mapping!$H$3:$H$32,MATCH($B262,Mapping!$G$3:$G$32,0)),IF(LEFT($F262,3)="P2P",IFERROR(INDEX(Mapping!$E$3:$E$6,MATCH($G262,Mapping!$D$3:$D$6,0)),IFERROR(INDEX(Mapping!$B$3:$B$13,MATCH($J262,Mapping!$A$3:$A$13,0)),"(unmapped)")),IFERROR(INDEX(Mapping!$B$17:$B$22,MATCH($F262,Mapping!$A$17:$A$22,0)),$F262)&amp;" "&amp;IF($G262="Banking","Banking",IFERROR(INDEX(Mapping!$E$17:$E$28,MATCH($J262,Mapping!$D$17:$D$28,0)),"(unmapped)")))))</f>
        <v/>
      </c>
    </row>
    <row r="263" spans="11:11" x14ac:dyDescent="0.3">
      <c r="K263" t="str">
        <f>IF($D263="","",IFERROR(INDEX(Mapping!$H$3:$H$32,MATCH($B263,Mapping!$G$3:$G$32,0)),IF(LEFT($F263,3)="P2P",IFERROR(INDEX(Mapping!$E$3:$E$6,MATCH($G263,Mapping!$D$3:$D$6,0)),IFERROR(INDEX(Mapping!$B$3:$B$13,MATCH($J263,Mapping!$A$3:$A$13,0)),"(unmapped)")),IFERROR(INDEX(Mapping!$B$17:$B$22,MATCH($F263,Mapping!$A$17:$A$22,0)),$F263)&amp;" "&amp;IF($G263="Banking","Banking",IFERROR(INDEX(Mapping!$E$17:$E$28,MATCH($J263,Mapping!$D$17:$D$28,0)),"(unmapped)")))))</f>
        <v/>
      </c>
    </row>
    <row r="264" spans="11:11" x14ac:dyDescent="0.3">
      <c r="K264" t="str">
        <f>IF($D264="","",IFERROR(INDEX(Mapping!$H$3:$H$32,MATCH($B264,Mapping!$G$3:$G$32,0)),IF(LEFT($F264,3)="P2P",IFERROR(INDEX(Mapping!$E$3:$E$6,MATCH($G264,Mapping!$D$3:$D$6,0)),IFERROR(INDEX(Mapping!$B$3:$B$13,MATCH($J264,Mapping!$A$3:$A$13,0)),"(unmapped)")),IFERROR(INDEX(Mapping!$B$17:$B$22,MATCH($F264,Mapping!$A$17:$A$22,0)),$F264)&amp;" "&amp;IF($G264="Banking","Banking",IFERROR(INDEX(Mapping!$E$17:$E$28,MATCH($J264,Mapping!$D$17:$D$28,0)),"(unmapped)")))))</f>
        <v/>
      </c>
    </row>
    <row r="265" spans="11:11" x14ac:dyDescent="0.3">
      <c r="K265" t="str">
        <f>IF($D265="","",IFERROR(INDEX(Mapping!$H$3:$H$32,MATCH($B265,Mapping!$G$3:$G$32,0)),IF(LEFT($F265,3)="P2P",IFERROR(INDEX(Mapping!$E$3:$E$6,MATCH($G265,Mapping!$D$3:$D$6,0)),IFERROR(INDEX(Mapping!$B$3:$B$13,MATCH($J265,Mapping!$A$3:$A$13,0)),"(unmapped)")),IFERROR(INDEX(Mapping!$B$17:$B$22,MATCH($F265,Mapping!$A$17:$A$22,0)),$F265)&amp;" "&amp;IF($G265="Banking","Banking",IFERROR(INDEX(Mapping!$E$17:$E$28,MATCH($J265,Mapping!$D$17:$D$28,0)),"(unmapped)")))))</f>
        <v/>
      </c>
    </row>
    <row r="266" spans="11:11" x14ac:dyDescent="0.3">
      <c r="K266" t="str">
        <f>IF($D266="","",IFERROR(INDEX(Mapping!$H$3:$H$32,MATCH($B266,Mapping!$G$3:$G$32,0)),IF(LEFT($F266,3)="P2P",IFERROR(INDEX(Mapping!$E$3:$E$6,MATCH($G266,Mapping!$D$3:$D$6,0)),IFERROR(INDEX(Mapping!$B$3:$B$13,MATCH($J266,Mapping!$A$3:$A$13,0)),"(unmapped)")),IFERROR(INDEX(Mapping!$B$17:$B$22,MATCH($F266,Mapping!$A$17:$A$22,0)),$F266)&amp;" "&amp;IF($G266="Banking","Banking",IFERROR(INDEX(Mapping!$E$17:$E$28,MATCH($J266,Mapping!$D$17:$D$28,0)),"(unmapped)")))))</f>
        <v/>
      </c>
    </row>
    <row r="267" spans="11:11" x14ac:dyDescent="0.3">
      <c r="K267" t="str">
        <f>IF($D267="","",IFERROR(INDEX(Mapping!$H$3:$H$32,MATCH($B267,Mapping!$G$3:$G$32,0)),IF(LEFT($F267,3)="P2P",IFERROR(INDEX(Mapping!$E$3:$E$6,MATCH($G267,Mapping!$D$3:$D$6,0)),IFERROR(INDEX(Mapping!$B$3:$B$13,MATCH($J267,Mapping!$A$3:$A$13,0)),"(unmapped)")),IFERROR(INDEX(Mapping!$B$17:$B$22,MATCH($F267,Mapping!$A$17:$A$22,0)),$F267)&amp;" "&amp;IF($G267="Banking","Banking",IFERROR(INDEX(Mapping!$E$17:$E$28,MATCH($J267,Mapping!$D$17:$D$28,0)),"(unmapped)")))))</f>
        <v/>
      </c>
    </row>
    <row r="268" spans="11:11" x14ac:dyDescent="0.3">
      <c r="K268" t="str">
        <f>IF($D268="","",IFERROR(INDEX(Mapping!$H$3:$H$32,MATCH($B268,Mapping!$G$3:$G$32,0)),IF(LEFT($F268,3)="P2P",IFERROR(INDEX(Mapping!$E$3:$E$6,MATCH($G268,Mapping!$D$3:$D$6,0)),IFERROR(INDEX(Mapping!$B$3:$B$13,MATCH($J268,Mapping!$A$3:$A$13,0)),"(unmapped)")),IFERROR(INDEX(Mapping!$B$17:$B$22,MATCH($F268,Mapping!$A$17:$A$22,0)),$F268)&amp;" "&amp;IF($G268="Banking","Banking",IFERROR(INDEX(Mapping!$E$17:$E$28,MATCH($J268,Mapping!$D$17:$D$28,0)),"(unmapped)")))))</f>
        <v/>
      </c>
    </row>
    <row r="269" spans="11:11" x14ac:dyDescent="0.3">
      <c r="K269" t="str">
        <f>IF($D269="","",IFERROR(INDEX(Mapping!$H$3:$H$32,MATCH($B269,Mapping!$G$3:$G$32,0)),IF(LEFT($F269,3)="P2P",IFERROR(INDEX(Mapping!$E$3:$E$6,MATCH($G269,Mapping!$D$3:$D$6,0)),IFERROR(INDEX(Mapping!$B$3:$B$13,MATCH($J269,Mapping!$A$3:$A$13,0)),"(unmapped)")),IFERROR(INDEX(Mapping!$B$17:$B$22,MATCH($F269,Mapping!$A$17:$A$22,0)),$F269)&amp;" "&amp;IF($G269="Banking","Banking",IFERROR(INDEX(Mapping!$E$17:$E$28,MATCH($J269,Mapping!$D$17:$D$28,0)),"(unmapped)")))))</f>
        <v/>
      </c>
    </row>
    <row r="270" spans="11:11" x14ac:dyDescent="0.3">
      <c r="K270" t="str">
        <f>IF($D270="","",IFERROR(INDEX(Mapping!$H$3:$H$32,MATCH($B270,Mapping!$G$3:$G$32,0)),IF(LEFT($F270,3)="P2P",IFERROR(INDEX(Mapping!$E$3:$E$6,MATCH($G270,Mapping!$D$3:$D$6,0)),IFERROR(INDEX(Mapping!$B$3:$B$13,MATCH($J270,Mapping!$A$3:$A$13,0)),"(unmapped)")),IFERROR(INDEX(Mapping!$B$17:$B$22,MATCH($F270,Mapping!$A$17:$A$22,0)),$F270)&amp;" "&amp;IF($G270="Banking","Banking",IFERROR(INDEX(Mapping!$E$17:$E$28,MATCH($J270,Mapping!$D$17:$D$28,0)),"(unmapped)")))))</f>
        <v/>
      </c>
    </row>
    <row r="271" spans="11:11" x14ac:dyDescent="0.3">
      <c r="K271" t="str">
        <f>IF($D271="","",IFERROR(INDEX(Mapping!$H$3:$H$32,MATCH($B271,Mapping!$G$3:$G$32,0)),IF(LEFT($F271,3)="P2P",IFERROR(INDEX(Mapping!$E$3:$E$6,MATCH($G271,Mapping!$D$3:$D$6,0)),IFERROR(INDEX(Mapping!$B$3:$B$13,MATCH($J271,Mapping!$A$3:$A$13,0)),"(unmapped)")),IFERROR(INDEX(Mapping!$B$17:$B$22,MATCH($F271,Mapping!$A$17:$A$22,0)),$F271)&amp;" "&amp;IF($G271="Banking","Banking",IFERROR(INDEX(Mapping!$E$17:$E$28,MATCH($J271,Mapping!$D$17:$D$28,0)),"(unmapped)")))))</f>
        <v/>
      </c>
    </row>
    <row r="272" spans="11:11" x14ac:dyDescent="0.3">
      <c r="K272" t="str">
        <f>IF($D272="","",IFERROR(INDEX(Mapping!$H$3:$H$32,MATCH($B272,Mapping!$G$3:$G$32,0)),IF(LEFT($F272,3)="P2P",IFERROR(INDEX(Mapping!$E$3:$E$6,MATCH($G272,Mapping!$D$3:$D$6,0)),IFERROR(INDEX(Mapping!$B$3:$B$13,MATCH($J272,Mapping!$A$3:$A$13,0)),"(unmapped)")),IFERROR(INDEX(Mapping!$B$17:$B$22,MATCH($F272,Mapping!$A$17:$A$22,0)),$F272)&amp;" "&amp;IF($G272="Banking","Banking",IFERROR(INDEX(Mapping!$E$17:$E$28,MATCH($J272,Mapping!$D$17:$D$28,0)),"(unmapped)")))))</f>
        <v/>
      </c>
    </row>
    <row r="273" spans="11:11" x14ac:dyDescent="0.3">
      <c r="K273" t="str">
        <f>IF($D273="","",IFERROR(INDEX(Mapping!$H$3:$H$32,MATCH($B273,Mapping!$G$3:$G$32,0)),IF(LEFT($F273,3)="P2P",IFERROR(INDEX(Mapping!$E$3:$E$6,MATCH($G273,Mapping!$D$3:$D$6,0)),IFERROR(INDEX(Mapping!$B$3:$B$13,MATCH($J273,Mapping!$A$3:$A$13,0)),"(unmapped)")),IFERROR(INDEX(Mapping!$B$17:$B$22,MATCH($F273,Mapping!$A$17:$A$22,0)),$F273)&amp;" "&amp;IF($G273="Banking","Banking",IFERROR(INDEX(Mapping!$E$17:$E$28,MATCH($J273,Mapping!$D$17:$D$28,0)),"(unmapped)")))))</f>
        <v/>
      </c>
    </row>
    <row r="274" spans="11:11" x14ac:dyDescent="0.3">
      <c r="K274" t="str">
        <f>IF($D274="","",IFERROR(INDEX(Mapping!$H$3:$H$32,MATCH($B274,Mapping!$G$3:$G$32,0)),IF(LEFT($F274,3)="P2P",IFERROR(INDEX(Mapping!$E$3:$E$6,MATCH($G274,Mapping!$D$3:$D$6,0)),IFERROR(INDEX(Mapping!$B$3:$B$13,MATCH($J274,Mapping!$A$3:$A$13,0)),"(unmapped)")),IFERROR(INDEX(Mapping!$B$17:$B$22,MATCH($F274,Mapping!$A$17:$A$22,0)),$F274)&amp;" "&amp;IF($G274="Banking","Banking",IFERROR(INDEX(Mapping!$E$17:$E$28,MATCH($J274,Mapping!$D$17:$D$28,0)),"(unmapped)")))))</f>
        <v/>
      </c>
    </row>
    <row r="275" spans="11:11" x14ac:dyDescent="0.3">
      <c r="K275" t="str">
        <f>IF($D275="","",IFERROR(INDEX(Mapping!$H$3:$H$32,MATCH($B275,Mapping!$G$3:$G$32,0)),IF(LEFT($F275,3)="P2P",IFERROR(INDEX(Mapping!$E$3:$E$6,MATCH($G275,Mapping!$D$3:$D$6,0)),IFERROR(INDEX(Mapping!$B$3:$B$13,MATCH($J275,Mapping!$A$3:$A$13,0)),"(unmapped)")),IFERROR(INDEX(Mapping!$B$17:$B$22,MATCH($F275,Mapping!$A$17:$A$22,0)),$F275)&amp;" "&amp;IF($G275="Banking","Banking",IFERROR(INDEX(Mapping!$E$17:$E$28,MATCH($J275,Mapping!$D$17:$D$28,0)),"(unmapped)")))))</f>
        <v/>
      </c>
    </row>
    <row r="276" spans="11:11" x14ac:dyDescent="0.3">
      <c r="K276" t="str">
        <f>IF($D276="","",IFERROR(INDEX(Mapping!$H$3:$H$32,MATCH($B276,Mapping!$G$3:$G$32,0)),IF(LEFT($F276,3)="P2P",IFERROR(INDEX(Mapping!$E$3:$E$6,MATCH($G276,Mapping!$D$3:$D$6,0)),IFERROR(INDEX(Mapping!$B$3:$B$13,MATCH($J276,Mapping!$A$3:$A$13,0)),"(unmapped)")),IFERROR(INDEX(Mapping!$B$17:$B$22,MATCH($F276,Mapping!$A$17:$A$22,0)),$F276)&amp;" "&amp;IF($G276="Banking","Banking",IFERROR(INDEX(Mapping!$E$17:$E$28,MATCH($J276,Mapping!$D$17:$D$28,0)),"(unmapped)")))))</f>
        <v/>
      </c>
    </row>
    <row r="277" spans="11:11" x14ac:dyDescent="0.3">
      <c r="K277" t="str">
        <f>IF($D277="","",IFERROR(INDEX(Mapping!$H$3:$H$32,MATCH($B277,Mapping!$G$3:$G$32,0)),IF(LEFT($F277,3)="P2P",IFERROR(INDEX(Mapping!$E$3:$E$6,MATCH($G277,Mapping!$D$3:$D$6,0)),IFERROR(INDEX(Mapping!$B$3:$B$13,MATCH($J277,Mapping!$A$3:$A$13,0)),"(unmapped)")),IFERROR(INDEX(Mapping!$B$17:$B$22,MATCH($F277,Mapping!$A$17:$A$22,0)),$F277)&amp;" "&amp;IF($G277="Banking","Banking",IFERROR(INDEX(Mapping!$E$17:$E$28,MATCH($J277,Mapping!$D$17:$D$28,0)),"(unmapped)")))))</f>
        <v/>
      </c>
    </row>
    <row r="278" spans="11:11" x14ac:dyDescent="0.3">
      <c r="K278" t="str">
        <f>IF($D278="","",IFERROR(INDEX(Mapping!$H$3:$H$32,MATCH($B278,Mapping!$G$3:$G$32,0)),IF(LEFT($F278,3)="P2P",IFERROR(INDEX(Mapping!$E$3:$E$6,MATCH($G278,Mapping!$D$3:$D$6,0)),IFERROR(INDEX(Mapping!$B$3:$B$13,MATCH($J278,Mapping!$A$3:$A$13,0)),"(unmapped)")),IFERROR(INDEX(Mapping!$B$17:$B$22,MATCH($F278,Mapping!$A$17:$A$22,0)),$F278)&amp;" "&amp;IF($G278="Banking","Banking",IFERROR(INDEX(Mapping!$E$17:$E$28,MATCH($J278,Mapping!$D$17:$D$28,0)),"(unmapped)")))))</f>
        <v/>
      </c>
    </row>
    <row r="279" spans="11:11" x14ac:dyDescent="0.3">
      <c r="K279" t="str">
        <f>IF($D279="","",IFERROR(INDEX(Mapping!$H$3:$H$32,MATCH($B279,Mapping!$G$3:$G$32,0)),IF(LEFT($F279,3)="P2P",IFERROR(INDEX(Mapping!$E$3:$E$6,MATCH($G279,Mapping!$D$3:$D$6,0)),IFERROR(INDEX(Mapping!$B$3:$B$13,MATCH($J279,Mapping!$A$3:$A$13,0)),"(unmapped)")),IFERROR(INDEX(Mapping!$B$17:$B$22,MATCH($F279,Mapping!$A$17:$A$22,0)),$F279)&amp;" "&amp;IF($G279="Banking","Banking",IFERROR(INDEX(Mapping!$E$17:$E$28,MATCH($J279,Mapping!$D$17:$D$28,0)),"(unmapped)")))))</f>
        <v/>
      </c>
    </row>
    <row r="280" spans="11:11" x14ac:dyDescent="0.3">
      <c r="K280" t="str">
        <f>IF($D280="","",IFERROR(INDEX(Mapping!$H$3:$H$32,MATCH($B280,Mapping!$G$3:$G$32,0)),IF(LEFT($F280,3)="P2P",IFERROR(INDEX(Mapping!$E$3:$E$6,MATCH($G280,Mapping!$D$3:$D$6,0)),IFERROR(INDEX(Mapping!$B$3:$B$13,MATCH($J280,Mapping!$A$3:$A$13,0)),"(unmapped)")),IFERROR(INDEX(Mapping!$B$17:$B$22,MATCH($F280,Mapping!$A$17:$A$22,0)),$F280)&amp;" "&amp;IF($G280="Banking","Banking",IFERROR(INDEX(Mapping!$E$17:$E$28,MATCH($J280,Mapping!$D$17:$D$28,0)),"(unmapped)")))))</f>
        <v/>
      </c>
    </row>
    <row r="281" spans="11:11" x14ac:dyDescent="0.3">
      <c r="K281" t="str">
        <f>IF($D281="","",IFERROR(INDEX(Mapping!$H$3:$H$32,MATCH($B281,Mapping!$G$3:$G$32,0)),IF(LEFT($F281,3)="P2P",IFERROR(INDEX(Mapping!$E$3:$E$6,MATCH($G281,Mapping!$D$3:$D$6,0)),IFERROR(INDEX(Mapping!$B$3:$B$13,MATCH($J281,Mapping!$A$3:$A$13,0)),"(unmapped)")),IFERROR(INDEX(Mapping!$B$17:$B$22,MATCH($F281,Mapping!$A$17:$A$22,0)),$F281)&amp;" "&amp;IF($G281="Banking","Banking",IFERROR(INDEX(Mapping!$E$17:$E$28,MATCH($J281,Mapping!$D$17:$D$28,0)),"(unmapped)")))))</f>
        <v/>
      </c>
    </row>
    <row r="282" spans="11:11" x14ac:dyDescent="0.3">
      <c r="K282" t="str">
        <f>IF($D282="","",IFERROR(INDEX(Mapping!$H$3:$H$32,MATCH($B282,Mapping!$G$3:$G$32,0)),IF(LEFT($F282,3)="P2P",IFERROR(INDEX(Mapping!$E$3:$E$6,MATCH($G282,Mapping!$D$3:$D$6,0)),IFERROR(INDEX(Mapping!$B$3:$B$13,MATCH($J282,Mapping!$A$3:$A$13,0)),"(unmapped)")),IFERROR(INDEX(Mapping!$B$17:$B$22,MATCH($F282,Mapping!$A$17:$A$22,0)),$F282)&amp;" "&amp;IF($G282="Banking","Banking",IFERROR(INDEX(Mapping!$E$17:$E$28,MATCH($J282,Mapping!$D$17:$D$28,0)),"(unmapped)")))))</f>
        <v/>
      </c>
    </row>
    <row r="283" spans="11:11" x14ac:dyDescent="0.3">
      <c r="K283" t="str">
        <f>IF($D283="","",IFERROR(INDEX(Mapping!$H$3:$H$32,MATCH($B283,Mapping!$G$3:$G$32,0)),IF(LEFT($F283,3)="P2P",IFERROR(INDEX(Mapping!$E$3:$E$6,MATCH($G283,Mapping!$D$3:$D$6,0)),IFERROR(INDEX(Mapping!$B$3:$B$13,MATCH($J283,Mapping!$A$3:$A$13,0)),"(unmapped)")),IFERROR(INDEX(Mapping!$B$17:$B$22,MATCH($F283,Mapping!$A$17:$A$22,0)),$F283)&amp;" "&amp;IF($G283="Banking","Banking",IFERROR(INDEX(Mapping!$E$17:$E$28,MATCH($J283,Mapping!$D$17:$D$28,0)),"(unmapped)")))))</f>
        <v/>
      </c>
    </row>
    <row r="284" spans="11:11" x14ac:dyDescent="0.3">
      <c r="K284" t="str">
        <f>IF($D284="","",IFERROR(INDEX(Mapping!$H$3:$H$32,MATCH($B284,Mapping!$G$3:$G$32,0)),IF(LEFT($F284,3)="P2P",IFERROR(INDEX(Mapping!$E$3:$E$6,MATCH($G284,Mapping!$D$3:$D$6,0)),IFERROR(INDEX(Mapping!$B$3:$B$13,MATCH($J284,Mapping!$A$3:$A$13,0)),"(unmapped)")),IFERROR(INDEX(Mapping!$B$17:$B$22,MATCH($F284,Mapping!$A$17:$A$22,0)),$F284)&amp;" "&amp;IF($G284="Banking","Banking",IFERROR(INDEX(Mapping!$E$17:$E$28,MATCH($J284,Mapping!$D$17:$D$28,0)),"(unmapped)")))))</f>
        <v/>
      </c>
    </row>
    <row r="285" spans="11:11" x14ac:dyDescent="0.3">
      <c r="K285" t="str">
        <f>IF($D285="","",IFERROR(INDEX(Mapping!$H$3:$H$32,MATCH($B285,Mapping!$G$3:$G$32,0)),IF(LEFT($F285,3)="P2P",IFERROR(INDEX(Mapping!$E$3:$E$6,MATCH($G285,Mapping!$D$3:$D$6,0)),IFERROR(INDEX(Mapping!$B$3:$B$13,MATCH($J285,Mapping!$A$3:$A$13,0)),"(unmapped)")),IFERROR(INDEX(Mapping!$B$17:$B$22,MATCH($F285,Mapping!$A$17:$A$22,0)),$F285)&amp;" "&amp;IF($G285="Banking","Banking",IFERROR(INDEX(Mapping!$E$17:$E$28,MATCH($J285,Mapping!$D$17:$D$28,0)),"(unmapped)")))))</f>
        <v/>
      </c>
    </row>
    <row r="286" spans="11:11" x14ac:dyDescent="0.3">
      <c r="K286" t="str">
        <f>IF($D286="","",IFERROR(INDEX(Mapping!$H$3:$H$32,MATCH($B286,Mapping!$G$3:$G$32,0)),IF(LEFT($F286,3)="P2P",IFERROR(INDEX(Mapping!$E$3:$E$6,MATCH($G286,Mapping!$D$3:$D$6,0)),IFERROR(INDEX(Mapping!$B$3:$B$13,MATCH($J286,Mapping!$A$3:$A$13,0)),"(unmapped)")),IFERROR(INDEX(Mapping!$B$17:$B$22,MATCH($F286,Mapping!$A$17:$A$22,0)),$F286)&amp;" "&amp;IF($G286="Banking","Banking",IFERROR(INDEX(Mapping!$E$17:$E$28,MATCH($J286,Mapping!$D$17:$D$28,0)),"(unmapped)")))))</f>
        <v/>
      </c>
    </row>
    <row r="287" spans="11:11" x14ac:dyDescent="0.3">
      <c r="K287" t="str">
        <f>IF($D287="","",IFERROR(INDEX(Mapping!$H$3:$H$32,MATCH($B287,Mapping!$G$3:$G$32,0)),IF(LEFT($F287,3)="P2P",IFERROR(INDEX(Mapping!$E$3:$E$6,MATCH($G287,Mapping!$D$3:$D$6,0)),IFERROR(INDEX(Mapping!$B$3:$B$13,MATCH($J287,Mapping!$A$3:$A$13,0)),"(unmapped)")),IFERROR(INDEX(Mapping!$B$17:$B$22,MATCH($F287,Mapping!$A$17:$A$22,0)),$F287)&amp;" "&amp;IF($G287="Banking","Banking",IFERROR(INDEX(Mapping!$E$17:$E$28,MATCH($J287,Mapping!$D$17:$D$28,0)),"(unmapped)")))))</f>
        <v/>
      </c>
    </row>
    <row r="288" spans="11:11" x14ac:dyDescent="0.3">
      <c r="K288" t="str">
        <f>IF($D288="","",IFERROR(INDEX(Mapping!$H$3:$H$32,MATCH($B288,Mapping!$G$3:$G$32,0)),IF(LEFT($F288,3)="P2P",IFERROR(INDEX(Mapping!$E$3:$E$6,MATCH($G288,Mapping!$D$3:$D$6,0)),IFERROR(INDEX(Mapping!$B$3:$B$13,MATCH($J288,Mapping!$A$3:$A$13,0)),"(unmapped)")),IFERROR(INDEX(Mapping!$B$17:$B$22,MATCH($F288,Mapping!$A$17:$A$22,0)),$F288)&amp;" "&amp;IF($G288="Banking","Banking",IFERROR(INDEX(Mapping!$E$17:$E$28,MATCH($J288,Mapping!$D$17:$D$28,0)),"(unmapped)")))))</f>
        <v/>
      </c>
    </row>
    <row r="289" spans="11:11" x14ac:dyDescent="0.3">
      <c r="K289" t="str">
        <f>IF($D289="","",IFERROR(INDEX(Mapping!$H$3:$H$32,MATCH($B289,Mapping!$G$3:$G$32,0)),IF(LEFT($F289,3)="P2P",IFERROR(INDEX(Mapping!$E$3:$E$6,MATCH($G289,Mapping!$D$3:$D$6,0)),IFERROR(INDEX(Mapping!$B$3:$B$13,MATCH($J289,Mapping!$A$3:$A$13,0)),"(unmapped)")),IFERROR(INDEX(Mapping!$B$17:$B$22,MATCH($F289,Mapping!$A$17:$A$22,0)),$F289)&amp;" "&amp;IF($G289="Banking","Banking",IFERROR(INDEX(Mapping!$E$17:$E$28,MATCH($J289,Mapping!$D$17:$D$28,0)),"(unmapped)")))))</f>
        <v/>
      </c>
    </row>
    <row r="290" spans="11:11" x14ac:dyDescent="0.3">
      <c r="K290" t="str">
        <f>IF($D290="","",IFERROR(INDEX(Mapping!$H$3:$H$32,MATCH($B290,Mapping!$G$3:$G$32,0)),IF(LEFT($F290,3)="P2P",IFERROR(INDEX(Mapping!$E$3:$E$6,MATCH($G290,Mapping!$D$3:$D$6,0)),IFERROR(INDEX(Mapping!$B$3:$B$13,MATCH($J290,Mapping!$A$3:$A$13,0)),"(unmapped)")),IFERROR(INDEX(Mapping!$B$17:$B$22,MATCH($F290,Mapping!$A$17:$A$22,0)),$F290)&amp;" "&amp;IF($G290="Banking","Banking",IFERROR(INDEX(Mapping!$E$17:$E$28,MATCH($J290,Mapping!$D$17:$D$28,0)),"(unmapped)")))))</f>
        <v/>
      </c>
    </row>
    <row r="291" spans="11:11" x14ac:dyDescent="0.3">
      <c r="K291" t="str">
        <f>IF($D291="","",IFERROR(INDEX(Mapping!$H$3:$H$32,MATCH($B291,Mapping!$G$3:$G$32,0)),IF(LEFT($F291,3)="P2P",IFERROR(INDEX(Mapping!$E$3:$E$6,MATCH($G291,Mapping!$D$3:$D$6,0)),IFERROR(INDEX(Mapping!$B$3:$B$13,MATCH($J291,Mapping!$A$3:$A$13,0)),"(unmapped)")),IFERROR(INDEX(Mapping!$B$17:$B$22,MATCH($F291,Mapping!$A$17:$A$22,0)),$F291)&amp;" "&amp;IF($G291="Banking","Banking",IFERROR(INDEX(Mapping!$E$17:$E$28,MATCH($J291,Mapping!$D$17:$D$28,0)),"(unmapped)")))))</f>
        <v/>
      </c>
    </row>
    <row r="292" spans="11:11" x14ac:dyDescent="0.3">
      <c r="K292" t="str">
        <f>IF($D292="","",IFERROR(INDEX(Mapping!$H$3:$H$32,MATCH($B292,Mapping!$G$3:$G$32,0)),IF(LEFT($F292,3)="P2P",IFERROR(INDEX(Mapping!$E$3:$E$6,MATCH($G292,Mapping!$D$3:$D$6,0)),IFERROR(INDEX(Mapping!$B$3:$B$13,MATCH($J292,Mapping!$A$3:$A$13,0)),"(unmapped)")),IFERROR(INDEX(Mapping!$B$17:$B$22,MATCH($F292,Mapping!$A$17:$A$22,0)),$F292)&amp;" "&amp;IF($G292="Banking","Banking",IFERROR(INDEX(Mapping!$E$17:$E$28,MATCH($J292,Mapping!$D$17:$D$28,0)),"(unmapped)")))))</f>
        <v/>
      </c>
    </row>
    <row r="293" spans="11:11" x14ac:dyDescent="0.3">
      <c r="K293" t="str">
        <f>IF($D293="","",IFERROR(INDEX(Mapping!$H$3:$H$32,MATCH($B293,Mapping!$G$3:$G$32,0)),IF(LEFT($F293,3)="P2P",IFERROR(INDEX(Mapping!$E$3:$E$6,MATCH($G293,Mapping!$D$3:$D$6,0)),IFERROR(INDEX(Mapping!$B$3:$B$13,MATCH($J293,Mapping!$A$3:$A$13,0)),"(unmapped)")),IFERROR(INDEX(Mapping!$B$17:$B$22,MATCH($F293,Mapping!$A$17:$A$22,0)),$F293)&amp;" "&amp;IF($G293="Banking","Banking",IFERROR(INDEX(Mapping!$E$17:$E$28,MATCH($J293,Mapping!$D$17:$D$28,0)),"(unmapped)")))))</f>
        <v/>
      </c>
    </row>
    <row r="294" spans="11:11" x14ac:dyDescent="0.3">
      <c r="K294" t="str">
        <f>IF($D294="","",IFERROR(INDEX(Mapping!$H$3:$H$32,MATCH($B294,Mapping!$G$3:$G$32,0)),IF(LEFT($F294,3)="P2P",IFERROR(INDEX(Mapping!$E$3:$E$6,MATCH($G294,Mapping!$D$3:$D$6,0)),IFERROR(INDEX(Mapping!$B$3:$B$13,MATCH($J294,Mapping!$A$3:$A$13,0)),"(unmapped)")),IFERROR(INDEX(Mapping!$B$17:$B$22,MATCH($F294,Mapping!$A$17:$A$22,0)),$F294)&amp;" "&amp;IF($G294="Banking","Banking",IFERROR(INDEX(Mapping!$E$17:$E$28,MATCH($J294,Mapping!$D$17:$D$28,0)),"(unmapped)")))))</f>
        <v/>
      </c>
    </row>
    <row r="295" spans="11:11" x14ac:dyDescent="0.3">
      <c r="K295" t="str">
        <f>IF($D295="","",IFERROR(INDEX(Mapping!$H$3:$H$32,MATCH($B295,Mapping!$G$3:$G$32,0)),IF(LEFT($F295,3)="P2P",IFERROR(INDEX(Mapping!$E$3:$E$6,MATCH($G295,Mapping!$D$3:$D$6,0)),IFERROR(INDEX(Mapping!$B$3:$B$13,MATCH($J295,Mapping!$A$3:$A$13,0)),"(unmapped)")),IFERROR(INDEX(Mapping!$B$17:$B$22,MATCH($F295,Mapping!$A$17:$A$22,0)),$F295)&amp;" "&amp;IF($G295="Banking","Banking",IFERROR(INDEX(Mapping!$E$17:$E$28,MATCH($J295,Mapping!$D$17:$D$28,0)),"(unmapped)")))))</f>
        <v/>
      </c>
    </row>
    <row r="296" spans="11:11" x14ac:dyDescent="0.3">
      <c r="K296" t="str">
        <f>IF($D296="","",IFERROR(INDEX(Mapping!$H$3:$H$32,MATCH($B296,Mapping!$G$3:$G$32,0)),IF(LEFT($F296,3)="P2P",IFERROR(INDEX(Mapping!$E$3:$E$6,MATCH($G296,Mapping!$D$3:$D$6,0)),IFERROR(INDEX(Mapping!$B$3:$B$13,MATCH($J296,Mapping!$A$3:$A$13,0)),"(unmapped)")),IFERROR(INDEX(Mapping!$B$17:$B$22,MATCH($F296,Mapping!$A$17:$A$22,0)),$F296)&amp;" "&amp;IF($G296="Banking","Banking",IFERROR(INDEX(Mapping!$E$17:$E$28,MATCH($J296,Mapping!$D$17:$D$28,0)),"(unmapped)")))))</f>
        <v/>
      </c>
    </row>
    <row r="297" spans="11:11" x14ac:dyDescent="0.3">
      <c r="K297" t="str">
        <f>IF($D297="","",IFERROR(INDEX(Mapping!$H$3:$H$32,MATCH($B297,Mapping!$G$3:$G$32,0)),IF(LEFT($F297,3)="P2P",IFERROR(INDEX(Mapping!$E$3:$E$6,MATCH($G297,Mapping!$D$3:$D$6,0)),IFERROR(INDEX(Mapping!$B$3:$B$13,MATCH($J297,Mapping!$A$3:$A$13,0)),"(unmapped)")),IFERROR(INDEX(Mapping!$B$17:$B$22,MATCH($F297,Mapping!$A$17:$A$22,0)),$F297)&amp;" "&amp;IF($G297="Banking","Banking",IFERROR(INDEX(Mapping!$E$17:$E$28,MATCH($J297,Mapping!$D$17:$D$28,0)),"(unmapped)")))))</f>
        <v/>
      </c>
    </row>
    <row r="298" spans="11:11" x14ac:dyDescent="0.3">
      <c r="K298" t="str">
        <f>IF($D298="","",IFERROR(INDEX(Mapping!$H$3:$H$32,MATCH($B298,Mapping!$G$3:$G$32,0)),IF(LEFT($F298,3)="P2P",IFERROR(INDEX(Mapping!$E$3:$E$6,MATCH($G298,Mapping!$D$3:$D$6,0)),IFERROR(INDEX(Mapping!$B$3:$B$13,MATCH($J298,Mapping!$A$3:$A$13,0)),"(unmapped)")),IFERROR(INDEX(Mapping!$B$17:$B$22,MATCH($F298,Mapping!$A$17:$A$22,0)),$F298)&amp;" "&amp;IF($G298="Banking","Banking",IFERROR(INDEX(Mapping!$E$17:$E$28,MATCH($J298,Mapping!$D$17:$D$28,0)),"(unmapped)")))))</f>
        <v/>
      </c>
    </row>
    <row r="299" spans="11:11" x14ac:dyDescent="0.3">
      <c r="K299" t="str">
        <f>IF($D299="","",IFERROR(INDEX(Mapping!$H$3:$H$32,MATCH($B299,Mapping!$G$3:$G$32,0)),IF(LEFT($F299,3)="P2P",IFERROR(INDEX(Mapping!$E$3:$E$6,MATCH($G299,Mapping!$D$3:$D$6,0)),IFERROR(INDEX(Mapping!$B$3:$B$13,MATCH($J299,Mapping!$A$3:$A$13,0)),"(unmapped)")),IFERROR(INDEX(Mapping!$B$17:$B$22,MATCH($F299,Mapping!$A$17:$A$22,0)),$F299)&amp;" "&amp;IF($G299="Banking","Banking",IFERROR(INDEX(Mapping!$E$17:$E$28,MATCH($J299,Mapping!$D$17:$D$28,0)),"(unmapped)")))))</f>
        <v/>
      </c>
    </row>
    <row r="300" spans="11:11" x14ac:dyDescent="0.3">
      <c r="K300" t="str">
        <f>IF($D300="","",IFERROR(INDEX(Mapping!$H$3:$H$32,MATCH($B300,Mapping!$G$3:$G$32,0)),IF(LEFT($F300,3)="P2P",IFERROR(INDEX(Mapping!$E$3:$E$6,MATCH($G300,Mapping!$D$3:$D$6,0)),IFERROR(INDEX(Mapping!$B$3:$B$13,MATCH($J300,Mapping!$A$3:$A$13,0)),"(unmapped)")),IFERROR(INDEX(Mapping!$B$17:$B$22,MATCH($F300,Mapping!$A$17:$A$22,0)),$F300)&amp;" "&amp;IF($G300="Banking","Banking",IFERROR(INDEX(Mapping!$E$17:$E$28,MATCH($J300,Mapping!$D$17:$D$28,0)),"(unmapped)")))))</f>
        <v/>
      </c>
    </row>
    <row r="301" spans="11:11" x14ac:dyDescent="0.3">
      <c r="K301" t="str">
        <f>IF($D301="","",IFERROR(INDEX(Mapping!$H$3:$H$32,MATCH($B301,Mapping!$G$3:$G$32,0)),IF(LEFT($F301,3)="P2P",IFERROR(INDEX(Mapping!$E$3:$E$6,MATCH($G301,Mapping!$D$3:$D$6,0)),IFERROR(INDEX(Mapping!$B$3:$B$13,MATCH($J301,Mapping!$A$3:$A$13,0)),"(unmapped)")),IFERROR(INDEX(Mapping!$B$17:$B$22,MATCH($F301,Mapping!$A$17:$A$22,0)),$F301)&amp;" "&amp;IF($G301="Banking","Banking",IFERROR(INDEX(Mapping!$E$17:$E$28,MATCH($J301,Mapping!$D$17:$D$28,0)),"(unmapped)")))))</f>
        <v/>
      </c>
    </row>
    <row r="302" spans="11:11" x14ac:dyDescent="0.3">
      <c r="K302" t="str">
        <f>IF($D302="","",IFERROR(INDEX(Mapping!$H$3:$H$32,MATCH($B302,Mapping!$G$3:$G$32,0)),IF(LEFT($F302,3)="P2P",IFERROR(INDEX(Mapping!$E$3:$E$6,MATCH($G302,Mapping!$D$3:$D$6,0)),IFERROR(INDEX(Mapping!$B$3:$B$13,MATCH($J302,Mapping!$A$3:$A$13,0)),"(unmapped)")),IFERROR(INDEX(Mapping!$B$17:$B$22,MATCH($F302,Mapping!$A$17:$A$22,0)),$F302)&amp;" "&amp;IF($G302="Banking","Banking",IFERROR(INDEX(Mapping!$E$17:$E$28,MATCH($J302,Mapping!$D$17:$D$28,0)),"(unmapped)")))))</f>
        <v/>
      </c>
    </row>
    <row r="303" spans="11:11" x14ac:dyDescent="0.3">
      <c r="K303" t="str">
        <f>IF($D303="","",IFERROR(INDEX(Mapping!$H$3:$H$32,MATCH($B303,Mapping!$G$3:$G$32,0)),IF(LEFT($F303,3)="P2P",IFERROR(INDEX(Mapping!$E$3:$E$6,MATCH($G303,Mapping!$D$3:$D$6,0)),IFERROR(INDEX(Mapping!$B$3:$B$13,MATCH($J303,Mapping!$A$3:$A$13,0)),"(unmapped)")),IFERROR(INDEX(Mapping!$B$17:$B$22,MATCH($F303,Mapping!$A$17:$A$22,0)),$F303)&amp;" "&amp;IF($G303="Banking","Banking",IFERROR(INDEX(Mapping!$E$17:$E$28,MATCH($J303,Mapping!$D$17:$D$28,0)),"(unmapped)")))))</f>
        <v/>
      </c>
    </row>
    <row r="304" spans="11:11" x14ac:dyDescent="0.3">
      <c r="K304" t="str">
        <f>IF($D304="","",IFERROR(INDEX(Mapping!$H$3:$H$32,MATCH($B304,Mapping!$G$3:$G$32,0)),IF(LEFT($F304,3)="P2P",IFERROR(INDEX(Mapping!$E$3:$E$6,MATCH($G304,Mapping!$D$3:$D$6,0)),IFERROR(INDEX(Mapping!$B$3:$B$13,MATCH($J304,Mapping!$A$3:$A$13,0)),"(unmapped)")),IFERROR(INDEX(Mapping!$B$17:$B$22,MATCH($F304,Mapping!$A$17:$A$22,0)),$F304)&amp;" "&amp;IF($G304="Banking","Banking",IFERROR(INDEX(Mapping!$E$17:$E$28,MATCH($J304,Mapping!$D$17:$D$28,0)),"(unmapped)")))))</f>
        <v/>
      </c>
    </row>
    <row r="305" spans="11:11" x14ac:dyDescent="0.3">
      <c r="K305" t="str">
        <f>IF($D305="","",IFERROR(INDEX(Mapping!$H$3:$H$32,MATCH($B305,Mapping!$G$3:$G$32,0)),IF(LEFT($F305,3)="P2P",IFERROR(INDEX(Mapping!$E$3:$E$6,MATCH($G305,Mapping!$D$3:$D$6,0)),IFERROR(INDEX(Mapping!$B$3:$B$13,MATCH($J305,Mapping!$A$3:$A$13,0)),"(unmapped)")),IFERROR(INDEX(Mapping!$B$17:$B$22,MATCH($F305,Mapping!$A$17:$A$22,0)),$F305)&amp;" "&amp;IF($G305="Banking","Banking",IFERROR(INDEX(Mapping!$E$17:$E$28,MATCH($J305,Mapping!$D$17:$D$28,0)),"(unmapped)")))))</f>
        <v/>
      </c>
    </row>
    <row r="306" spans="11:11" x14ac:dyDescent="0.3">
      <c r="K306" t="str">
        <f>IF($D306="","",IFERROR(INDEX(Mapping!$H$3:$H$32,MATCH($B306,Mapping!$G$3:$G$32,0)),IF(LEFT($F306,3)="P2P",IFERROR(INDEX(Mapping!$E$3:$E$6,MATCH($G306,Mapping!$D$3:$D$6,0)),IFERROR(INDEX(Mapping!$B$3:$B$13,MATCH($J306,Mapping!$A$3:$A$13,0)),"(unmapped)")),IFERROR(INDEX(Mapping!$B$17:$B$22,MATCH($F306,Mapping!$A$17:$A$22,0)),$F306)&amp;" "&amp;IF($G306="Banking","Banking",IFERROR(INDEX(Mapping!$E$17:$E$28,MATCH($J306,Mapping!$D$17:$D$28,0)),"(unmapped)")))))</f>
        <v/>
      </c>
    </row>
    <row r="307" spans="11:11" x14ac:dyDescent="0.3">
      <c r="K307" t="str">
        <f>IF($D307="","",IFERROR(INDEX(Mapping!$H$3:$H$32,MATCH($B307,Mapping!$G$3:$G$32,0)),IF(LEFT($F307,3)="P2P",IFERROR(INDEX(Mapping!$E$3:$E$6,MATCH($G307,Mapping!$D$3:$D$6,0)),IFERROR(INDEX(Mapping!$B$3:$B$13,MATCH($J307,Mapping!$A$3:$A$13,0)),"(unmapped)")),IFERROR(INDEX(Mapping!$B$17:$B$22,MATCH($F307,Mapping!$A$17:$A$22,0)),$F307)&amp;" "&amp;IF($G307="Banking","Banking",IFERROR(INDEX(Mapping!$E$17:$E$28,MATCH($J307,Mapping!$D$17:$D$28,0)),"(unmapped)")))))</f>
        <v/>
      </c>
    </row>
    <row r="308" spans="11:11" x14ac:dyDescent="0.3">
      <c r="K308" t="str">
        <f>IF($D308="","",IFERROR(INDEX(Mapping!$H$3:$H$32,MATCH($B308,Mapping!$G$3:$G$32,0)),IF(LEFT($F308,3)="P2P",IFERROR(INDEX(Mapping!$E$3:$E$6,MATCH($G308,Mapping!$D$3:$D$6,0)),IFERROR(INDEX(Mapping!$B$3:$B$13,MATCH($J308,Mapping!$A$3:$A$13,0)),"(unmapped)")),IFERROR(INDEX(Mapping!$B$17:$B$22,MATCH($F308,Mapping!$A$17:$A$22,0)),$F308)&amp;" "&amp;IF($G308="Banking","Banking",IFERROR(INDEX(Mapping!$E$17:$E$28,MATCH($J308,Mapping!$D$17:$D$28,0)),"(unmapped)")))))</f>
        <v/>
      </c>
    </row>
    <row r="309" spans="11:11" x14ac:dyDescent="0.3">
      <c r="K309" t="str">
        <f>IF($D309="","",IFERROR(INDEX(Mapping!$H$3:$H$32,MATCH($B309,Mapping!$G$3:$G$32,0)),IF(LEFT($F309,3)="P2P",IFERROR(INDEX(Mapping!$E$3:$E$6,MATCH($G309,Mapping!$D$3:$D$6,0)),IFERROR(INDEX(Mapping!$B$3:$B$13,MATCH($J309,Mapping!$A$3:$A$13,0)),"(unmapped)")),IFERROR(INDEX(Mapping!$B$17:$B$22,MATCH($F309,Mapping!$A$17:$A$22,0)),$F309)&amp;" "&amp;IF($G309="Banking","Banking",IFERROR(INDEX(Mapping!$E$17:$E$28,MATCH($J309,Mapping!$D$17:$D$28,0)),"(unmapped)")))))</f>
        <v/>
      </c>
    </row>
    <row r="310" spans="11:11" x14ac:dyDescent="0.3">
      <c r="K310" t="str">
        <f>IF($D310="","",IFERROR(INDEX(Mapping!$H$3:$H$32,MATCH($B310,Mapping!$G$3:$G$32,0)),IF(LEFT($F310,3)="P2P",IFERROR(INDEX(Mapping!$E$3:$E$6,MATCH($G310,Mapping!$D$3:$D$6,0)),IFERROR(INDEX(Mapping!$B$3:$B$13,MATCH($J310,Mapping!$A$3:$A$13,0)),"(unmapped)")),IFERROR(INDEX(Mapping!$B$17:$B$22,MATCH($F310,Mapping!$A$17:$A$22,0)),$F310)&amp;" "&amp;IF($G310="Banking","Banking",IFERROR(INDEX(Mapping!$E$17:$E$28,MATCH($J310,Mapping!$D$17:$D$28,0)),"(unmapped)")))))</f>
        <v/>
      </c>
    </row>
    <row r="311" spans="11:11" x14ac:dyDescent="0.3">
      <c r="K311" t="str">
        <f>IF($D311="","",IFERROR(INDEX(Mapping!$H$3:$H$32,MATCH($B311,Mapping!$G$3:$G$32,0)),IF(LEFT($F311,3)="P2P",IFERROR(INDEX(Mapping!$E$3:$E$6,MATCH($G311,Mapping!$D$3:$D$6,0)),IFERROR(INDEX(Mapping!$B$3:$B$13,MATCH($J311,Mapping!$A$3:$A$13,0)),"(unmapped)")),IFERROR(INDEX(Mapping!$B$17:$B$22,MATCH($F311,Mapping!$A$17:$A$22,0)),$F311)&amp;" "&amp;IF($G311="Banking","Banking",IFERROR(INDEX(Mapping!$E$17:$E$28,MATCH($J311,Mapping!$D$17:$D$28,0)),"(unmapped)")))))</f>
        <v/>
      </c>
    </row>
    <row r="312" spans="11:11" x14ac:dyDescent="0.3">
      <c r="K312" t="str">
        <f>IF($D312="","",IFERROR(INDEX(Mapping!$H$3:$H$32,MATCH($B312,Mapping!$G$3:$G$32,0)),IF(LEFT($F312,3)="P2P",IFERROR(INDEX(Mapping!$E$3:$E$6,MATCH($G312,Mapping!$D$3:$D$6,0)),IFERROR(INDEX(Mapping!$B$3:$B$13,MATCH($J312,Mapping!$A$3:$A$13,0)),"(unmapped)")),IFERROR(INDEX(Mapping!$B$17:$B$22,MATCH($F312,Mapping!$A$17:$A$22,0)),$F312)&amp;" "&amp;IF($G312="Banking","Banking",IFERROR(INDEX(Mapping!$E$17:$E$28,MATCH($J312,Mapping!$D$17:$D$28,0)),"(unmapped)")))))</f>
        <v/>
      </c>
    </row>
    <row r="313" spans="11:11" x14ac:dyDescent="0.3">
      <c r="K313" t="str">
        <f>IF($D313="","",IFERROR(INDEX(Mapping!$H$3:$H$32,MATCH($B313,Mapping!$G$3:$G$32,0)),IF(LEFT($F313,3)="P2P",IFERROR(INDEX(Mapping!$E$3:$E$6,MATCH($G313,Mapping!$D$3:$D$6,0)),IFERROR(INDEX(Mapping!$B$3:$B$13,MATCH($J313,Mapping!$A$3:$A$13,0)),"(unmapped)")),IFERROR(INDEX(Mapping!$B$17:$B$22,MATCH($F313,Mapping!$A$17:$A$22,0)),$F313)&amp;" "&amp;IF($G313="Banking","Banking",IFERROR(INDEX(Mapping!$E$17:$E$28,MATCH($J313,Mapping!$D$17:$D$28,0)),"(unmapped)")))))</f>
        <v/>
      </c>
    </row>
    <row r="314" spans="11:11" x14ac:dyDescent="0.3">
      <c r="K314" t="str">
        <f>IF($D314="","",IFERROR(INDEX(Mapping!$H$3:$H$32,MATCH($B314,Mapping!$G$3:$G$32,0)),IF(LEFT($F314,3)="P2P",IFERROR(INDEX(Mapping!$E$3:$E$6,MATCH($G314,Mapping!$D$3:$D$6,0)),IFERROR(INDEX(Mapping!$B$3:$B$13,MATCH($J314,Mapping!$A$3:$A$13,0)),"(unmapped)")),IFERROR(INDEX(Mapping!$B$17:$B$22,MATCH($F314,Mapping!$A$17:$A$22,0)),$F314)&amp;" "&amp;IF($G314="Banking","Banking",IFERROR(INDEX(Mapping!$E$17:$E$28,MATCH($J314,Mapping!$D$17:$D$28,0)),"(unmapped)")))))</f>
        <v/>
      </c>
    </row>
    <row r="315" spans="11:11" x14ac:dyDescent="0.3">
      <c r="K315" t="str">
        <f>IF($D315="","",IFERROR(INDEX(Mapping!$H$3:$H$32,MATCH($B315,Mapping!$G$3:$G$32,0)),IF(LEFT($F315,3)="P2P",IFERROR(INDEX(Mapping!$E$3:$E$6,MATCH($G315,Mapping!$D$3:$D$6,0)),IFERROR(INDEX(Mapping!$B$3:$B$13,MATCH($J315,Mapping!$A$3:$A$13,0)),"(unmapped)")),IFERROR(INDEX(Mapping!$B$17:$B$22,MATCH($F315,Mapping!$A$17:$A$22,0)),$F315)&amp;" "&amp;IF($G315="Banking","Banking",IFERROR(INDEX(Mapping!$E$17:$E$28,MATCH($J315,Mapping!$D$17:$D$28,0)),"(unmapped)")))))</f>
        <v/>
      </c>
    </row>
    <row r="316" spans="11:11" x14ac:dyDescent="0.3">
      <c r="K316" t="str">
        <f>IF($D316="","",IFERROR(INDEX(Mapping!$H$3:$H$32,MATCH($B316,Mapping!$G$3:$G$32,0)),IF(LEFT($F316,3)="P2P",IFERROR(INDEX(Mapping!$E$3:$E$6,MATCH($G316,Mapping!$D$3:$D$6,0)),IFERROR(INDEX(Mapping!$B$3:$B$13,MATCH($J316,Mapping!$A$3:$A$13,0)),"(unmapped)")),IFERROR(INDEX(Mapping!$B$17:$B$22,MATCH($F316,Mapping!$A$17:$A$22,0)),$F316)&amp;" "&amp;IF($G316="Banking","Banking",IFERROR(INDEX(Mapping!$E$17:$E$28,MATCH($J316,Mapping!$D$17:$D$28,0)),"(unmapped)")))))</f>
        <v/>
      </c>
    </row>
    <row r="317" spans="11:11" x14ac:dyDescent="0.3">
      <c r="K317" t="str">
        <f>IF($D317="","",IFERROR(INDEX(Mapping!$H$3:$H$32,MATCH($B317,Mapping!$G$3:$G$32,0)),IF(LEFT($F317,3)="P2P",IFERROR(INDEX(Mapping!$E$3:$E$6,MATCH($G317,Mapping!$D$3:$D$6,0)),IFERROR(INDEX(Mapping!$B$3:$B$13,MATCH($J317,Mapping!$A$3:$A$13,0)),"(unmapped)")),IFERROR(INDEX(Mapping!$B$17:$B$22,MATCH($F317,Mapping!$A$17:$A$22,0)),$F317)&amp;" "&amp;IF($G317="Banking","Banking",IFERROR(INDEX(Mapping!$E$17:$E$28,MATCH($J317,Mapping!$D$17:$D$28,0)),"(unmapped)")))))</f>
        <v/>
      </c>
    </row>
    <row r="318" spans="11:11" x14ac:dyDescent="0.3">
      <c r="K318" t="str">
        <f>IF($D318="","",IFERROR(INDEX(Mapping!$H$3:$H$32,MATCH($B318,Mapping!$G$3:$G$32,0)),IF(LEFT($F318,3)="P2P",IFERROR(INDEX(Mapping!$E$3:$E$6,MATCH($G318,Mapping!$D$3:$D$6,0)),IFERROR(INDEX(Mapping!$B$3:$B$13,MATCH($J318,Mapping!$A$3:$A$13,0)),"(unmapped)")),IFERROR(INDEX(Mapping!$B$17:$B$22,MATCH($F318,Mapping!$A$17:$A$22,0)),$F318)&amp;" "&amp;IF($G318="Banking","Banking",IFERROR(INDEX(Mapping!$E$17:$E$28,MATCH($J318,Mapping!$D$17:$D$28,0)),"(unmapped)")))))</f>
        <v/>
      </c>
    </row>
    <row r="319" spans="11:11" x14ac:dyDescent="0.3">
      <c r="K319" t="str">
        <f>IF($D319="","",IFERROR(INDEX(Mapping!$H$3:$H$32,MATCH($B319,Mapping!$G$3:$G$32,0)),IF(LEFT($F319,3)="P2P",IFERROR(INDEX(Mapping!$E$3:$E$6,MATCH($G319,Mapping!$D$3:$D$6,0)),IFERROR(INDEX(Mapping!$B$3:$B$13,MATCH($J319,Mapping!$A$3:$A$13,0)),"(unmapped)")),IFERROR(INDEX(Mapping!$B$17:$B$22,MATCH($F319,Mapping!$A$17:$A$22,0)),$F319)&amp;" "&amp;IF($G319="Banking","Banking",IFERROR(INDEX(Mapping!$E$17:$E$28,MATCH($J319,Mapping!$D$17:$D$28,0)),"(unmapped)")))))</f>
        <v/>
      </c>
    </row>
    <row r="320" spans="11:11" x14ac:dyDescent="0.3">
      <c r="K320" t="str">
        <f>IF($D320="","",IFERROR(INDEX(Mapping!$H$3:$H$32,MATCH($B320,Mapping!$G$3:$G$32,0)),IF(LEFT($F320,3)="P2P",IFERROR(INDEX(Mapping!$E$3:$E$6,MATCH($G320,Mapping!$D$3:$D$6,0)),IFERROR(INDEX(Mapping!$B$3:$B$13,MATCH($J320,Mapping!$A$3:$A$13,0)),"(unmapped)")),IFERROR(INDEX(Mapping!$B$17:$B$22,MATCH($F320,Mapping!$A$17:$A$22,0)),$F320)&amp;" "&amp;IF($G320="Banking","Banking",IFERROR(INDEX(Mapping!$E$17:$E$28,MATCH($J320,Mapping!$D$17:$D$28,0)),"(unmapped)")))))</f>
        <v/>
      </c>
    </row>
    <row r="321" spans="11:11" x14ac:dyDescent="0.3">
      <c r="K321" t="str">
        <f>IF($D321="","",IFERROR(INDEX(Mapping!$H$3:$H$32,MATCH($B321,Mapping!$G$3:$G$32,0)),IF(LEFT($F321,3)="P2P",IFERROR(INDEX(Mapping!$E$3:$E$6,MATCH($G321,Mapping!$D$3:$D$6,0)),IFERROR(INDEX(Mapping!$B$3:$B$13,MATCH($J321,Mapping!$A$3:$A$13,0)),"(unmapped)")),IFERROR(INDEX(Mapping!$B$17:$B$22,MATCH($F321,Mapping!$A$17:$A$22,0)),$F321)&amp;" "&amp;IF($G321="Banking","Banking",IFERROR(INDEX(Mapping!$E$17:$E$28,MATCH($J321,Mapping!$D$17:$D$28,0)),"(unmapped)")))))</f>
        <v/>
      </c>
    </row>
    <row r="322" spans="11:11" x14ac:dyDescent="0.3">
      <c r="K322" t="str">
        <f>IF($D322="","",IFERROR(INDEX(Mapping!$H$3:$H$32,MATCH($B322,Mapping!$G$3:$G$32,0)),IF(LEFT($F322,3)="P2P",IFERROR(INDEX(Mapping!$E$3:$E$6,MATCH($G322,Mapping!$D$3:$D$6,0)),IFERROR(INDEX(Mapping!$B$3:$B$13,MATCH($J322,Mapping!$A$3:$A$13,0)),"(unmapped)")),IFERROR(INDEX(Mapping!$B$17:$B$22,MATCH($F322,Mapping!$A$17:$A$22,0)),$F322)&amp;" "&amp;IF($G322="Banking","Banking",IFERROR(INDEX(Mapping!$E$17:$E$28,MATCH($J322,Mapping!$D$17:$D$28,0)),"(unmapped)")))))</f>
        <v/>
      </c>
    </row>
    <row r="323" spans="11:11" x14ac:dyDescent="0.3">
      <c r="K323" t="str">
        <f>IF($D323="","",IFERROR(INDEX(Mapping!$H$3:$H$32,MATCH($B323,Mapping!$G$3:$G$32,0)),IF(LEFT($F323,3)="P2P",IFERROR(INDEX(Mapping!$E$3:$E$6,MATCH($G323,Mapping!$D$3:$D$6,0)),IFERROR(INDEX(Mapping!$B$3:$B$13,MATCH($J323,Mapping!$A$3:$A$13,0)),"(unmapped)")),IFERROR(INDEX(Mapping!$B$17:$B$22,MATCH($F323,Mapping!$A$17:$A$22,0)),$F323)&amp;" "&amp;IF($G323="Banking","Banking",IFERROR(INDEX(Mapping!$E$17:$E$28,MATCH($J323,Mapping!$D$17:$D$28,0)),"(unmapped)")))))</f>
        <v/>
      </c>
    </row>
    <row r="324" spans="11:11" x14ac:dyDescent="0.3">
      <c r="K324" t="str">
        <f>IF($D324="","",IFERROR(INDEX(Mapping!$H$3:$H$32,MATCH($B324,Mapping!$G$3:$G$32,0)),IF(LEFT($F324,3)="P2P",IFERROR(INDEX(Mapping!$E$3:$E$6,MATCH($G324,Mapping!$D$3:$D$6,0)),IFERROR(INDEX(Mapping!$B$3:$B$13,MATCH($J324,Mapping!$A$3:$A$13,0)),"(unmapped)")),IFERROR(INDEX(Mapping!$B$17:$B$22,MATCH($F324,Mapping!$A$17:$A$22,0)),$F324)&amp;" "&amp;IF($G324="Banking","Banking",IFERROR(INDEX(Mapping!$E$17:$E$28,MATCH($J324,Mapping!$D$17:$D$28,0)),"(unmapped)")))))</f>
        <v/>
      </c>
    </row>
    <row r="325" spans="11:11" x14ac:dyDescent="0.3">
      <c r="K325" t="str">
        <f>IF($D325="","",IFERROR(INDEX(Mapping!$H$3:$H$32,MATCH($B325,Mapping!$G$3:$G$32,0)),IF(LEFT($F325,3)="P2P",IFERROR(INDEX(Mapping!$E$3:$E$6,MATCH($G325,Mapping!$D$3:$D$6,0)),IFERROR(INDEX(Mapping!$B$3:$B$13,MATCH($J325,Mapping!$A$3:$A$13,0)),"(unmapped)")),IFERROR(INDEX(Mapping!$B$17:$B$22,MATCH($F325,Mapping!$A$17:$A$22,0)),$F325)&amp;" "&amp;IF($G325="Banking","Banking",IFERROR(INDEX(Mapping!$E$17:$E$28,MATCH($J325,Mapping!$D$17:$D$28,0)),"(unmapped)")))))</f>
        <v/>
      </c>
    </row>
    <row r="326" spans="11:11" x14ac:dyDescent="0.3">
      <c r="K326" t="str">
        <f>IF($D326="","",IFERROR(INDEX(Mapping!$H$3:$H$32,MATCH($B326,Mapping!$G$3:$G$32,0)),IF(LEFT($F326,3)="P2P",IFERROR(INDEX(Mapping!$E$3:$E$6,MATCH($G326,Mapping!$D$3:$D$6,0)),IFERROR(INDEX(Mapping!$B$3:$B$13,MATCH($J326,Mapping!$A$3:$A$13,0)),"(unmapped)")),IFERROR(INDEX(Mapping!$B$17:$B$22,MATCH($F326,Mapping!$A$17:$A$22,0)),$F326)&amp;" "&amp;IF($G326="Banking","Banking",IFERROR(INDEX(Mapping!$E$17:$E$28,MATCH($J326,Mapping!$D$17:$D$28,0)),"(unmapped)")))))</f>
        <v/>
      </c>
    </row>
    <row r="327" spans="11:11" x14ac:dyDescent="0.3">
      <c r="K327" t="str">
        <f>IF($D327="","",IFERROR(INDEX(Mapping!$H$3:$H$32,MATCH($B327,Mapping!$G$3:$G$32,0)),IF(LEFT($F327,3)="P2P",IFERROR(INDEX(Mapping!$E$3:$E$6,MATCH($G327,Mapping!$D$3:$D$6,0)),IFERROR(INDEX(Mapping!$B$3:$B$13,MATCH($J327,Mapping!$A$3:$A$13,0)),"(unmapped)")),IFERROR(INDEX(Mapping!$B$17:$B$22,MATCH($F327,Mapping!$A$17:$A$22,0)),$F327)&amp;" "&amp;IF($G327="Banking","Banking",IFERROR(INDEX(Mapping!$E$17:$E$28,MATCH($J327,Mapping!$D$17:$D$28,0)),"(unmapped)")))))</f>
        <v/>
      </c>
    </row>
    <row r="328" spans="11:11" x14ac:dyDescent="0.3">
      <c r="K328" t="str">
        <f>IF($D328="","",IFERROR(INDEX(Mapping!$H$3:$H$32,MATCH($B328,Mapping!$G$3:$G$32,0)),IF(LEFT($F328,3)="P2P",IFERROR(INDEX(Mapping!$E$3:$E$6,MATCH($G328,Mapping!$D$3:$D$6,0)),IFERROR(INDEX(Mapping!$B$3:$B$13,MATCH($J328,Mapping!$A$3:$A$13,0)),"(unmapped)")),IFERROR(INDEX(Mapping!$B$17:$B$22,MATCH($F328,Mapping!$A$17:$A$22,0)),$F328)&amp;" "&amp;IF($G328="Banking","Banking",IFERROR(INDEX(Mapping!$E$17:$E$28,MATCH($J328,Mapping!$D$17:$D$28,0)),"(unmapped)")))))</f>
        <v/>
      </c>
    </row>
    <row r="329" spans="11:11" x14ac:dyDescent="0.3">
      <c r="K329" t="str">
        <f>IF($D329="","",IFERROR(INDEX(Mapping!$H$3:$H$32,MATCH($B329,Mapping!$G$3:$G$32,0)),IF(LEFT($F329,3)="P2P",IFERROR(INDEX(Mapping!$E$3:$E$6,MATCH($G329,Mapping!$D$3:$D$6,0)),IFERROR(INDEX(Mapping!$B$3:$B$13,MATCH($J329,Mapping!$A$3:$A$13,0)),"(unmapped)")),IFERROR(INDEX(Mapping!$B$17:$B$22,MATCH($F329,Mapping!$A$17:$A$22,0)),$F329)&amp;" "&amp;IF($G329="Banking","Banking",IFERROR(INDEX(Mapping!$E$17:$E$28,MATCH($J329,Mapping!$D$17:$D$28,0)),"(unmapped)")))))</f>
        <v/>
      </c>
    </row>
    <row r="330" spans="11:11" x14ac:dyDescent="0.3">
      <c r="K330" t="str">
        <f>IF($D330="","",IFERROR(INDEX(Mapping!$H$3:$H$32,MATCH($B330,Mapping!$G$3:$G$32,0)),IF(LEFT($F330,3)="P2P",IFERROR(INDEX(Mapping!$E$3:$E$6,MATCH($G330,Mapping!$D$3:$D$6,0)),IFERROR(INDEX(Mapping!$B$3:$B$13,MATCH($J330,Mapping!$A$3:$A$13,0)),"(unmapped)")),IFERROR(INDEX(Mapping!$B$17:$B$22,MATCH($F330,Mapping!$A$17:$A$22,0)),$F330)&amp;" "&amp;IF($G330="Banking","Banking",IFERROR(INDEX(Mapping!$E$17:$E$28,MATCH($J330,Mapping!$D$17:$D$28,0)),"(unmapped)")))))</f>
        <v/>
      </c>
    </row>
    <row r="331" spans="11:11" x14ac:dyDescent="0.3">
      <c r="K331" t="str">
        <f>IF($D331="","",IFERROR(INDEX(Mapping!$H$3:$H$32,MATCH($B331,Mapping!$G$3:$G$32,0)),IF(LEFT($F331,3)="P2P",IFERROR(INDEX(Mapping!$E$3:$E$6,MATCH($G331,Mapping!$D$3:$D$6,0)),IFERROR(INDEX(Mapping!$B$3:$B$13,MATCH($J331,Mapping!$A$3:$A$13,0)),"(unmapped)")),IFERROR(INDEX(Mapping!$B$17:$B$22,MATCH($F331,Mapping!$A$17:$A$22,0)),$F331)&amp;" "&amp;IF($G331="Banking","Banking",IFERROR(INDEX(Mapping!$E$17:$E$28,MATCH($J331,Mapping!$D$17:$D$28,0)),"(unmapped)")))))</f>
        <v/>
      </c>
    </row>
    <row r="332" spans="11:11" x14ac:dyDescent="0.3">
      <c r="K332" t="str">
        <f>IF($D332="","",IFERROR(INDEX(Mapping!$H$3:$H$32,MATCH($B332,Mapping!$G$3:$G$32,0)),IF(LEFT($F332,3)="P2P",IFERROR(INDEX(Mapping!$E$3:$E$6,MATCH($G332,Mapping!$D$3:$D$6,0)),IFERROR(INDEX(Mapping!$B$3:$B$13,MATCH($J332,Mapping!$A$3:$A$13,0)),"(unmapped)")),IFERROR(INDEX(Mapping!$B$17:$B$22,MATCH($F332,Mapping!$A$17:$A$22,0)),$F332)&amp;" "&amp;IF($G332="Banking","Banking",IFERROR(INDEX(Mapping!$E$17:$E$28,MATCH($J332,Mapping!$D$17:$D$28,0)),"(unmapped)")))))</f>
        <v/>
      </c>
    </row>
    <row r="333" spans="11:11" x14ac:dyDescent="0.3">
      <c r="K333" t="str">
        <f>IF($D333="","",IFERROR(INDEX(Mapping!$H$3:$H$32,MATCH($B333,Mapping!$G$3:$G$32,0)),IF(LEFT($F333,3)="P2P",IFERROR(INDEX(Mapping!$E$3:$E$6,MATCH($G333,Mapping!$D$3:$D$6,0)),IFERROR(INDEX(Mapping!$B$3:$B$13,MATCH($J333,Mapping!$A$3:$A$13,0)),"(unmapped)")),IFERROR(INDEX(Mapping!$B$17:$B$22,MATCH($F333,Mapping!$A$17:$A$22,0)),$F333)&amp;" "&amp;IF($G333="Banking","Banking",IFERROR(INDEX(Mapping!$E$17:$E$28,MATCH($J333,Mapping!$D$17:$D$28,0)),"(unmapped)")))))</f>
        <v/>
      </c>
    </row>
    <row r="334" spans="11:11" x14ac:dyDescent="0.3">
      <c r="K334" t="str">
        <f>IF($D334="","",IFERROR(INDEX(Mapping!$H$3:$H$32,MATCH($B334,Mapping!$G$3:$G$32,0)),IF(LEFT($F334,3)="P2P",IFERROR(INDEX(Mapping!$E$3:$E$6,MATCH($G334,Mapping!$D$3:$D$6,0)),IFERROR(INDEX(Mapping!$B$3:$B$13,MATCH($J334,Mapping!$A$3:$A$13,0)),"(unmapped)")),IFERROR(INDEX(Mapping!$B$17:$B$22,MATCH($F334,Mapping!$A$17:$A$22,0)),$F334)&amp;" "&amp;IF($G334="Banking","Banking",IFERROR(INDEX(Mapping!$E$17:$E$28,MATCH($J334,Mapping!$D$17:$D$28,0)),"(unmapped)")))))</f>
        <v/>
      </c>
    </row>
    <row r="335" spans="11:11" x14ac:dyDescent="0.3">
      <c r="K335" t="str">
        <f>IF($D335="","",IFERROR(INDEX(Mapping!$H$3:$H$32,MATCH($B335,Mapping!$G$3:$G$32,0)),IF(LEFT($F335,3)="P2P",IFERROR(INDEX(Mapping!$E$3:$E$6,MATCH($G335,Mapping!$D$3:$D$6,0)),IFERROR(INDEX(Mapping!$B$3:$B$13,MATCH($J335,Mapping!$A$3:$A$13,0)),"(unmapped)")),IFERROR(INDEX(Mapping!$B$17:$B$22,MATCH($F335,Mapping!$A$17:$A$22,0)),$F335)&amp;" "&amp;IF($G335="Banking","Banking",IFERROR(INDEX(Mapping!$E$17:$E$28,MATCH($J335,Mapping!$D$17:$D$28,0)),"(unmapped)")))))</f>
        <v/>
      </c>
    </row>
    <row r="336" spans="11:11" x14ac:dyDescent="0.3">
      <c r="K336" t="str">
        <f>IF($D336="","",IFERROR(INDEX(Mapping!$H$3:$H$32,MATCH($B336,Mapping!$G$3:$G$32,0)),IF(LEFT($F336,3)="P2P",IFERROR(INDEX(Mapping!$E$3:$E$6,MATCH($G336,Mapping!$D$3:$D$6,0)),IFERROR(INDEX(Mapping!$B$3:$B$13,MATCH($J336,Mapping!$A$3:$A$13,0)),"(unmapped)")),IFERROR(INDEX(Mapping!$B$17:$B$22,MATCH($F336,Mapping!$A$17:$A$22,0)),$F336)&amp;" "&amp;IF($G336="Banking","Banking",IFERROR(INDEX(Mapping!$E$17:$E$28,MATCH($J336,Mapping!$D$17:$D$28,0)),"(unmapped)")))))</f>
        <v/>
      </c>
    </row>
    <row r="337" spans="11:11" x14ac:dyDescent="0.3">
      <c r="K337" t="str">
        <f>IF($D337="","",IFERROR(INDEX(Mapping!$H$3:$H$32,MATCH($B337,Mapping!$G$3:$G$32,0)),IF(LEFT($F337,3)="P2P",IFERROR(INDEX(Mapping!$E$3:$E$6,MATCH($G337,Mapping!$D$3:$D$6,0)),IFERROR(INDEX(Mapping!$B$3:$B$13,MATCH($J337,Mapping!$A$3:$A$13,0)),"(unmapped)")),IFERROR(INDEX(Mapping!$B$17:$B$22,MATCH($F337,Mapping!$A$17:$A$22,0)),$F337)&amp;" "&amp;IF($G337="Banking","Banking",IFERROR(INDEX(Mapping!$E$17:$E$28,MATCH($J337,Mapping!$D$17:$D$28,0)),"(unmapped)")))))</f>
        <v/>
      </c>
    </row>
    <row r="338" spans="11:11" x14ac:dyDescent="0.3">
      <c r="K338" t="str">
        <f>IF($D338="","",IFERROR(INDEX(Mapping!$H$3:$H$32,MATCH($B338,Mapping!$G$3:$G$32,0)),IF(LEFT($F338,3)="P2P",IFERROR(INDEX(Mapping!$E$3:$E$6,MATCH($G338,Mapping!$D$3:$D$6,0)),IFERROR(INDEX(Mapping!$B$3:$B$13,MATCH($J338,Mapping!$A$3:$A$13,0)),"(unmapped)")),IFERROR(INDEX(Mapping!$B$17:$B$22,MATCH($F338,Mapping!$A$17:$A$22,0)),$F338)&amp;" "&amp;IF($G338="Banking","Banking",IFERROR(INDEX(Mapping!$E$17:$E$28,MATCH($J338,Mapping!$D$17:$D$28,0)),"(unmapped)")))))</f>
        <v/>
      </c>
    </row>
    <row r="339" spans="11:11" x14ac:dyDescent="0.3">
      <c r="K339" t="str">
        <f>IF($D339="","",IFERROR(INDEX(Mapping!$H$3:$H$32,MATCH($B339,Mapping!$G$3:$G$32,0)),IF(LEFT($F339,3)="P2P",IFERROR(INDEX(Mapping!$E$3:$E$6,MATCH($G339,Mapping!$D$3:$D$6,0)),IFERROR(INDEX(Mapping!$B$3:$B$13,MATCH($J339,Mapping!$A$3:$A$13,0)),"(unmapped)")),IFERROR(INDEX(Mapping!$B$17:$B$22,MATCH($F339,Mapping!$A$17:$A$22,0)),$F339)&amp;" "&amp;IF($G339="Banking","Banking",IFERROR(INDEX(Mapping!$E$17:$E$28,MATCH($J339,Mapping!$D$17:$D$28,0)),"(unmapped)")))))</f>
        <v/>
      </c>
    </row>
    <row r="340" spans="11:11" x14ac:dyDescent="0.3">
      <c r="K340" t="str">
        <f>IF($D340="","",IFERROR(INDEX(Mapping!$H$3:$H$32,MATCH($B340,Mapping!$G$3:$G$32,0)),IF(LEFT($F340,3)="P2P",IFERROR(INDEX(Mapping!$E$3:$E$6,MATCH($G340,Mapping!$D$3:$D$6,0)),IFERROR(INDEX(Mapping!$B$3:$B$13,MATCH($J340,Mapping!$A$3:$A$13,0)),"(unmapped)")),IFERROR(INDEX(Mapping!$B$17:$B$22,MATCH($F340,Mapping!$A$17:$A$22,0)),$F340)&amp;" "&amp;IF($G340="Banking","Banking",IFERROR(INDEX(Mapping!$E$17:$E$28,MATCH($J340,Mapping!$D$17:$D$28,0)),"(unmapped)")))))</f>
        <v/>
      </c>
    </row>
    <row r="341" spans="11:11" x14ac:dyDescent="0.3">
      <c r="K341" t="str">
        <f>IF($D341="","",IFERROR(INDEX(Mapping!$H$3:$H$32,MATCH($B341,Mapping!$G$3:$G$32,0)),IF(LEFT($F341,3)="P2P",IFERROR(INDEX(Mapping!$E$3:$E$6,MATCH($G341,Mapping!$D$3:$D$6,0)),IFERROR(INDEX(Mapping!$B$3:$B$13,MATCH($J341,Mapping!$A$3:$A$13,0)),"(unmapped)")),IFERROR(INDEX(Mapping!$B$17:$B$22,MATCH($F341,Mapping!$A$17:$A$22,0)),$F341)&amp;" "&amp;IF($G341="Banking","Banking",IFERROR(INDEX(Mapping!$E$17:$E$28,MATCH($J341,Mapping!$D$17:$D$28,0)),"(unmapped)")))))</f>
        <v/>
      </c>
    </row>
    <row r="342" spans="11:11" x14ac:dyDescent="0.3">
      <c r="K342" t="str">
        <f>IF($D342="","",IFERROR(INDEX(Mapping!$H$3:$H$32,MATCH($B342,Mapping!$G$3:$G$32,0)),IF(LEFT($F342,3)="P2P",IFERROR(INDEX(Mapping!$E$3:$E$6,MATCH($G342,Mapping!$D$3:$D$6,0)),IFERROR(INDEX(Mapping!$B$3:$B$13,MATCH($J342,Mapping!$A$3:$A$13,0)),"(unmapped)")),IFERROR(INDEX(Mapping!$B$17:$B$22,MATCH($F342,Mapping!$A$17:$A$22,0)),$F342)&amp;" "&amp;IF($G342="Banking","Banking",IFERROR(INDEX(Mapping!$E$17:$E$28,MATCH($J342,Mapping!$D$17:$D$28,0)),"(unmapped)")))))</f>
        <v/>
      </c>
    </row>
    <row r="343" spans="11:11" x14ac:dyDescent="0.3">
      <c r="K343" t="str">
        <f>IF($D343="","",IFERROR(INDEX(Mapping!$H$3:$H$32,MATCH($B343,Mapping!$G$3:$G$32,0)),IF(LEFT($F343,3)="P2P",IFERROR(INDEX(Mapping!$E$3:$E$6,MATCH($G343,Mapping!$D$3:$D$6,0)),IFERROR(INDEX(Mapping!$B$3:$B$13,MATCH($J343,Mapping!$A$3:$A$13,0)),"(unmapped)")),IFERROR(INDEX(Mapping!$B$17:$B$22,MATCH($F343,Mapping!$A$17:$A$22,0)),$F343)&amp;" "&amp;IF($G343="Banking","Banking",IFERROR(INDEX(Mapping!$E$17:$E$28,MATCH($J343,Mapping!$D$17:$D$28,0)),"(unmapped)")))))</f>
        <v/>
      </c>
    </row>
    <row r="344" spans="11:11" x14ac:dyDescent="0.3">
      <c r="K344" t="str">
        <f>IF($D344="","",IFERROR(INDEX(Mapping!$H$3:$H$32,MATCH($B344,Mapping!$G$3:$G$32,0)),IF(LEFT($F344,3)="P2P",IFERROR(INDEX(Mapping!$E$3:$E$6,MATCH($G344,Mapping!$D$3:$D$6,0)),IFERROR(INDEX(Mapping!$B$3:$B$13,MATCH($J344,Mapping!$A$3:$A$13,0)),"(unmapped)")),IFERROR(INDEX(Mapping!$B$17:$B$22,MATCH($F344,Mapping!$A$17:$A$22,0)),$F344)&amp;" "&amp;IF($G344="Banking","Banking",IFERROR(INDEX(Mapping!$E$17:$E$28,MATCH($J344,Mapping!$D$17:$D$28,0)),"(unmapped)")))))</f>
        <v/>
      </c>
    </row>
    <row r="345" spans="11:11" x14ac:dyDescent="0.3">
      <c r="K345" t="str">
        <f>IF($D345="","",IFERROR(INDEX(Mapping!$H$3:$H$32,MATCH($B345,Mapping!$G$3:$G$32,0)),IF(LEFT($F345,3)="P2P",IFERROR(INDEX(Mapping!$E$3:$E$6,MATCH($G345,Mapping!$D$3:$D$6,0)),IFERROR(INDEX(Mapping!$B$3:$B$13,MATCH($J345,Mapping!$A$3:$A$13,0)),"(unmapped)")),IFERROR(INDEX(Mapping!$B$17:$B$22,MATCH($F345,Mapping!$A$17:$A$22,0)),$F345)&amp;" "&amp;IF($G345="Banking","Banking",IFERROR(INDEX(Mapping!$E$17:$E$28,MATCH($J345,Mapping!$D$17:$D$28,0)),"(unmapped)")))))</f>
        <v/>
      </c>
    </row>
    <row r="346" spans="11:11" x14ac:dyDescent="0.3">
      <c r="K346" t="str">
        <f>IF($D346="","",IFERROR(INDEX(Mapping!$H$3:$H$32,MATCH($B346,Mapping!$G$3:$G$32,0)),IF(LEFT($F346,3)="P2P",IFERROR(INDEX(Mapping!$E$3:$E$6,MATCH($G346,Mapping!$D$3:$D$6,0)),IFERROR(INDEX(Mapping!$B$3:$B$13,MATCH($J346,Mapping!$A$3:$A$13,0)),"(unmapped)")),IFERROR(INDEX(Mapping!$B$17:$B$22,MATCH($F346,Mapping!$A$17:$A$22,0)),$F346)&amp;" "&amp;IF($G346="Banking","Banking",IFERROR(INDEX(Mapping!$E$17:$E$28,MATCH($J346,Mapping!$D$17:$D$28,0)),"(unmapped)")))))</f>
        <v/>
      </c>
    </row>
    <row r="347" spans="11:11" x14ac:dyDescent="0.3">
      <c r="K347" t="str">
        <f>IF($D347="","",IFERROR(INDEX(Mapping!$H$3:$H$32,MATCH($B347,Mapping!$G$3:$G$32,0)),IF(LEFT($F347,3)="P2P",IFERROR(INDEX(Mapping!$E$3:$E$6,MATCH($G347,Mapping!$D$3:$D$6,0)),IFERROR(INDEX(Mapping!$B$3:$B$13,MATCH($J347,Mapping!$A$3:$A$13,0)),"(unmapped)")),IFERROR(INDEX(Mapping!$B$17:$B$22,MATCH($F347,Mapping!$A$17:$A$22,0)),$F347)&amp;" "&amp;IF($G347="Banking","Banking",IFERROR(INDEX(Mapping!$E$17:$E$28,MATCH($J347,Mapping!$D$17:$D$28,0)),"(unmapped)")))))</f>
        <v/>
      </c>
    </row>
    <row r="348" spans="11:11" x14ac:dyDescent="0.3">
      <c r="K348" t="str">
        <f>IF($D348="","",IFERROR(INDEX(Mapping!$H$3:$H$32,MATCH($B348,Mapping!$G$3:$G$32,0)),IF(LEFT($F348,3)="P2P",IFERROR(INDEX(Mapping!$E$3:$E$6,MATCH($G348,Mapping!$D$3:$D$6,0)),IFERROR(INDEX(Mapping!$B$3:$B$13,MATCH($J348,Mapping!$A$3:$A$13,0)),"(unmapped)")),IFERROR(INDEX(Mapping!$B$17:$B$22,MATCH($F348,Mapping!$A$17:$A$22,0)),$F348)&amp;" "&amp;IF($G348="Banking","Banking",IFERROR(INDEX(Mapping!$E$17:$E$28,MATCH($J348,Mapping!$D$17:$D$28,0)),"(unmapped)")))))</f>
        <v/>
      </c>
    </row>
    <row r="349" spans="11:11" x14ac:dyDescent="0.3">
      <c r="K349" t="str">
        <f>IF($D349="","",IFERROR(INDEX(Mapping!$H$3:$H$32,MATCH($B349,Mapping!$G$3:$G$32,0)),IF(LEFT($F349,3)="P2P",IFERROR(INDEX(Mapping!$E$3:$E$6,MATCH($G349,Mapping!$D$3:$D$6,0)),IFERROR(INDEX(Mapping!$B$3:$B$13,MATCH($J349,Mapping!$A$3:$A$13,0)),"(unmapped)")),IFERROR(INDEX(Mapping!$B$17:$B$22,MATCH($F349,Mapping!$A$17:$A$22,0)),$F349)&amp;" "&amp;IF($G349="Banking","Banking",IFERROR(INDEX(Mapping!$E$17:$E$28,MATCH($J349,Mapping!$D$17:$D$28,0)),"(unmapped)")))))</f>
        <v/>
      </c>
    </row>
    <row r="350" spans="11:11" x14ac:dyDescent="0.3">
      <c r="K350" t="str">
        <f>IF($D350="","",IFERROR(INDEX(Mapping!$H$3:$H$32,MATCH($B350,Mapping!$G$3:$G$32,0)),IF(LEFT($F350,3)="P2P",IFERROR(INDEX(Mapping!$E$3:$E$6,MATCH($G350,Mapping!$D$3:$D$6,0)),IFERROR(INDEX(Mapping!$B$3:$B$13,MATCH($J350,Mapping!$A$3:$A$13,0)),"(unmapped)")),IFERROR(INDEX(Mapping!$B$17:$B$22,MATCH($F350,Mapping!$A$17:$A$22,0)),$F350)&amp;" "&amp;IF($G350="Banking","Banking",IFERROR(INDEX(Mapping!$E$17:$E$28,MATCH($J350,Mapping!$D$17:$D$28,0)),"(unmapped)")))))</f>
        <v/>
      </c>
    </row>
    <row r="351" spans="11:11" x14ac:dyDescent="0.3">
      <c r="K351" t="str">
        <f>IF($D351="","",IFERROR(INDEX(Mapping!$H$3:$H$32,MATCH($B351,Mapping!$G$3:$G$32,0)),IF(LEFT($F351,3)="P2P",IFERROR(INDEX(Mapping!$E$3:$E$6,MATCH($G351,Mapping!$D$3:$D$6,0)),IFERROR(INDEX(Mapping!$B$3:$B$13,MATCH($J351,Mapping!$A$3:$A$13,0)),"(unmapped)")),IFERROR(INDEX(Mapping!$B$17:$B$22,MATCH($F351,Mapping!$A$17:$A$22,0)),$F351)&amp;" "&amp;IF($G351="Banking","Banking",IFERROR(INDEX(Mapping!$E$17:$E$28,MATCH($J351,Mapping!$D$17:$D$28,0)),"(unmapped)")))))</f>
        <v/>
      </c>
    </row>
    <row r="352" spans="11:11" x14ac:dyDescent="0.3">
      <c r="K352" t="str">
        <f>IF($D352="","",IFERROR(INDEX(Mapping!$H$3:$H$32,MATCH($B352,Mapping!$G$3:$G$32,0)),IF(LEFT($F352,3)="P2P",IFERROR(INDEX(Mapping!$E$3:$E$6,MATCH($G352,Mapping!$D$3:$D$6,0)),IFERROR(INDEX(Mapping!$B$3:$B$13,MATCH($J352,Mapping!$A$3:$A$13,0)),"(unmapped)")),IFERROR(INDEX(Mapping!$B$17:$B$22,MATCH($F352,Mapping!$A$17:$A$22,0)),$F352)&amp;" "&amp;IF($G352="Banking","Banking",IFERROR(INDEX(Mapping!$E$17:$E$28,MATCH($J352,Mapping!$D$17:$D$28,0)),"(unmapped)")))))</f>
        <v/>
      </c>
    </row>
    <row r="353" spans="11:11" x14ac:dyDescent="0.3">
      <c r="K353" t="str">
        <f>IF($D353="","",IFERROR(INDEX(Mapping!$H$3:$H$32,MATCH($B353,Mapping!$G$3:$G$32,0)),IF(LEFT($F353,3)="P2P",IFERROR(INDEX(Mapping!$E$3:$E$6,MATCH($G353,Mapping!$D$3:$D$6,0)),IFERROR(INDEX(Mapping!$B$3:$B$13,MATCH($J353,Mapping!$A$3:$A$13,0)),"(unmapped)")),IFERROR(INDEX(Mapping!$B$17:$B$22,MATCH($F353,Mapping!$A$17:$A$22,0)),$F353)&amp;" "&amp;IF($G353="Banking","Banking",IFERROR(INDEX(Mapping!$E$17:$E$28,MATCH($J353,Mapping!$D$17:$D$28,0)),"(unmapped)")))))</f>
        <v/>
      </c>
    </row>
    <row r="354" spans="11:11" x14ac:dyDescent="0.3">
      <c r="K354" t="str">
        <f>IF($D354="","",IFERROR(INDEX(Mapping!$H$3:$H$32,MATCH($B354,Mapping!$G$3:$G$32,0)),IF(LEFT($F354,3)="P2P",IFERROR(INDEX(Mapping!$E$3:$E$6,MATCH($G354,Mapping!$D$3:$D$6,0)),IFERROR(INDEX(Mapping!$B$3:$B$13,MATCH($J354,Mapping!$A$3:$A$13,0)),"(unmapped)")),IFERROR(INDEX(Mapping!$B$17:$B$22,MATCH($F354,Mapping!$A$17:$A$22,0)),$F354)&amp;" "&amp;IF($G354="Banking","Banking",IFERROR(INDEX(Mapping!$E$17:$E$28,MATCH($J354,Mapping!$D$17:$D$28,0)),"(unmapped)")))))</f>
        <v/>
      </c>
    </row>
    <row r="355" spans="11:11" x14ac:dyDescent="0.3">
      <c r="K355" t="str">
        <f>IF($D355="","",IFERROR(INDEX(Mapping!$H$3:$H$32,MATCH($B355,Mapping!$G$3:$G$32,0)),IF(LEFT($F355,3)="P2P",IFERROR(INDEX(Mapping!$E$3:$E$6,MATCH($G355,Mapping!$D$3:$D$6,0)),IFERROR(INDEX(Mapping!$B$3:$B$13,MATCH($J355,Mapping!$A$3:$A$13,0)),"(unmapped)")),IFERROR(INDEX(Mapping!$B$17:$B$22,MATCH($F355,Mapping!$A$17:$A$22,0)),$F355)&amp;" "&amp;IF($G355="Banking","Banking",IFERROR(INDEX(Mapping!$E$17:$E$28,MATCH($J355,Mapping!$D$17:$D$28,0)),"(unmapped)")))))</f>
        <v/>
      </c>
    </row>
    <row r="356" spans="11:11" x14ac:dyDescent="0.3">
      <c r="K356" t="str">
        <f>IF($D356="","",IFERROR(INDEX(Mapping!$H$3:$H$32,MATCH($B356,Mapping!$G$3:$G$32,0)),IF(LEFT($F356,3)="P2P",IFERROR(INDEX(Mapping!$E$3:$E$6,MATCH($G356,Mapping!$D$3:$D$6,0)),IFERROR(INDEX(Mapping!$B$3:$B$13,MATCH($J356,Mapping!$A$3:$A$13,0)),"(unmapped)")),IFERROR(INDEX(Mapping!$B$17:$B$22,MATCH($F356,Mapping!$A$17:$A$22,0)),$F356)&amp;" "&amp;IF($G356="Banking","Banking",IFERROR(INDEX(Mapping!$E$17:$E$28,MATCH($J356,Mapping!$D$17:$D$28,0)),"(unmapped)")))))</f>
        <v/>
      </c>
    </row>
    <row r="357" spans="11:11" x14ac:dyDescent="0.3">
      <c r="K357" t="str">
        <f>IF($D357="","",IFERROR(INDEX(Mapping!$H$3:$H$32,MATCH($B357,Mapping!$G$3:$G$32,0)),IF(LEFT($F357,3)="P2P",IFERROR(INDEX(Mapping!$E$3:$E$6,MATCH($G357,Mapping!$D$3:$D$6,0)),IFERROR(INDEX(Mapping!$B$3:$B$13,MATCH($J357,Mapping!$A$3:$A$13,0)),"(unmapped)")),IFERROR(INDEX(Mapping!$B$17:$B$22,MATCH($F357,Mapping!$A$17:$A$22,0)),$F357)&amp;" "&amp;IF($G357="Banking","Banking",IFERROR(INDEX(Mapping!$E$17:$E$28,MATCH($J357,Mapping!$D$17:$D$28,0)),"(unmapped)")))))</f>
        <v/>
      </c>
    </row>
    <row r="358" spans="11:11" x14ac:dyDescent="0.3">
      <c r="K358" t="str">
        <f>IF($D358="","",IFERROR(INDEX(Mapping!$H$3:$H$32,MATCH($B358,Mapping!$G$3:$G$32,0)),IF(LEFT($F358,3)="P2P",IFERROR(INDEX(Mapping!$E$3:$E$6,MATCH($G358,Mapping!$D$3:$D$6,0)),IFERROR(INDEX(Mapping!$B$3:$B$13,MATCH($J358,Mapping!$A$3:$A$13,0)),"(unmapped)")),IFERROR(INDEX(Mapping!$B$17:$B$22,MATCH($F358,Mapping!$A$17:$A$22,0)),$F358)&amp;" "&amp;IF($G358="Banking","Banking",IFERROR(INDEX(Mapping!$E$17:$E$28,MATCH($J358,Mapping!$D$17:$D$28,0)),"(unmapped)")))))</f>
        <v/>
      </c>
    </row>
    <row r="359" spans="11:11" x14ac:dyDescent="0.3">
      <c r="K359" t="str">
        <f>IF($D359="","",IFERROR(INDEX(Mapping!$H$3:$H$32,MATCH($B359,Mapping!$G$3:$G$32,0)),IF(LEFT($F359,3)="P2P",IFERROR(INDEX(Mapping!$E$3:$E$6,MATCH($G359,Mapping!$D$3:$D$6,0)),IFERROR(INDEX(Mapping!$B$3:$B$13,MATCH($J359,Mapping!$A$3:$A$13,0)),"(unmapped)")),IFERROR(INDEX(Mapping!$B$17:$B$22,MATCH($F359,Mapping!$A$17:$A$22,0)),$F359)&amp;" "&amp;IF($G359="Banking","Banking",IFERROR(INDEX(Mapping!$E$17:$E$28,MATCH($J359,Mapping!$D$17:$D$28,0)),"(unmapped)")))))</f>
        <v/>
      </c>
    </row>
    <row r="360" spans="11:11" x14ac:dyDescent="0.3">
      <c r="K360" t="str">
        <f>IF($D360="","",IFERROR(INDEX(Mapping!$H$3:$H$32,MATCH($B360,Mapping!$G$3:$G$32,0)),IF(LEFT($F360,3)="P2P",IFERROR(INDEX(Mapping!$E$3:$E$6,MATCH($G360,Mapping!$D$3:$D$6,0)),IFERROR(INDEX(Mapping!$B$3:$B$13,MATCH($J360,Mapping!$A$3:$A$13,0)),"(unmapped)")),IFERROR(INDEX(Mapping!$B$17:$B$22,MATCH($F360,Mapping!$A$17:$A$22,0)),$F360)&amp;" "&amp;IF($G360="Banking","Banking",IFERROR(INDEX(Mapping!$E$17:$E$28,MATCH($J360,Mapping!$D$17:$D$28,0)),"(unmapped)")))))</f>
        <v/>
      </c>
    </row>
    <row r="361" spans="11:11" x14ac:dyDescent="0.3">
      <c r="K361" t="str">
        <f>IF($D361="","",IFERROR(INDEX(Mapping!$H$3:$H$32,MATCH($B361,Mapping!$G$3:$G$32,0)),IF(LEFT($F361,3)="P2P",IFERROR(INDEX(Mapping!$E$3:$E$6,MATCH($G361,Mapping!$D$3:$D$6,0)),IFERROR(INDEX(Mapping!$B$3:$B$13,MATCH($J361,Mapping!$A$3:$A$13,0)),"(unmapped)")),IFERROR(INDEX(Mapping!$B$17:$B$22,MATCH($F361,Mapping!$A$17:$A$22,0)),$F361)&amp;" "&amp;IF($G361="Banking","Banking",IFERROR(INDEX(Mapping!$E$17:$E$28,MATCH($J361,Mapping!$D$17:$D$28,0)),"(unmapped)")))))</f>
        <v/>
      </c>
    </row>
    <row r="362" spans="11:11" x14ac:dyDescent="0.3">
      <c r="K362" t="str">
        <f>IF($D362="","",IFERROR(INDEX(Mapping!$H$3:$H$32,MATCH($B362,Mapping!$G$3:$G$32,0)),IF(LEFT($F362,3)="P2P",IFERROR(INDEX(Mapping!$E$3:$E$6,MATCH($G362,Mapping!$D$3:$D$6,0)),IFERROR(INDEX(Mapping!$B$3:$B$13,MATCH($J362,Mapping!$A$3:$A$13,0)),"(unmapped)")),IFERROR(INDEX(Mapping!$B$17:$B$22,MATCH($F362,Mapping!$A$17:$A$22,0)),$F362)&amp;" "&amp;IF($G362="Banking","Banking",IFERROR(INDEX(Mapping!$E$17:$E$28,MATCH($J362,Mapping!$D$17:$D$28,0)),"(unmapped)")))))</f>
        <v/>
      </c>
    </row>
    <row r="363" spans="11:11" x14ac:dyDescent="0.3">
      <c r="K363" t="str">
        <f>IF($D363="","",IFERROR(INDEX(Mapping!$H$3:$H$32,MATCH($B363,Mapping!$G$3:$G$32,0)),IF(LEFT($F363,3)="P2P",IFERROR(INDEX(Mapping!$E$3:$E$6,MATCH($G363,Mapping!$D$3:$D$6,0)),IFERROR(INDEX(Mapping!$B$3:$B$13,MATCH($J363,Mapping!$A$3:$A$13,0)),"(unmapped)")),IFERROR(INDEX(Mapping!$B$17:$B$22,MATCH($F363,Mapping!$A$17:$A$22,0)),$F363)&amp;" "&amp;IF($G363="Banking","Banking",IFERROR(INDEX(Mapping!$E$17:$E$28,MATCH($J363,Mapping!$D$17:$D$28,0)),"(unmapped)")))))</f>
        <v/>
      </c>
    </row>
    <row r="364" spans="11:11" x14ac:dyDescent="0.3">
      <c r="K364" t="str">
        <f>IF($D364="","",IFERROR(INDEX(Mapping!$H$3:$H$32,MATCH($B364,Mapping!$G$3:$G$32,0)),IF(LEFT($F364,3)="P2P",IFERROR(INDEX(Mapping!$E$3:$E$6,MATCH($G364,Mapping!$D$3:$D$6,0)),IFERROR(INDEX(Mapping!$B$3:$B$13,MATCH($J364,Mapping!$A$3:$A$13,0)),"(unmapped)")),IFERROR(INDEX(Mapping!$B$17:$B$22,MATCH($F364,Mapping!$A$17:$A$22,0)),$F364)&amp;" "&amp;IF($G364="Banking","Banking",IFERROR(INDEX(Mapping!$E$17:$E$28,MATCH($J364,Mapping!$D$17:$D$28,0)),"(unmapped)")))))</f>
        <v/>
      </c>
    </row>
    <row r="365" spans="11:11" x14ac:dyDescent="0.3">
      <c r="K365" t="str">
        <f>IF($D365="","",IFERROR(INDEX(Mapping!$H$3:$H$32,MATCH($B365,Mapping!$G$3:$G$32,0)),IF(LEFT($F365,3)="P2P",IFERROR(INDEX(Mapping!$E$3:$E$6,MATCH($G365,Mapping!$D$3:$D$6,0)),IFERROR(INDEX(Mapping!$B$3:$B$13,MATCH($J365,Mapping!$A$3:$A$13,0)),"(unmapped)")),IFERROR(INDEX(Mapping!$B$17:$B$22,MATCH($F365,Mapping!$A$17:$A$22,0)),$F365)&amp;" "&amp;IF($G365="Banking","Banking",IFERROR(INDEX(Mapping!$E$17:$E$28,MATCH($J365,Mapping!$D$17:$D$28,0)),"(unmapped)")))))</f>
        <v/>
      </c>
    </row>
    <row r="366" spans="11:11" x14ac:dyDescent="0.3">
      <c r="K366" t="str">
        <f>IF($D366="","",IFERROR(INDEX(Mapping!$H$3:$H$32,MATCH($B366,Mapping!$G$3:$G$32,0)),IF(LEFT($F366,3)="P2P",IFERROR(INDEX(Mapping!$E$3:$E$6,MATCH($G366,Mapping!$D$3:$D$6,0)),IFERROR(INDEX(Mapping!$B$3:$B$13,MATCH($J366,Mapping!$A$3:$A$13,0)),"(unmapped)")),IFERROR(INDEX(Mapping!$B$17:$B$22,MATCH($F366,Mapping!$A$17:$A$22,0)),$F366)&amp;" "&amp;IF($G366="Banking","Banking",IFERROR(INDEX(Mapping!$E$17:$E$28,MATCH($J366,Mapping!$D$17:$D$28,0)),"(unmapped)")))))</f>
        <v/>
      </c>
    </row>
    <row r="367" spans="11:11" x14ac:dyDescent="0.3">
      <c r="K367" t="str">
        <f>IF($D367="","",IFERROR(INDEX(Mapping!$H$3:$H$32,MATCH($B367,Mapping!$G$3:$G$32,0)),IF(LEFT($F367,3)="P2P",IFERROR(INDEX(Mapping!$E$3:$E$6,MATCH($G367,Mapping!$D$3:$D$6,0)),IFERROR(INDEX(Mapping!$B$3:$B$13,MATCH($J367,Mapping!$A$3:$A$13,0)),"(unmapped)")),IFERROR(INDEX(Mapping!$B$17:$B$22,MATCH($F367,Mapping!$A$17:$A$22,0)),$F367)&amp;" "&amp;IF($G367="Banking","Banking",IFERROR(INDEX(Mapping!$E$17:$E$28,MATCH($J367,Mapping!$D$17:$D$28,0)),"(unmapped)")))))</f>
        <v/>
      </c>
    </row>
    <row r="368" spans="11:11" x14ac:dyDescent="0.3">
      <c r="K368" t="str">
        <f>IF($D368="","",IFERROR(INDEX(Mapping!$H$3:$H$32,MATCH($B368,Mapping!$G$3:$G$32,0)),IF(LEFT($F368,3)="P2P",IFERROR(INDEX(Mapping!$E$3:$E$6,MATCH($G368,Mapping!$D$3:$D$6,0)),IFERROR(INDEX(Mapping!$B$3:$B$13,MATCH($J368,Mapping!$A$3:$A$13,0)),"(unmapped)")),IFERROR(INDEX(Mapping!$B$17:$B$22,MATCH($F368,Mapping!$A$17:$A$22,0)),$F368)&amp;" "&amp;IF($G368="Banking","Banking",IFERROR(INDEX(Mapping!$E$17:$E$28,MATCH($J368,Mapping!$D$17:$D$28,0)),"(unmapped)")))))</f>
        <v/>
      </c>
    </row>
    <row r="369" spans="11:11" x14ac:dyDescent="0.3">
      <c r="K369" t="str">
        <f>IF($D369="","",IFERROR(INDEX(Mapping!$H$3:$H$32,MATCH($B369,Mapping!$G$3:$G$32,0)),IF(LEFT($F369,3)="P2P",IFERROR(INDEX(Mapping!$E$3:$E$6,MATCH($G369,Mapping!$D$3:$D$6,0)),IFERROR(INDEX(Mapping!$B$3:$B$13,MATCH($J369,Mapping!$A$3:$A$13,0)),"(unmapped)")),IFERROR(INDEX(Mapping!$B$17:$B$22,MATCH($F369,Mapping!$A$17:$A$22,0)),$F369)&amp;" "&amp;IF($G369="Banking","Banking",IFERROR(INDEX(Mapping!$E$17:$E$28,MATCH($J369,Mapping!$D$17:$D$28,0)),"(unmapped)")))))</f>
        <v/>
      </c>
    </row>
    <row r="370" spans="11:11" x14ac:dyDescent="0.3">
      <c r="K370" t="str">
        <f>IF($D370="","",IFERROR(INDEX(Mapping!$H$3:$H$32,MATCH($B370,Mapping!$G$3:$G$32,0)),IF(LEFT($F370,3)="P2P",IFERROR(INDEX(Mapping!$E$3:$E$6,MATCH($G370,Mapping!$D$3:$D$6,0)),IFERROR(INDEX(Mapping!$B$3:$B$13,MATCH($J370,Mapping!$A$3:$A$13,0)),"(unmapped)")),IFERROR(INDEX(Mapping!$B$17:$B$22,MATCH($F370,Mapping!$A$17:$A$22,0)),$F370)&amp;" "&amp;IF($G370="Banking","Banking",IFERROR(INDEX(Mapping!$E$17:$E$28,MATCH($J370,Mapping!$D$17:$D$28,0)),"(unmapped)")))))</f>
        <v/>
      </c>
    </row>
    <row r="371" spans="11:11" x14ac:dyDescent="0.3">
      <c r="K371" t="str">
        <f>IF($D371="","",IFERROR(INDEX(Mapping!$H$3:$H$32,MATCH($B371,Mapping!$G$3:$G$32,0)),IF(LEFT($F371,3)="P2P",IFERROR(INDEX(Mapping!$E$3:$E$6,MATCH($G371,Mapping!$D$3:$D$6,0)),IFERROR(INDEX(Mapping!$B$3:$B$13,MATCH($J371,Mapping!$A$3:$A$13,0)),"(unmapped)")),IFERROR(INDEX(Mapping!$B$17:$B$22,MATCH($F371,Mapping!$A$17:$A$22,0)),$F371)&amp;" "&amp;IF($G371="Banking","Banking",IFERROR(INDEX(Mapping!$E$17:$E$28,MATCH($J371,Mapping!$D$17:$D$28,0)),"(unmapped)")))))</f>
        <v/>
      </c>
    </row>
    <row r="372" spans="11:11" x14ac:dyDescent="0.3">
      <c r="K372" t="str">
        <f>IF($D372="","",IFERROR(INDEX(Mapping!$H$3:$H$32,MATCH($B372,Mapping!$G$3:$G$32,0)),IF(LEFT($F372,3)="P2P",IFERROR(INDEX(Mapping!$E$3:$E$6,MATCH($G372,Mapping!$D$3:$D$6,0)),IFERROR(INDEX(Mapping!$B$3:$B$13,MATCH($J372,Mapping!$A$3:$A$13,0)),"(unmapped)")),IFERROR(INDEX(Mapping!$B$17:$B$22,MATCH($F372,Mapping!$A$17:$A$22,0)),$F372)&amp;" "&amp;IF($G372="Banking","Banking",IFERROR(INDEX(Mapping!$E$17:$E$28,MATCH($J372,Mapping!$D$17:$D$28,0)),"(unmapped)")))))</f>
        <v/>
      </c>
    </row>
    <row r="373" spans="11:11" x14ac:dyDescent="0.3">
      <c r="K373" t="str">
        <f>IF($D373="","",IFERROR(INDEX(Mapping!$H$3:$H$32,MATCH($B373,Mapping!$G$3:$G$32,0)),IF(LEFT($F373,3)="P2P",IFERROR(INDEX(Mapping!$E$3:$E$6,MATCH($G373,Mapping!$D$3:$D$6,0)),IFERROR(INDEX(Mapping!$B$3:$B$13,MATCH($J373,Mapping!$A$3:$A$13,0)),"(unmapped)")),IFERROR(INDEX(Mapping!$B$17:$B$22,MATCH($F373,Mapping!$A$17:$A$22,0)),$F373)&amp;" "&amp;IF($G373="Banking","Banking",IFERROR(INDEX(Mapping!$E$17:$E$28,MATCH($J373,Mapping!$D$17:$D$28,0)),"(unmapped)")))))</f>
        <v/>
      </c>
    </row>
    <row r="374" spans="11:11" x14ac:dyDescent="0.3">
      <c r="K374" t="str">
        <f>IF($D374="","",IFERROR(INDEX(Mapping!$H$3:$H$32,MATCH($B374,Mapping!$G$3:$G$32,0)),IF(LEFT($F374,3)="P2P",IFERROR(INDEX(Mapping!$E$3:$E$6,MATCH($G374,Mapping!$D$3:$D$6,0)),IFERROR(INDEX(Mapping!$B$3:$B$13,MATCH($J374,Mapping!$A$3:$A$13,0)),"(unmapped)")),IFERROR(INDEX(Mapping!$B$17:$B$22,MATCH($F374,Mapping!$A$17:$A$22,0)),$F374)&amp;" "&amp;IF($G374="Banking","Banking",IFERROR(INDEX(Mapping!$E$17:$E$28,MATCH($J374,Mapping!$D$17:$D$28,0)),"(unmapped)")))))</f>
        <v/>
      </c>
    </row>
    <row r="375" spans="11:11" x14ac:dyDescent="0.3">
      <c r="K375" t="str">
        <f>IF($D375="","",IFERROR(INDEX(Mapping!$H$3:$H$32,MATCH($B375,Mapping!$G$3:$G$32,0)),IF(LEFT($F375,3)="P2P",IFERROR(INDEX(Mapping!$E$3:$E$6,MATCH($G375,Mapping!$D$3:$D$6,0)),IFERROR(INDEX(Mapping!$B$3:$B$13,MATCH($J375,Mapping!$A$3:$A$13,0)),"(unmapped)")),IFERROR(INDEX(Mapping!$B$17:$B$22,MATCH($F375,Mapping!$A$17:$A$22,0)),$F375)&amp;" "&amp;IF($G375="Banking","Banking",IFERROR(INDEX(Mapping!$E$17:$E$28,MATCH($J375,Mapping!$D$17:$D$28,0)),"(unmapped)")))))</f>
        <v/>
      </c>
    </row>
    <row r="376" spans="11:11" x14ac:dyDescent="0.3">
      <c r="K376" t="str">
        <f>IF($D376="","",IFERROR(INDEX(Mapping!$H$3:$H$32,MATCH($B376,Mapping!$G$3:$G$32,0)),IF(LEFT($F376,3)="P2P",IFERROR(INDEX(Mapping!$E$3:$E$6,MATCH($G376,Mapping!$D$3:$D$6,0)),IFERROR(INDEX(Mapping!$B$3:$B$13,MATCH($J376,Mapping!$A$3:$A$13,0)),"(unmapped)")),IFERROR(INDEX(Mapping!$B$17:$B$22,MATCH($F376,Mapping!$A$17:$A$22,0)),$F376)&amp;" "&amp;IF($G376="Banking","Banking",IFERROR(INDEX(Mapping!$E$17:$E$28,MATCH($J376,Mapping!$D$17:$D$28,0)),"(unmapped)")))))</f>
        <v/>
      </c>
    </row>
    <row r="377" spans="11:11" x14ac:dyDescent="0.3">
      <c r="K377" t="str">
        <f>IF($D377="","",IFERROR(INDEX(Mapping!$H$3:$H$32,MATCH($B377,Mapping!$G$3:$G$32,0)),IF(LEFT($F377,3)="P2P",IFERROR(INDEX(Mapping!$E$3:$E$6,MATCH($G377,Mapping!$D$3:$D$6,0)),IFERROR(INDEX(Mapping!$B$3:$B$13,MATCH($J377,Mapping!$A$3:$A$13,0)),"(unmapped)")),IFERROR(INDEX(Mapping!$B$17:$B$22,MATCH($F377,Mapping!$A$17:$A$22,0)),$F377)&amp;" "&amp;IF($G377="Banking","Banking",IFERROR(INDEX(Mapping!$E$17:$E$28,MATCH($J377,Mapping!$D$17:$D$28,0)),"(unmapped)")))))</f>
        <v/>
      </c>
    </row>
    <row r="378" spans="11:11" x14ac:dyDescent="0.3">
      <c r="K378" t="str">
        <f>IF($D378="","",IFERROR(INDEX(Mapping!$H$3:$H$32,MATCH($B378,Mapping!$G$3:$G$32,0)),IF(LEFT($F378,3)="P2P",IFERROR(INDEX(Mapping!$E$3:$E$6,MATCH($G378,Mapping!$D$3:$D$6,0)),IFERROR(INDEX(Mapping!$B$3:$B$13,MATCH($J378,Mapping!$A$3:$A$13,0)),"(unmapped)")),IFERROR(INDEX(Mapping!$B$17:$B$22,MATCH($F378,Mapping!$A$17:$A$22,0)),$F378)&amp;" "&amp;IF($G378="Banking","Banking",IFERROR(INDEX(Mapping!$E$17:$E$28,MATCH($J378,Mapping!$D$17:$D$28,0)),"(unmapped)")))))</f>
        <v/>
      </c>
    </row>
    <row r="379" spans="11:11" x14ac:dyDescent="0.3">
      <c r="K379" t="str">
        <f>IF($D379="","",IFERROR(INDEX(Mapping!$H$3:$H$32,MATCH($B379,Mapping!$G$3:$G$32,0)),IF(LEFT($F379,3)="P2P",IFERROR(INDEX(Mapping!$E$3:$E$6,MATCH($G379,Mapping!$D$3:$D$6,0)),IFERROR(INDEX(Mapping!$B$3:$B$13,MATCH($J379,Mapping!$A$3:$A$13,0)),"(unmapped)")),IFERROR(INDEX(Mapping!$B$17:$B$22,MATCH($F379,Mapping!$A$17:$A$22,0)),$F379)&amp;" "&amp;IF($G379="Banking","Banking",IFERROR(INDEX(Mapping!$E$17:$E$28,MATCH($J379,Mapping!$D$17:$D$28,0)),"(unmapped)")))))</f>
        <v/>
      </c>
    </row>
    <row r="380" spans="11:11" x14ac:dyDescent="0.3">
      <c r="K380" t="str">
        <f>IF($D380="","",IFERROR(INDEX(Mapping!$H$3:$H$32,MATCH($B380,Mapping!$G$3:$G$32,0)),IF(LEFT($F380,3)="P2P",IFERROR(INDEX(Mapping!$E$3:$E$6,MATCH($G380,Mapping!$D$3:$D$6,0)),IFERROR(INDEX(Mapping!$B$3:$B$13,MATCH($J380,Mapping!$A$3:$A$13,0)),"(unmapped)")),IFERROR(INDEX(Mapping!$B$17:$B$22,MATCH($F380,Mapping!$A$17:$A$22,0)),$F380)&amp;" "&amp;IF($G380="Banking","Banking",IFERROR(INDEX(Mapping!$E$17:$E$28,MATCH($J380,Mapping!$D$17:$D$28,0)),"(unmapped)")))))</f>
        <v/>
      </c>
    </row>
    <row r="381" spans="11:11" x14ac:dyDescent="0.3">
      <c r="K381" t="str">
        <f>IF($D381="","",IFERROR(INDEX(Mapping!$H$3:$H$32,MATCH($B381,Mapping!$G$3:$G$32,0)),IF(LEFT($F381,3)="P2P",IFERROR(INDEX(Mapping!$E$3:$E$6,MATCH($G381,Mapping!$D$3:$D$6,0)),IFERROR(INDEX(Mapping!$B$3:$B$13,MATCH($J381,Mapping!$A$3:$A$13,0)),"(unmapped)")),IFERROR(INDEX(Mapping!$B$17:$B$22,MATCH($F381,Mapping!$A$17:$A$22,0)),$F381)&amp;" "&amp;IF($G381="Banking","Banking",IFERROR(INDEX(Mapping!$E$17:$E$28,MATCH($J381,Mapping!$D$17:$D$28,0)),"(unmapped)")))))</f>
        <v/>
      </c>
    </row>
    <row r="382" spans="11:11" x14ac:dyDescent="0.3">
      <c r="K382" t="str">
        <f>IF($D382="","",IFERROR(INDEX(Mapping!$H$3:$H$32,MATCH($B382,Mapping!$G$3:$G$32,0)),IF(LEFT($F382,3)="P2P",IFERROR(INDEX(Mapping!$E$3:$E$6,MATCH($G382,Mapping!$D$3:$D$6,0)),IFERROR(INDEX(Mapping!$B$3:$B$13,MATCH($J382,Mapping!$A$3:$A$13,0)),"(unmapped)")),IFERROR(INDEX(Mapping!$B$17:$B$22,MATCH($F382,Mapping!$A$17:$A$22,0)),$F382)&amp;" "&amp;IF($G382="Banking","Banking",IFERROR(INDEX(Mapping!$E$17:$E$28,MATCH($J382,Mapping!$D$17:$D$28,0)),"(unmapped)")))))</f>
        <v/>
      </c>
    </row>
    <row r="383" spans="11:11" x14ac:dyDescent="0.3">
      <c r="K383" t="str">
        <f>IF($D383="","",IFERROR(INDEX(Mapping!$H$3:$H$32,MATCH($B383,Mapping!$G$3:$G$32,0)),IF(LEFT($F383,3)="P2P",IFERROR(INDEX(Mapping!$E$3:$E$6,MATCH($G383,Mapping!$D$3:$D$6,0)),IFERROR(INDEX(Mapping!$B$3:$B$13,MATCH($J383,Mapping!$A$3:$A$13,0)),"(unmapped)")),IFERROR(INDEX(Mapping!$B$17:$B$22,MATCH($F383,Mapping!$A$17:$A$22,0)),$F383)&amp;" "&amp;IF($G383="Banking","Banking",IFERROR(INDEX(Mapping!$E$17:$E$28,MATCH($J383,Mapping!$D$17:$D$28,0)),"(unmapped)")))))</f>
        <v/>
      </c>
    </row>
    <row r="384" spans="11:11" x14ac:dyDescent="0.3">
      <c r="K384" t="str">
        <f>IF($D384="","",IFERROR(INDEX(Mapping!$H$3:$H$32,MATCH($B384,Mapping!$G$3:$G$32,0)),IF(LEFT($F384,3)="P2P",IFERROR(INDEX(Mapping!$E$3:$E$6,MATCH($G384,Mapping!$D$3:$D$6,0)),IFERROR(INDEX(Mapping!$B$3:$B$13,MATCH($J384,Mapping!$A$3:$A$13,0)),"(unmapped)")),IFERROR(INDEX(Mapping!$B$17:$B$22,MATCH($F384,Mapping!$A$17:$A$22,0)),$F384)&amp;" "&amp;IF($G384="Banking","Banking",IFERROR(INDEX(Mapping!$E$17:$E$28,MATCH($J384,Mapping!$D$17:$D$28,0)),"(unmapped)")))))</f>
        <v/>
      </c>
    </row>
    <row r="385" spans="11:11" x14ac:dyDescent="0.3">
      <c r="K385" t="str">
        <f>IF($D385="","",IFERROR(INDEX(Mapping!$H$3:$H$32,MATCH($B385,Mapping!$G$3:$G$32,0)),IF(LEFT($F385,3)="P2P",IFERROR(INDEX(Mapping!$E$3:$E$6,MATCH($G385,Mapping!$D$3:$D$6,0)),IFERROR(INDEX(Mapping!$B$3:$B$13,MATCH($J385,Mapping!$A$3:$A$13,0)),"(unmapped)")),IFERROR(INDEX(Mapping!$B$17:$B$22,MATCH($F385,Mapping!$A$17:$A$22,0)),$F385)&amp;" "&amp;IF($G385="Banking","Banking",IFERROR(INDEX(Mapping!$E$17:$E$28,MATCH($J385,Mapping!$D$17:$D$28,0)),"(unmapped)")))))</f>
        <v/>
      </c>
    </row>
    <row r="386" spans="11:11" x14ac:dyDescent="0.3">
      <c r="K386" t="str">
        <f>IF($D386="","",IFERROR(INDEX(Mapping!$H$3:$H$32,MATCH($B386,Mapping!$G$3:$G$32,0)),IF(LEFT($F386,3)="P2P",IFERROR(INDEX(Mapping!$E$3:$E$6,MATCH($G386,Mapping!$D$3:$D$6,0)),IFERROR(INDEX(Mapping!$B$3:$B$13,MATCH($J386,Mapping!$A$3:$A$13,0)),"(unmapped)")),IFERROR(INDEX(Mapping!$B$17:$B$22,MATCH($F386,Mapping!$A$17:$A$22,0)),$F386)&amp;" "&amp;IF($G386="Banking","Banking",IFERROR(INDEX(Mapping!$E$17:$E$28,MATCH($J386,Mapping!$D$17:$D$28,0)),"(unmapped)")))))</f>
        <v/>
      </c>
    </row>
    <row r="387" spans="11:11" x14ac:dyDescent="0.3">
      <c r="K387" t="str">
        <f>IF($D387="","",IFERROR(INDEX(Mapping!$H$3:$H$32,MATCH($B387,Mapping!$G$3:$G$32,0)),IF(LEFT($F387,3)="P2P",IFERROR(INDEX(Mapping!$E$3:$E$6,MATCH($G387,Mapping!$D$3:$D$6,0)),IFERROR(INDEX(Mapping!$B$3:$B$13,MATCH($J387,Mapping!$A$3:$A$13,0)),"(unmapped)")),IFERROR(INDEX(Mapping!$B$17:$B$22,MATCH($F387,Mapping!$A$17:$A$22,0)),$F387)&amp;" "&amp;IF($G387="Banking","Banking",IFERROR(INDEX(Mapping!$E$17:$E$28,MATCH($J387,Mapping!$D$17:$D$28,0)),"(unmapped)")))))</f>
        <v/>
      </c>
    </row>
    <row r="388" spans="11:11" x14ac:dyDescent="0.3">
      <c r="K388" t="str">
        <f>IF($D388="","",IFERROR(INDEX(Mapping!$H$3:$H$32,MATCH($B388,Mapping!$G$3:$G$32,0)),IF(LEFT($F388,3)="P2P",IFERROR(INDEX(Mapping!$E$3:$E$6,MATCH($G388,Mapping!$D$3:$D$6,0)),IFERROR(INDEX(Mapping!$B$3:$B$13,MATCH($J388,Mapping!$A$3:$A$13,0)),"(unmapped)")),IFERROR(INDEX(Mapping!$B$17:$B$22,MATCH($F388,Mapping!$A$17:$A$22,0)),$F388)&amp;" "&amp;IF($G388="Banking","Banking",IFERROR(INDEX(Mapping!$E$17:$E$28,MATCH($J388,Mapping!$D$17:$D$28,0)),"(unmapped)")))))</f>
        <v/>
      </c>
    </row>
    <row r="389" spans="11:11" x14ac:dyDescent="0.3">
      <c r="K389" t="str">
        <f>IF($D389="","",IFERROR(INDEX(Mapping!$H$3:$H$32,MATCH($B389,Mapping!$G$3:$G$32,0)),IF(LEFT($F389,3)="P2P",IFERROR(INDEX(Mapping!$E$3:$E$6,MATCH($G389,Mapping!$D$3:$D$6,0)),IFERROR(INDEX(Mapping!$B$3:$B$13,MATCH($J389,Mapping!$A$3:$A$13,0)),"(unmapped)")),IFERROR(INDEX(Mapping!$B$17:$B$22,MATCH($F389,Mapping!$A$17:$A$22,0)),$F389)&amp;" "&amp;IF($G389="Banking","Banking",IFERROR(INDEX(Mapping!$E$17:$E$28,MATCH($J389,Mapping!$D$17:$D$28,0)),"(unmapped)")))))</f>
        <v/>
      </c>
    </row>
    <row r="390" spans="11:11" x14ac:dyDescent="0.3">
      <c r="K390" t="str">
        <f>IF($D390="","",IFERROR(INDEX(Mapping!$H$3:$H$32,MATCH($B390,Mapping!$G$3:$G$32,0)),IF(LEFT($F390,3)="P2P",IFERROR(INDEX(Mapping!$E$3:$E$6,MATCH($G390,Mapping!$D$3:$D$6,0)),IFERROR(INDEX(Mapping!$B$3:$B$13,MATCH($J390,Mapping!$A$3:$A$13,0)),"(unmapped)")),IFERROR(INDEX(Mapping!$B$17:$B$22,MATCH($F390,Mapping!$A$17:$A$22,0)),$F390)&amp;" "&amp;IF($G390="Banking","Banking",IFERROR(INDEX(Mapping!$E$17:$E$28,MATCH($J390,Mapping!$D$17:$D$28,0)),"(unmapped)")))))</f>
        <v/>
      </c>
    </row>
    <row r="391" spans="11:11" x14ac:dyDescent="0.3">
      <c r="K391" t="str">
        <f>IF($D391="","",IFERROR(INDEX(Mapping!$H$3:$H$32,MATCH($B391,Mapping!$G$3:$G$32,0)),IF(LEFT($F391,3)="P2P",IFERROR(INDEX(Mapping!$E$3:$E$6,MATCH($G391,Mapping!$D$3:$D$6,0)),IFERROR(INDEX(Mapping!$B$3:$B$13,MATCH($J391,Mapping!$A$3:$A$13,0)),"(unmapped)")),IFERROR(INDEX(Mapping!$B$17:$B$22,MATCH($F391,Mapping!$A$17:$A$22,0)),$F391)&amp;" "&amp;IF($G391="Banking","Banking",IFERROR(INDEX(Mapping!$E$17:$E$28,MATCH($J391,Mapping!$D$17:$D$28,0)),"(unmapped)")))))</f>
        <v/>
      </c>
    </row>
    <row r="392" spans="11:11" x14ac:dyDescent="0.3">
      <c r="K392" t="str">
        <f>IF($D392="","",IFERROR(INDEX(Mapping!$H$3:$H$32,MATCH($B392,Mapping!$G$3:$G$32,0)),IF(LEFT($F392,3)="P2P",IFERROR(INDEX(Mapping!$E$3:$E$6,MATCH($G392,Mapping!$D$3:$D$6,0)),IFERROR(INDEX(Mapping!$B$3:$B$13,MATCH($J392,Mapping!$A$3:$A$13,0)),"(unmapped)")),IFERROR(INDEX(Mapping!$B$17:$B$22,MATCH($F392,Mapping!$A$17:$A$22,0)),$F392)&amp;" "&amp;IF($G392="Banking","Banking",IFERROR(INDEX(Mapping!$E$17:$E$28,MATCH($J392,Mapping!$D$17:$D$28,0)),"(unmapped)")))))</f>
        <v/>
      </c>
    </row>
    <row r="393" spans="11:11" x14ac:dyDescent="0.3">
      <c r="K393" t="str">
        <f>IF($D393="","",IFERROR(INDEX(Mapping!$H$3:$H$32,MATCH($B393,Mapping!$G$3:$G$32,0)),IF(LEFT($F393,3)="P2P",IFERROR(INDEX(Mapping!$E$3:$E$6,MATCH($G393,Mapping!$D$3:$D$6,0)),IFERROR(INDEX(Mapping!$B$3:$B$13,MATCH($J393,Mapping!$A$3:$A$13,0)),"(unmapped)")),IFERROR(INDEX(Mapping!$B$17:$B$22,MATCH($F393,Mapping!$A$17:$A$22,0)),$F393)&amp;" "&amp;IF($G393="Banking","Banking",IFERROR(INDEX(Mapping!$E$17:$E$28,MATCH($J393,Mapping!$D$17:$D$28,0)),"(unmapped)")))))</f>
        <v/>
      </c>
    </row>
    <row r="394" spans="11:11" x14ac:dyDescent="0.3">
      <c r="K394" t="str">
        <f>IF($D394="","",IFERROR(INDEX(Mapping!$H$3:$H$32,MATCH($B394,Mapping!$G$3:$G$32,0)),IF(LEFT($F394,3)="P2P",IFERROR(INDEX(Mapping!$E$3:$E$6,MATCH($G394,Mapping!$D$3:$D$6,0)),IFERROR(INDEX(Mapping!$B$3:$B$13,MATCH($J394,Mapping!$A$3:$A$13,0)),"(unmapped)")),IFERROR(INDEX(Mapping!$B$17:$B$22,MATCH($F394,Mapping!$A$17:$A$22,0)),$F394)&amp;" "&amp;IF($G394="Banking","Banking",IFERROR(INDEX(Mapping!$E$17:$E$28,MATCH($J394,Mapping!$D$17:$D$28,0)),"(unmapped)")))))</f>
        <v/>
      </c>
    </row>
    <row r="395" spans="11:11" x14ac:dyDescent="0.3">
      <c r="K395" t="str">
        <f>IF($D395="","",IFERROR(INDEX(Mapping!$H$3:$H$32,MATCH($B395,Mapping!$G$3:$G$32,0)),IF(LEFT($F395,3)="P2P",IFERROR(INDEX(Mapping!$E$3:$E$6,MATCH($G395,Mapping!$D$3:$D$6,0)),IFERROR(INDEX(Mapping!$B$3:$B$13,MATCH($J395,Mapping!$A$3:$A$13,0)),"(unmapped)")),IFERROR(INDEX(Mapping!$B$17:$B$22,MATCH($F395,Mapping!$A$17:$A$22,0)),$F395)&amp;" "&amp;IF($G395="Banking","Banking",IFERROR(INDEX(Mapping!$E$17:$E$28,MATCH($J395,Mapping!$D$17:$D$28,0)),"(unmapped)")))))</f>
        <v/>
      </c>
    </row>
    <row r="396" spans="11:11" x14ac:dyDescent="0.3">
      <c r="K396" t="str">
        <f>IF($D396="","",IFERROR(INDEX(Mapping!$H$3:$H$32,MATCH($B396,Mapping!$G$3:$G$32,0)),IF(LEFT($F396,3)="P2P",IFERROR(INDEX(Mapping!$E$3:$E$6,MATCH($G396,Mapping!$D$3:$D$6,0)),IFERROR(INDEX(Mapping!$B$3:$B$13,MATCH($J396,Mapping!$A$3:$A$13,0)),"(unmapped)")),IFERROR(INDEX(Mapping!$B$17:$B$22,MATCH($F396,Mapping!$A$17:$A$22,0)),$F396)&amp;" "&amp;IF($G396="Banking","Banking",IFERROR(INDEX(Mapping!$E$17:$E$28,MATCH($J396,Mapping!$D$17:$D$28,0)),"(unmapped)")))))</f>
        <v/>
      </c>
    </row>
    <row r="397" spans="11:11" x14ac:dyDescent="0.3">
      <c r="K397" t="str">
        <f>IF($D397="","",IFERROR(INDEX(Mapping!$H$3:$H$32,MATCH($B397,Mapping!$G$3:$G$32,0)),IF(LEFT($F397,3)="P2P",IFERROR(INDEX(Mapping!$E$3:$E$6,MATCH($G397,Mapping!$D$3:$D$6,0)),IFERROR(INDEX(Mapping!$B$3:$B$13,MATCH($J397,Mapping!$A$3:$A$13,0)),"(unmapped)")),IFERROR(INDEX(Mapping!$B$17:$B$22,MATCH($F397,Mapping!$A$17:$A$22,0)),$F397)&amp;" "&amp;IF($G397="Banking","Banking",IFERROR(INDEX(Mapping!$E$17:$E$28,MATCH($J397,Mapping!$D$17:$D$28,0)),"(unmapped)")))))</f>
        <v/>
      </c>
    </row>
    <row r="398" spans="11:11" x14ac:dyDescent="0.3">
      <c r="K398" t="str">
        <f>IF($D398="","",IFERROR(INDEX(Mapping!$H$3:$H$32,MATCH($B398,Mapping!$G$3:$G$32,0)),IF(LEFT($F398,3)="P2P",IFERROR(INDEX(Mapping!$E$3:$E$6,MATCH($G398,Mapping!$D$3:$D$6,0)),IFERROR(INDEX(Mapping!$B$3:$B$13,MATCH($J398,Mapping!$A$3:$A$13,0)),"(unmapped)")),IFERROR(INDEX(Mapping!$B$17:$B$22,MATCH($F398,Mapping!$A$17:$A$22,0)),$F398)&amp;" "&amp;IF($G398="Banking","Banking",IFERROR(INDEX(Mapping!$E$17:$E$28,MATCH($J398,Mapping!$D$17:$D$28,0)),"(unmapped)")))))</f>
        <v/>
      </c>
    </row>
    <row r="399" spans="11:11" x14ac:dyDescent="0.3">
      <c r="K399" t="str">
        <f>IF($D399="","",IFERROR(INDEX(Mapping!$H$3:$H$32,MATCH($B399,Mapping!$G$3:$G$32,0)),IF(LEFT($F399,3)="P2P",IFERROR(INDEX(Mapping!$E$3:$E$6,MATCH($G399,Mapping!$D$3:$D$6,0)),IFERROR(INDEX(Mapping!$B$3:$B$13,MATCH($J399,Mapping!$A$3:$A$13,0)),"(unmapped)")),IFERROR(INDEX(Mapping!$B$17:$B$22,MATCH($F399,Mapping!$A$17:$A$22,0)),$F399)&amp;" "&amp;IF($G399="Banking","Banking",IFERROR(INDEX(Mapping!$E$17:$E$28,MATCH($J399,Mapping!$D$17:$D$28,0)),"(unmapped)")))))</f>
        <v/>
      </c>
    </row>
    <row r="400" spans="11:11" x14ac:dyDescent="0.3">
      <c r="K400" t="str">
        <f>IF($D400="","",IFERROR(INDEX(Mapping!$H$3:$H$32,MATCH($B400,Mapping!$G$3:$G$32,0)),IF(LEFT($F400,3)="P2P",IFERROR(INDEX(Mapping!$E$3:$E$6,MATCH($G400,Mapping!$D$3:$D$6,0)),IFERROR(INDEX(Mapping!$B$3:$B$13,MATCH($J400,Mapping!$A$3:$A$13,0)),"(unmapped)")),IFERROR(INDEX(Mapping!$B$17:$B$22,MATCH($F400,Mapping!$A$17:$A$22,0)),$F400)&amp;" "&amp;IF($G400="Banking","Banking",IFERROR(INDEX(Mapping!$E$17:$E$28,MATCH($J400,Mapping!$D$17:$D$28,0)),"(unmapped)")))))</f>
        <v/>
      </c>
    </row>
    <row r="401" spans="11:11" x14ac:dyDescent="0.3">
      <c r="K401" t="str">
        <f>IF($D401="","",IFERROR(INDEX(Mapping!$H$3:$H$32,MATCH($B401,Mapping!$G$3:$G$32,0)),IF(LEFT($F401,3)="P2P",IFERROR(INDEX(Mapping!$E$3:$E$6,MATCH($G401,Mapping!$D$3:$D$6,0)),IFERROR(INDEX(Mapping!$B$3:$B$13,MATCH($J401,Mapping!$A$3:$A$13,0)),"(unmapped)")),IFERROR(INDEX(Mapping!$B$17:$B$22,MATCH($F401,Mapping!$A$17:$A$22,0)),$F401)&amp;" "&amp;IF($G401="Banking","Banking",IFERROR(INDEX(Mapping!$E$17:$E$28,MATCH($J401,Mapping!$D$17:$D$28,0)),"(unmapped)")))))</f>
        <v/>
      </c>
    </row>
    <row r="402" spans="11:11" x14ac:dyDescent="0.3">
      <c r="K402" t="str">
        <f>IF($D402="","",IFERROR(INDEX(Mapping!$H$3:$H$32,MATCH($B402,Mapping!$G$3:$G$32,0)),IF(LEFT($F402,3)="P2P",IFERROR(INDEX(Mapping!$E$3:$E$6,MATCH($G402,Mapping!$D$3:$D$6,0)),IFERROR(INDEX(Mapping!$B$3:$B$13,MATCH($J402,Mapping!$A$3:$A$13,0)),"(unmapped)")),IFERROR(INDEX(Mapping!$B$17:$B$22,MATCH($F402,Mapping!$A$17:$A$22,0)),$F402)&amp;" "&amp;IF($G402="Banking","Banking",IFERROR(INDEX(Mapping!$E$17:$E$28,MATCH($J402,Mapping!$D$17:$D$28,0)),"(unmapped)")))))</f>
        <v/>
      </c>
    </row>
    <row r="403" spans="11:11" x14ac:dyDescent="0.3">
      <c r="K403" t="str">
        <f>IF($D403="","",IFERROR(INDEX(Mapping!$H$3:$H$32,MATCH($B403,Mapping!$G$3:$G$32,0)),IF(LEFT($F403,3)="P2P",IFERROR(INDEX(Mapping!$E$3:$E$6,MATCH($G403,Mapping!$D$3:$D$6,0)),IFERROR(INDEX(Mapping!$B$3:$B$13,MATCH($J403,Mapping!$A$3:$A$13,0)),"(unmapped)")),IFERROR(INDEX(Mapping!$B$17:$B$22,MATCH($F403,Mapping!$A$17:$A$22,0)),$F403)&amp;" "&amp;IF($G403="Banking","Banking",IFERROR(INDEX(Mapping!$E$17:$E$28,MATCH($J403,Mapping!$D$17:$D$28,0)),"(unmapped)")))))</f>
        <v/>
      </c>
    </row>
    <row r="404" spans="11:11" x14ac:dyDescent="0.3">
      <c r="K404" t="str">
        <f>IF($D404="","",IFERROR(INDEX(Mapping!$H$3:$H$32,MATCH($B404,Mapping!$G$3:$G$32,0)),IF(LEFT($F404,3)="P2P",IFERROR(INDEX(Mapping!$E$3:$E$6,MATCH($G404,Mapping!$D$3:$D$6,0)),IFERROR(INDEX(Mapping!$B$3:$B$13,MATCH($J404,Mapping!$A$3:$A$13,0)),"(unmapped)")),IFERROR(INDEX(Mapping!$B$17:$B$22,MATCH($F404,Mapping!$A$17:$A$22,0)),$F404)&amp;" "&amp;IF($G404="Banking","Banking",IFERROR(INDEX(Mapping!$E$17:$E$28,MATCH($J404,Mapping!$D$17:$D$28,0)),"(unmapped)")))))</f>
        <v/>
      </c>
    </row>
    <row r="405" spans="11:11" x14ac:dyDescent="0.3">
      <c r="K405" t="str">
        <f>IF($D405="","",IFERROR(INDEX(Mapping!$H$3:$H$32,MATCH($B405,Mapping!$G$3:$G$32,0)),IF(LEFT($F405,3)="P2P",IFERROR(INDEX(Mapping!$E$3:$E$6,MATCH($G405,Mapping!$D$3:$D$6,0)),IFERROR(INDEX(Mapping!$B$3:$B$13,MATCH($J405,Mapping!$A$3:$A$13,0)),"(unmapped)")),IFERROR(INDEX(Mapping!$B$17:$B$22,MATCH($F405,Mapping!$A$17:$A$22,0)),$F405)&amp;" "&amp;IF($G405="Banking","Banking",IFERROR(INDEX(Mapping!$E$17:$E$28,MATCH($J405,Mapping!$D$17:$D$28,0)),"(unmapped)")))))</f>
        <v/>
      </c>
    </row>
    <row r="406" spans="11:11" x14ac:dyDescent="0.3">
      <c r="K406" t="str">
        <f>IF($D406="","",IFERROR(INDEX(Mapping!$H$3:$H$32,MATCH($B406,Mapping!$G$3:$G$32,0)),IF(LEFT($F406,3)="P2P",IFERROR(INDEX(Mapping!$E$3:$E$6,MATCH($G406,Mapping!$D$3:$D$6,0)),IFERROR(INDEX(Mapping!$B$3:$B$13,MATCH($J406,Mapping!$A$3:$A$13,0)),"(unmapped)")),IFERROR(INDEX(Mapping!$B$17:$B$22,MATCH($F406,Mapping!$A$17:$A$22,0)),$F406)&amp;" "&amp;IF($G406="Banking","Banking",IFERROR(INDEX(Mapping!$E$17:$E$28,MATCH($J406,Mapping!$D$17:$D$28,0)),"(unmapped)")))))</f>
        <v/>
      </c>
    </row>
    <row r="407" spans="11:11" x14ac:dyDescent="0.3">
      <c r="K407" t="str">
        <f>IF($D407="","",IFERROR(INDEX(Mapping!$H$3:$H$32,MATCH($B407,Mapping!$G$3:$G$32,0)),IF(LEFT($F407,3)="P2P",IFERROR(INDEX(Mapping!$E$3:$E$6,MATCH($G407,Mapping!$D$3:$D$6,0)),IFERROR(INDEX(Mapping!$B$3:$B$13,MATCH($J407,Mapping!$A$3:$A$13,0)),"(unmapped)")),IFERROR(INDEX(Mapping!$B$17:$B$22,MATCH($F407,Mapping!$A$17:$A$22,0)),$F407)&amp;" "&amp;IF($G407="Banking","Banking",IFERROR(INDEX(Mapping!$E$17:$E$28,MATCH($J407,Mapping!$D$17:$D$28,0)),"(unmapped)")))))</f>
        <v/>
      </c>
    </row>
    <row r="408" spans="11:11" x14ac:dyDescent="0.3">
      <c r="K408" t="str">
        <f>IF($D408="","",IFERROR(INDEX(Mapping!$H$3:$H$32,MATCH($B408,Mapping!$G$3:$G$32,0)),IF(LEFT($F408,3)="P2P",IFERROR(INDEX(Mapping!$E$3:$E$6,MATCH($G408,Mapping!$D$3:$D$6,0)),IFERROR(INDEX(Mapping!$B$3:$B$13,MATCH($J408,Mapping!$A$3:$A$13,0)),"(unmapped)")),IFERROR(INDEX(Mapping!$B$17:$B$22,MATCH($F408,Mapping!$A$17:$A$22,0)),$F408)&amp;" "&amp;IF($G408="Banking","Banking",IFERROR(INDEX(Mapping!$E$17:$E$28,MATCH($J408,Mapping!$D$17:$D$28,0)),"(unmapped)")))))</f>
        <v/>
      </c>
    </row>
    <row r="409" spans="11:11" x14ac:dyDescent="0.3">
      <c r="K409" t="str">
        <f>IF($D409="","",IFERROR(INDEX(Mapping!$H$3:$H$32,MATCH($B409,Mapping!$G$3:$G$32,0)),IF(LEFT($F409,3)="P2P",IFERROR(INDEX(Mapping!$E$3:$E$6,MATCH($G409,Mapping!$D$3:$D$6,0)),IFERROR(INDEX(Mapping!$B$3:$B$13,MATCH($J409,Mapping!$A$3:$A$13,0)),"(unmapped)")),IFERROR(INDEX(Mapping!$B$17:$B$22,MATCH($F409,Mapping!$A$17:$A$22,0)),$F409)&amp;" "&amp;IF($G409="Banking","Banking",IFERROR(INDEX(Mapping!$E$17:$E$28,MATCH($J409,Mapping!$D$17:$D$28,0)),"(unmapped)")))))</f>
        <v/>
      </c>
    </row>
    <row r="410" spans="11:11" x14ac:dyDescent="0.3">
      <c r="K410" t="str">
        <f>IF($D410="","",IFERROR(INDEX(Mapping!$H$3:$H$32,MATCH($B410,Mapping!$G$3:$G$32,0)),IF(LEFT($F410,3)="P2P",IFERROR(INDEX(Mapping!$E$3:$E$6,MATCH($G410,Mapping!$D$3:$D$6,0)),IFERROR(INDEX(Mapping!$B$3:$B$13,MATCH($J410,Mapping!$A$3:$A$13,0)),"(unmapped)")),IFERROR(INDEX(Mapping!$B$17:$B$22,MATCH($F410,Mapping!$A$17:$A$22,0)),$F410)&amp;" "&amp;IF($G410="Banking","Banking",IFERROR(INDEX(Mapping!$E$17:$E$28,MATCH($J410,Mapping!$D$17:$D$28,0)),"(unmapped)")))))</f>
        <v/>
      </c>
    </row>
    <row r="411" spans="11:11" x14ac:dyDescent="0.3">
      <c r="K411" t="str">
        <f>IF($D411="","",IFERROR(INDEX(Mapping!$H$3:$H$32,MATCH($B411,Mapping!$G$3:$G$32,0)),IF(LEFT($F411,3)="P2P",IFERROR(INDEX(Mapping!$E$3:$E$6,MATCH($G411,Mapping!$D$3:$D$6,0)),IFERROR(INDEX(Mapping!$B$3:$B$13,MATCH($J411,Mapping!$A$3:$A$13,0)),"(unmapped)")),IFERROR(INDEX(Mapping!$B$17:$B$22,MATCH($F411,Mapping!$A$17:$A$22,0)),$F411)&amp;" "&amp;IF($G411="Banking","Banking",IFERROR(INDEX(Mapping!$E$17:$E$28,MATCH($J411,Mapping!$D$17:$D$28,0)),"(unmapped)")))))</f>
        <v/>
      </c>
    </row>
    <row r="412" spans="11:11" x14ac:dyDescent="0.3">
      <c r="K412" t="str">
        <f>IF($D412="","",IFERROR(INDEX(Mapping!$H$3:$H$32,MATCH($B412,Mapping!$G$3:$G$32,0)),IF(LEFT($F412,3)="P2P",IFERROR(INDEX(Mapping!$E$3:$E$6,MATCH($G412,Mapping!$D$3:$D$6,0)),IFERROR(INDEX(Mapping!$B$3:$B$13,MATCH($J412,Mapping!$A$3:$A$13,0)),"(unmapped)")),IFERROR(INDEX(Mapping!$B$17:$B$22,MATCH($F412,Mapping!$A$17:$A$22,0)),$F412)&amp;" "&amp;IF($G412="Banking","Banking",IFERROR(INDEX(Mapping!$E$17:$E$28,MATCH($J412,Mapping!$D$17:$D$28,0)),"(unmapped)")))))</f>
        <v/>
      </c>
    </row>
    <row r="413" spans="11:11" x14ac:dyDescent="0.3">
      <c r="K413" t="str">
        <f>IF($D413="","",IFERROR(INDEX(Mapping!$H$3:$H$32,MATCH($B413,Mapping!$G$3:$G$32,0)),IF(LEFT($F413,3)="P2P",IFERROR(INDEX(Mapping!$E$3:$E$6,MATCH($G413,Mapping!$D$3:$D$6,0)),IFERROR(INDEX(Mapping!$B$3:$B$13,MATCH($J413,Mapping!$A$3:$A$13,0)),"(unmapped)")),IFERROR(INDEX(Mapping!$B$17:$B$22,MATCH($F413,Mapping!$A$17:$A$22,0)),$F413)&amp;" "&amp;IF($G413="Banking","Banking",IFERROR(INDEX(Mapping!$E$17:$E$28,MATCH($J413,Mapping!$D$17:$D$28,0)),"(unmapped)")))))</f>
        <v/>
      </c>
    </row>
    <row r="414" spans="11:11" x14ac:dyDescent="0.3">
      <c r="K414" t="str">
        <f>IF($D414="","",IFERROR(INDEX(Mapping!$H$3:$H$32,MATCH($B414,Mapping!$G$3:$G$32,0)),IF(LEFT($F414,3)="P2P",IFERROR(INDEX(Mapping!$E$3:$E$6,MATCH($G414,Mapping!$D$3:$D$6,0)),IFERROR(INDEX(Mapping!$B$3:$B$13,MATCH($J414,Mapping!$A$3:$A$13,0)),"(unmapped)")),IFERROR(INDEX(Mapping!$B$17:$B$22,MATCH($F414,Mapping!$A$17:$A$22,0)),$F414)&amp;" "&amp;IF($G414="Banking","Banking",IFERROR(INDEX(Mapping!$E$17:$E$28,MATCH($J414,Mapping!$D$17:$D$28,0)),"(unmapped)")))))</f>
        <v/>
      </c>
    </row>
    <row r="415" spans="11:11" x14ac:dyDescent="0.3">
      <c r="K415" t="str">
        <f>IF($D415="","",IFERROR(INDEX(Mapping!$H$3:$H$32,MATCH($B415,Mapping!$G$3:$G$32,0)),IF(LEFT($F415,3)="P2P",IFERROR(INDEX(Mapping!$E$3:$E$6,MATCH($G415,Mapping!$D$3:$D$6,0)),IFERROR(INDEX(Mapping!$B$3:$B$13,MATCH($J415,Mapping!$A$3:$A$13,0)),"(unmapped)")),IFERROR(INDEX(Mapping!$B$17:$B$22,MATCH($F415,Mapping!$A$17:$A$22,0)),$F415)&amp;" "&amp;IF($G415="Banking","Banking",IFERROR(INDEX(Mapping!$E$17:$E$28,MATCH($J415,Mapping!$D$17:$D$28,0)),"(unmapped)")))))</f>
        <v/>
      </c>
    </row>
    <row r="416" spans="11:11" x14ac:dyDescent="0.3">
      <c r="K416" t="str">
        <f>IF($D416="","",IFERROR(INDEX(Mapping!$H$3:$H$32,MATCH($B416,Mapping!$G$3:$G$32,0)),IF(LEFT($F416,3)="P2P",IFERROR(INDEX(Mapping!$E$3:$E$6,MATCH($G416,Mapping!$D$3:$D$6,0)),IFERROR(INDEX(Mapping!$B$3:$B$13,MATCH($J416,Mapping!$A$3:$A$13,0)),"(unmapped)")),IFERROR(INDEX(Mapping!$B$17:$B$22,MATCH($F416,Mapping!$A$17:$A$22,0)),$F416)&amp;" "&amp;IF($G416="Banking","Banking",IFERROR(INDEX(Mapping!$E$17:$E$28,MATCH($J416,Mapping!$D$17:$D$28,0)),"(unmapped)")))))</f>
        <v/>
      </c>
    </row>
    <row r="417" spans="11:11" x14ac:dyDescent="0.3">
      <c r="K417" t="str">
        <f>IF($D417="","",IFERROR(INDEX(Mapping!$H$3:$H$32,MATCH($B417,Mapping!$G$3:$G$32,0)),IF(LEFT($F417,3)="P2P",IFERROR(INDEX(Mapping!$E$3:$E$6,MATCH($G417,Mapping!$D$3:$D$6,0)),IFERROR(INDEX(Mapping!$B$3:$B$13,MATCH($J417,Mapping!$A$3:$A$13,0)),"(unmapped)")),IFERROR(INDEX(Mapping!$B$17:$B$22,MATCH($F417,Mapping!$A$17:$A$22,0)),$F417)&amp;" "&amp;IF($G417="Banking","Banking",IFERROR(INDEX(Mapping!$E$17:$E$28,MATCH($J417,Mapping!$D$17:$D$28,0)),"(unmapped)")))))</f>
        <v/>
      </c>
    </row>
    <row r="418" spans="11:11" x14ac:dyDescent="0.3">
      <c r="K418" t="str">
        <f>IF($D418="","",IFERROR(INDEX(Mapping!$H$3:$H$32,MATCH($B418,Mapping!$G$3:$G$32,0)),IF(LEFT($F418,3)="P2P",IFERROR(INDEX(Mapping!$E$3:$E$6,MATCH($G418,Mapping!$D$3:$D$6,0)),IFERROR(INDEX(Mapping!$B$3:$B$13,MATCH($J418,Mapping!$A$3:$A$13,0)),"(unmapped)")),IFERROR(INDEX(Mapping!$B$17:$B$22,MATCH($F418,Mapping!$A$17:$A$22,0)),$F418)&amp;" "&amp;IF($G418="Banking","Banking",IFERROR(INDEX(Mapping!$E$17:$E$28,MATCH($J418,Mapping!$D$17:$D$28,0)),"(unmapped)")))))</f>
        <v/>
      </c>
    </row>
    <row r="419" spans="11:11" x14ac:dyDescent="0.3">
      <c r="K419" t="str">
        <f>IF($D419="","",IFERROR(INDEX(Mapping!$H$3:$H$32,MATCH($B419,Mapping!$G$3:$G$32,0)),IF(LEFT($F419,3)="P2P",IFERROR(INDEX(Mapping!$E$3:$E$6,MATCH($G419,Mapping!$D$3:$D$6,0)),IFERROR(INDEX(Mapping!$B$3:$B$13,MATCH($J419,Mapping!$A$3:$A$13,0)),"(unmapped)")),IFERROR(INDEX(Mapping!$B$17:$B$22,MATCH($F419,Mapping!$A$17:$A$22,0)),$F419)&amp;" "&amp;IF($G419="Banking","Banking",IFERROR(INDEX(Mapping!$E$17:$E$28,MATCH($J419,Mapping!$D$17:$D$28,0)),"(unmapped)")))))</f>
        <v/>
      </c>
    </row>
    <row r="420" spans="11:11" x14ac:dyDescent="0.3">
      <c r="K420" t="str">
        <f>IF($D420="","",IFERROR(INDEX(Mapping!$H$3:$H$32,MATCH($B420,Mapping!$G$3:$G$32,0)),IF(LEFT($F420,3)="P2P",IFERROR(INDEX(Mapping!$E$3:$E$6,MATCH($G420,Mapping!$D$3:$D$6,0)),IFERROR(INDEX(Mapping!$B$3:$B$13,MATCH($J420,Mapping!$A$3:$A$13,0)),"(unmapped)")),IFERROR(INDEX(Mapping!$B$17:$B$22,MATCH($F420,Mapping!$A$17:$A$22,0)),$F420)&amp;" "&amp;IF($G420="Banking","Banking",IFERROR(INDEX(Mapping!$E$17:$E$28,MATCH($J420,Mapping!$D$17:$D$28,0)),"(unmapped)")))))</f>
        <v/>
      </c>
    </row>
    <row r="421" spans="11:11" x14ac:dyDescent="0.3">
      <c r="K421" t="str">
        <f>IF($D421="","",IFERROR(INDEX(Mapping!$H$3:$H$32,MATCH($B421,Mapping!$G$3:$G$32,0)),IF(LEFT($F421,3)="P2P",IFERROR(INDEX(Mapping!$E$3:$E$6,MATCH($G421,Mapping!$D$3:$D$6,0)),IFERROR(INDEX(Mapping!$B$3:$B$13,MATCH($J421,Mapping!$A$3:$A$13,0)),"(unmapped)")),IFERROR(INDEX(Mapping!$B$17:$B$22,MATCH($F421,Mapping!$A$17:$A$22,0)),$F421)&amp;" "&amp;IF($G421="Banking","Banking",IFERROR(INDEX(Mapping!$E$17:$E$28,MATCH($J421,Mapping!$D$17:$D$28,0)),"(unmapped)")))))</f>
        <v/>
      </c>
    </row>
    <row r="422" spans="11:11" x14ac:dyDescent="0.3">
      <c r="K422" t="str">
        <f>IF($D422="","",IFERROR(INDEX(Mapping!$H$3:$H$32,MATCH($B422,Mapping!$G$3:$G$32,0)),IF(LEFT($F422,3)="P2P",IFERROR(INDEX(Mapping!$E$3:$E$6,MATCH($G422,Mapping!$D$3:$D$6,0)),IFERROR(INDEX(Mapping!$B$3:$B$13,MATCH($J422,Mapping!$A$3:$A$13,0)),"(unmapped)")),IFERROR(INDEX(Mapping!$B$17:$B$22,MATCH($F422,Mapping!$A$17:$A$22,0)),$F422)&amp;" "&amp;IF($G422="Banking","Banking",IFERROR(INDEX(Mapping!$E$17:$E$28,MATCH($J422,Mapping!$D$17:$D$28,0)),"(unmapped)")))))</f>
        <v/>
      </c>
    </row>
    <row r="423" spans="11:11" x14ac:dyDescent="0.3">
      <c r="K423" t="str">
        <f>IF($D423="","",IFERROR(INDEX(Mapping!$H$3:$H$32,MATCH($B423,Mapping!$G$3:$G$32,0)),IF(LEFT($F423,3)="P2P",IFERROR(INDEX(Mapping!$E$3:$E$6,MATCH($G423,Mapping!$D$3:$D$6,0)),IFERROR(INDEX(Mapping!$B$3:$B$13,MATCH($J423,Mapping!$A$3:$A$13,0)),"(unmapped)")),IFERROR(INDEX(Mapping!$B$17:$B$22,MATCH($F423,Mapping!$A$17:$A$22,0)),$F423)&amp;" "&amp;IF($G423="Banking","Banking",IFERROR(INDEX(Mapping!$E$17:$E$28,MATCH($J423,Mapping!$D$17:$D$28,0)),"(unmapped)")))))</f>
        <v/>
      </c>
    </row>
    <row r="424" spans="11:11" x14ac:dyDescent="0.3">
      <c r="K424" t="str">
        <f>IF($D424="","",IFERROR(INDEX(Mapping!$H$3:$H$32,MATCH($B424,Mapping!$G$3:$G$32,0)),IF(LEFT($F424,3)="P2P",IFERROR(INDEX(Mapping!$E$3:$E$6,MATCH($G424,Mapping!$D$3:$D$6,0)),IFERROR(INDEX(Mapping!$B$3:$B$13,MATCH($J424,Mapping!$A$3:$A$13,0)),"(unmapped)")),IFERROR(INDEX(Mapping!$B$17:$B$22,MATCH($F424,Mapping!$A$17:$A$22,0)),$F424)&amp;" "&amp;IF($G424="Banking","Banking",IFERROR(INDEX(Mapping!$E$17:$E$28,MATCH($J424,Mapping!$D$17:$D$28,0)),"(unmapped)")))))</f>
        <v/>
      </c>
    </row>
    <row r="425" spans="11:11" x14ac:dyDescent="0.3">
      <c r="K425" t="str">
        <f>IF($D425="","",IFERROR(INDEX(Mapping!$H$3:$H$32,MATCH($B425,Mapping!$G$3:$G$32,0)),IF(LEFT($F425,3)="P2P",IFERROR(INDEX(Mapping!$E$3:$E$6,MATCH($G425,Mapping!$D$3:$D$6,0)),IFERROR(INDEX(Mapping!$B$3:$B$13,MATCH($J425,Mapping!$A$3:$A$13,0)),"(unmapped)")),IFERROR(INDEX(Mapping!$B$17:$B$22,MATCH($F425,Mapping!$A$17:$A$22,0)),$F425)&amp;" "&amp;IF($G425="Banking","Banking",IFERROR(INDEX(Mapping!$E$17:$E$28,MATCH($J425,Mapping!$D$17:$D$28,0)),"(unmapped)")))))</f>
        <v/>
      </c>
    </row>
    <row r="426" spans="11:11" x14ac:dyDescent="0.3">
      <c r="K426" t="str">
        <f>IF($D426="","",IFERROR(INDEX(Mapping!$H$3:$H$32,MATCH($B426,Mapping!$G$3:$G$32,0)),IF(LEFT($F426,3)="P2P",IFERROR(INDEX(Mapping!$E$3:$E$6,MATCH($G426,Mapping!$D$3:$D$6,0)),IFERROR(INDEX(Mapping!$B$3:$B$13,MATCH($J426,Mapping!$A$3:$A$13,0)),"(unmapped)")),IFERROR(INDEX(Mapping!$B$17:$B$22,MATCH($F426,Mapping!$A$17:$A$22,0)),$F426)&amp;" "&amp;IF($G426="Banking","Banking",IFERROR(INDEX(Mapping!$E$17:$E$28,MATCH($J426,Mapping!$D$17:$D$28,0)),"(unmapped)")))))</f>
        <v/>
      </c>
    </row>
    <row r="427" spans="11:11" x14ac:dyDescent="0.3">
      <c r="K427" t="str">
        <f>IF($D427="","",IFERROR(INDEX(Mapping!$H$3:$H$32,MATCH($B427,Mapping!$G$3:$G$32,0)),IF(LEFT($F427,3)="P2P",IFERROR(INDEX(Mapping!$E$3:$E$6,MATCH($G427,Mapping!$D$3:$D$6,0)),IFERROR(INDEX(Mapping!$B$3:$B$13,MATCH($J427,Mapping!$A$3:$A$13,0)),"(unmapped)")),IFERROR(INDEX(Mapping!$B$17:$B$22,MATCH($F427,Mapping!$A$17:$A$22,0)),$F427)&amp;" "&amp;IF($G427="Banking","Banking",IFERROR(INDEX(Mapping!$E$17:$E$28,MATCH($J427,Mapping!$D$17:$D$28,0)),"(unmapped)")))))</f>
        <v/>
      </c>
    </row>
    <row r="428" spans="11:11" x14ac:dyDescent="0.3">
      <c r="K428" t="str">
        <f>IF($D428="","",IFERROR(INDEX(Mapping!$H$3:$H$32,MATCH($B428,Mapping!$G$3:$G$32,0)),IF(LEFT($F428,3)="P2P",IFERROR(INDEX(Mapping!$E$3:$E$6,MATCH($G428,Mapping!$D$3:$D$6,0)),IFERROR(INDEX(Mapping!$B$3:$B$13,MATCH($J428,Mapping!$A$3:$A$13,0)),"(unmapped)")),IFERROR(INDEX(Mapping!$B$17:$B$22,MATCH($F428,Mapping!$A$17:$A$22,0)),$F428)&amp;" "&amp;IF($G428="Banking","Banking",IFERROR(INDEX(Mapping!$E$17:$E$28,MATCH($J428,Mapping!$D$17:$D$28,0)),"(unmapped)")))))</f>
        <v/>
      </c>
    </row>
    <row r="429" spans="11:11" x14ac:dyDescent="0.3">
      <c r="K429" t="str">
        <f>IF($D429="","",IFERROR(INDEX(Mapping!$H$3:$H$32,MATCH($B429,Mapping!$G$3:$G$32,0)),IF(LEFT($F429,3)="P2P",IFERROR(INDEX(Mapping!$E$3:$E$6,MATCH($G429,Mapping!$D$3:$D$6,0)),IFERROR(INDEX(Mapping!$B$3:$B$13,MATCH($J429,Mapping!$A$3:$A$13,0)),"(unmapped)")),IFERROR(INDEX(Mapping!$B$17:$B$22,MATCH($F429,Mapping!$A$17:$A$22,0)),$F429)&amp;" "&amp;IF($G429="Banking","Banking",IFERROR(INDEX(Mapping!$E$17:$E$28,MATCH($J429,Mapping!$D$17:$D$28,0)),"(unmapped)")))))</f>
        <v/>
      </c>
    </row>
    <row r="430" spans="11:11" x14ac:dyDescent="0.3">
      <c r="K430" t="str">
        <f>IF($D430="","",IFERROR(INDEX(Mapping!$H$3:$H$32,MATCH($B430,Mapping!$G$3:$G$32,0)),IF(LEFT($F430,3)="P2P",IFERROR(INDEX(Mapping!$E$3:$E$6,MATCH($G430,Mapping!$D$3:$D$6,0)),IFERROR(INDEX(Mapping!$B$3:$B$13,MATCH($J430,Mapping!$A$3:$A$13,0)),"(unmapped)")),IFERROR(INDEX(Mapping!$B$17:$B$22,MATCH($F430,Mapping!$A$17:$A$22,0)),$F430)&amp;" "&amp;IF($G430="Banking","Banking",IFERROR(INDEX(Mapping!$E$17:$E$28,MATCH($J430,Mapping!$D$17:$D$28,0)),"(unmapped)")))))</f>
        <v/>
      </c>
    </row>
    <row r="431" spans="11:11" x14ac:dyDescent="0.3">
      <c r="K431" t="str">
        <f>IF($D431="","",IFERROR(INDEX(Mapping!$H$3:$H$32,MATCH($B431,Mapping!$G$3:$G$32,0)),IF(LEFT($F431,3)="P2P",IFERROR(INDEX(Mapping!$E$3:$E$6,MATCH($G431,Mapping!$D$3:$D$6,0)),IFERROR(INDEX(Mapping!$B$3:$B$13,MATCH($J431,Mapping!$A$3:$A$13,0)),"(unmapped)")),IFERROR(INDEX(Mapping!$B$17:$B$22,MATCH($F431,Mapping!$A$17:$A$22,0)),$F431)&amp;" "&amp;IF($G431="Banking","Banking",IFERROR(INDEX(Mapping!$E$17:$E$28,MATCH($J431,Mapping!$D$17:$D$28,0)),"(unmapped)")))))</f>
        <v/>
      </c>
    </row>
    <row r="432" spans="11:11" x14ac:dyDescent="0.3">
      <c r="K432" t="str">
        <f>IF($D432="","",IFERROR(INDEX(Mapping!$H$3:$H$32,MATCH($B432,Mapping!$G$3:$G$32,0)),IF(LEFT($F432,3)="P2P",IFERROR(INDEX(Mapping!$E$3:$E$6,MATCH($G432,Mapping!$D$3:$D$6,0)),IFERROR(INDEX(Mapping!$B$3:$B$13,MATCH($J432,Mapping!$A$3:$A$13,0)),"(unmapped)")),IFERROR(INDEX(Mapping!$B$17:$B$22,MATCH($F432,Mapping!$A$17:$A$22,0)),$F432)&amp;" "&amp;IF($G432="Banking","Banking",IFERROR(INDEX(Mapping!$E$17:$E$28,MATCH($J432,Mapping!$D$17:$D$28,0)),"(unmapped)")))))</f>
        <v/>
      </c>
    </row>
    <row r="433" spans="11:11" x14ac:dyDescent="0.3">
      <c r="K433" t="str">
        <f>IF($D433="","",IFERROR(INDEX(Mapping!$H$3:$H$32,MATCH($B433,Mapping!$G$3:$G$32,0)),IF(LEFT($F433,3)="P2P",IFERROR(INDEX(Mapping!$E$3:$E$6,MATCH($G433,Mapping!$D$3:$D$6,0)),IFERROR(INDEX(Mapping!$B$3:$B$13,MATCH($J433,Mapping!$A$3:$A$13,0)),"(unmapped)")),IFERROR(INDEX(Mapping!$B$17:$B$22,MATCH($F433,Mapping!$A$17:$A$22,0)),$F433)&amp;" "&amp;IF($G433="Banking","Banking",IFERROR(INDEX(Mapping!$E$17:$E$28,MATCH($J433,Mapping!$D$17:$D$28,0)),"(unmapped)")))))</f>
        <v/>
      </c>
    </row>
    <row r="434" spans="11:11" x14ac:dyDescent="0.3">
      <c r="K434" t="str">
        <f>IF($D434="","",IFERROR(INDEX(Mapping!$H$3:$H$32,MATCH($B434,Mapping!$G$3:$G$32,0)),IF(LEFT($F434,3)="P2P",IFERROR(INDEX(Mapping!$E$3:$E$6,MATCH($G434,Mapping!$D$3:$D$6,0)),IFERROR(INDEX(Mapping!$B$3:$B$13,MATCH($J434,Mapping!$A$3:$A$13,0)),"(unmapped)")),IFERROR(INDEX(Mapping!$B$17:$B$22,MATCH($F434,Mapping!$A$17:$A$22,0)),$F434)&amp;" "&amp;IF($G434="Banking","Banking",IFERROR(INDEX(Mapping!$E$17:$E$28,MATCH($J434,Mapping!$D$17:$D$28,0)),"(unmapped)")))))</f>
        <v/>
      </c>
    </row>
    <row r="435" spans="11:11" x14ac:dyDescent="0.3">
      <c r="K435" t="str">
        <f>IF($D435="","",IFERROR(INDEX(Mapping!$H$3:$H$32,MATCH($B435,Mapping!$G$3:$G$32,0)),IF(LEFT($F435,3)="P2P",IFERROR(INDEX(Mapping!$E$3:$E$6,MATCH($G435,Mapping!$D$3:$D$6,0)),IFERROR(INDEX(Mapping!$B$3:$B$13,MATCH($J435,Mapping!$A$3:$A$13,0)),"(unmapped)")),IFERROR(INDEX(Mapping!$B$17:$B$22,MATCH($F435,Mapping!$A$17:$A$22,0)),$F435)&amp;" "&amp;IF($G435="Banking","Banking",IFERROR(INDEX(Mapping!$E$17:$E$28,MATCH($J435,Mapping!$D$17:$D$28,0)),"(unmapped)")))))</f>
        <v/>
      </c>
    </row>
    <row r="436" spans="11:11" x14ac:dyDescent="0.3">
      <c r="K436" t="str">
        <f>IF($D436="","",IFERROR(INDEX(Mapping!$H$3:$H$32,MATCH($B436,Mapping!$G$3:$G$32,0)),IF(LEFT($F436,3)="P2P",IFERROR(INDEX(Mapping!$E$3:$E$6,MATCH($G436,Mapping!$D$3:$D$6,0)),IFERROR(INDEX(Mapping!$B$3:$B$13,MATCH($J436,Mapping!$A$3:$A$13,0)),"(unmapped)")),IFERROR(INDEX(Mapping!$B$17:$B$22,MATCH($F436,Mapping!$A$17:$A$22,0)),$F436)&amp;" "&amp;IF($G436="Banking","Banking",IFERROR(INDEX(Mapping!$E$17:$E$28,MATCH($J436,Mapping!$D$17:$D$28,0)),"(unmapped)")))))</f>
        <v/>
      </c>
    </row>
    <row r="437" spans="11:11" x14ac:dyDescent="0.3">
      <c r="K437" t="str">
        <f>IF($D437="","",IFERROR(INDEX(Mapping!$H$3:$H$32,MATCH($B437,Mapping!$G$3:$G$32,0)),IF(LEFT($F437,3)="P2P",IFERROR(INDEX(Mapping!$E$3:$E$6,MATCH($G437,Mapping!$D$3:$D$6,0)),IFERROR(INDEX(Mapping!$B$3:$B$13,MATCH($J437,Mapping!$A$3:$A$13,0)),"(unmapped)")),IFERROR(INDEX(Mapping!$B$17:$B$22,MATCH($F437,Mapping!$A$17:$A$22,0)),$F437)&amp;" "&amp;IF($G437="Banking","Banking",IFERROR(INDEX(Mapping!$E$17:$E$28,MATCH($J437,Mapping!$D$17:$D$28,0)),"(unmapped)")))))</f>
        <v/>
      </c>
    </row>
    <row r="438" spans="11:11" x14ac:dyDescent="0.3">
      <c r="K438" t="str">
        <f>IF($D438="","",IFERROR(INDEX(Mapping!$H$3:$H$32,MATCH($B438,Mapping!$G$3:$G$32,0)),IF(LEFT($F438,3)="P2P",IFERROR(INDEX(Mapping!$E$3:$E$6,MATCH($G438,Mapping!$D$3:$D$6,0)),IFERROR(INDEX(Mapping!$B$3:$B$13,MATCH($J438,Mapping!$A$3:$A$13,0)),"(unmapped)")),IFERROR(INDEX(Mapping!$B$17:$B$22,MATCH($F438,Mapping!$A$17:$A$22,0)),$F438)&amp;" "&amp;IF($G438="Banking","Banking",IFERROR(INDEX(Mapping!$E$17:$E$28,MATCH($J438,Mapping!$D$17:$D$28,0)),"(unmapped)")))))</f>
        <v/>
      </c>
    </row>
    <row r="439" spans="11:11" x14ac:dyDescent="0.3">
      <c r="K439" t="str">
        <f>IF($D439="","",IFERROR(INDEX(Mapping!$H$3:$H$32,MATCH($B439,Mapping!$G$3:$G$32,0)),IF(LEFT($F439,3)="P2P",IFERROR(INDEX(Mapping!$E$3:$E$6,MATCH($G439,Mapping!$D$3:$D$6,0)),IFERROR(INDEX(Mapping!$B$3:$B$13,MATCH($J439,Mapping!$A$3:$A$13,0)),"(unmapped)")),IFERROR(INDEX(Mapping!$B$17:$B$22,MATCH($F439,Mapping!$A$17:$A$22,0)),$F439)&amp;" "&amp;IF($G439="Banking","Banking",IFERROR(INDEX(Mapping!$E$17:$E$28,MATCH($J439,Mapping!$D$17:$D$28,0)),"(unmapped)")))))</f>
        <v/>
      </c>
    </row>
    <row r="440" spans="11:11" x14ac:dyDescent="0.3">
      <c r="K440" t="str">
        <f>IF($D440="","",IFERROR(INDEX(Mapping!$H$3:$H$32,MATCH($B440,Mapping!$G$3:$G$32,0)),IF(LEFT($F440,3)="P2P",IFERROR(INDEX(Mapping!$E$3:$E$6,MATCH($G440,Mapping!$D$3:$D$6,0)),IFERROR(INDEX(Mapping!$B$3:$B$13,MATCH($J440,Mapping!$A$3:$A$13,0)),"(unmapped)")),IFERROR(INDEX(Mapping!$B$17:$B$22,MATCH($F440,Mapping!$A$17:$A$22,0)),$F440)&amp;" "&amp;IF($G440="Banking","Banking",IFERROR(INDEX(Mapping!$E$17:$E$28,MATCH($J440,Mapping!$D$17:$D$28,0)),"(unmapped)")))))</f>
        <v/>
      </c>
    </row>
    <row r="441" spans="11:11" x14ac:dyDescent="0.3">
      <c r="K441" t="str">
        <f>IF($D441="","",IFERROR(INDEX(Mapping!$H$3:$H$32,MATCH($B441,Mapping!$G$3:$G$32,0)),IF(LEFT($F441,3)="P2P",IFERROR(INDEX(Mapping!$E$3:$E$6,MATCH($G441,Mapping!$D$3:$D$6,0)),IFERROR(INDEX(Mapping!$B$3:$B$13,MATCH($J441,Mapping!$A$3:$A$13,0)),"(unmapped)")),IFERROR(INDEX(Mapping!$B$17:$B$22,MATCH($F441,Mapping!$A$17:$A$22,0)),$F441)&amp;" "&amp;IF($G441="Banking","Banking",IFERROR(INDEX(Mapping!$E$17:$E$28,MATCH($J441,Mapping!$D$17:$D$28,0)),"(unmapped)")))))</f>
        <v/>
      </c>
    </row>
    <row r="442" spans="11:11" x14ac:dyDescent="0.3">
      <c r="K442" t="str">
        <f>IF($D442="","",IFERROR(INDEX(Mapping!$H$3:$H$32,MATCH($B442,Mapping!$G$3:$G$32,0)),IF(LEFT($F442,3)="P2P",IFERROR(INDEX(Mapping!$E$3:$E$6,MATCH($G442,Mapping!$D$3:$D$6,0)),IFERROR(INDEX(Mapping!$B$3:$B$13,MATCH($J442,Mapping!$A$3:$A$13,0)),"(unmapped)")),IFERROR(INDEX(Mapping!$B$17:$B$22,MATCH($F442,Mapping!$A$17:$A$22,0)),$F442)&amp;" "&amp;IF($G442="Banking","Banking",IFERROR(INDEX(Mapping!$E$17:$E$28,MATCH($J442,Mapping!$D$17:$D$28,0)),"(unmapped)")))))</f>
        <v/>
      </c>
    </row>
    <row r="443" spans="11:11" x14ac:dyDescent="0.3">
      <c r="K443" t="str">
        <f>IF($D443="","",IFERROR(INDEX(Mapping!$H$3:$H$32,MATCH($B443,Mapping!$G$3:$G$32,0)),IF(LEFT($F443,3)="P2P",IFERROR(INDEX(Mapping!$E$3:$E$6,MATCH($G443,Mapping!$D$3:$D$6,0)),IFERROR(INDEX(Mapping!$B$3:$B$13,MATCH($J443,Mapping!$A$3:$A$13,0)),"(unmapped)")),IFERROR(INDEX(Mapping!$B$17:$B$22,MATCH($F443,Mapping!$A$17:$A$22,0)),$F443)&amp;" "&amp;IF($G443="Banking","Banking",IFERROR(INDEX(Mapping!$E$17:$E$28,MATCH($J443,Mapping!$D$17:$D$28,0)),"(unmapped)")))))</f>
        <v/>
      </c>
    </row>
    <row r="444" spans="11:11" x14ac:dyDescent="0.3">
      <c r="K444" t="str">
        <f>IF($D444="","",IFERROR(INDEX(Mapping!$H$3:$H$32,MATCH($B444,Mapping!$G$3:$G$32,0)),IF(LEFT($F444,3)="P2P",IFERROR(INDEX(Mapping!$E$3:$E$6,MATCH($G444,Mapping!$D$3:$D$6,0)),IFERROR(INDEX(Mapping!$B$3:$B$13,MATCH($J444,Mapping!$A$3:$A$13,0)),"(unmapped)")),IFERROR(INDEX(Mapping!$B$17:$B$22,MATCH($F444,Mapping!$A$17:$A$22,0)),$F444)&amp;" "&amp;IF($G444="Banking","Banking",IFERROR(INDEX(Mapping!$E$17:$E$28,MATCH($J444,Mapping!$D$17:$D$28,0)),"(unmapped)")))))</f>
        <v/>
      </c>
    </row>
    <row r="445" spans="11:11" x14ac:dyDescent="0.3">
      <c r="K445" t="str">
        <f>IF($D445="","",IFERROR(INDEX(Mapping!$H$3:$H$32,MATCH($B445,Mapping!$G$3:$G$32,0)),IF(LEFT($F445,3)="P2P",IFERROR(INDEX(Mapping!$E$3:$E$6,MATCH($G445,Mapping!$D$3:$D$6,0)),IFERROR(INDEX(Mapping!$B$3:$B$13,MATCH($J445,Mapping!$A$3:$A$13,0)),"(unmapped)")),IFERROR(INDEX(Mapping!$B$17:$B$22,MATCH($F445,Mapping!$A$17:$A$22,0)),$F445)&amp;" "&amp;IF($G445="Banking","Banking",IFERROR(INDEX(Mapping!$E$17:$E$28,MATCH($J445,Mapping!$D$17:$D$28,0)),"(unmapped)")))))</f>
        <v/>
      </c>
    </row>
    <row r="446" spans="11:11" x14ac:dyDescent="0.3">
      <c r="K446" t="str">
        <f>IF($D446="","",IFERROR(INDEX(Mapping!$H$3:$H$32,MATCH($B446,Mapping!$G$3:$G$32,0)),IF(LEFT($F446,3)="P2P",IFERROR(INDEX(Mapping!$E$3:$E$6,MATCH($G446,Mapping!$D$3:$D$6,0)),IFERROR(INDEX(Mapping!$B$3:$B$13,MATCH($J446,Mapping!$A$3:$A$13,0)),"(unmapped)")),IFERROR(INDEX(Mapping!$B$17:$B$22,MATCH($F446,Mapping!$A$17:$A$22,0)),$F446)&amp;" "&amp;IF($G446="Banking","Banking",IFERROR(INDEX(Mapping!$E$17:$E$28,MATCH($J446,Mapping!$D$17:$D$28,0)),"(unmapped)")))))</f>
        <v/>
      </c>
    </row>
    <row r="447" spans="11:11" x14ac:dyDescent="0.3">
      <c r="K447" t="str">
        <f>IF($D447="","",IFERROR(INDEX(Mapping!$H$3:$H$32,MATCH($B447,Mapping!$G$3:$G$32,0)),IF(LEFT($F447,3)="P2P",IFERROR(INDEX(Mapping!$E$3:$E$6,MATCH($G447,Mapping!$D$3:$D$6,0)),IFERROR(INDEX(Mapping!$B$3:$B$13,MATCH($J447,Mapping!$A$3:$A$13,0)),"(unmapped)")),IFERROR(INDEX(Mapping!$B$17:$B$22,MATCH($F447,Mapping!$A$17:$A$22,0)),$F447)&amp;" "&amp;IF($G447="Banking","Banking",IFERROR(INDEX(Mapping!$E$17:$E$28,MATCH($J447,Mapping!$D$17:$D$28,0)),"(unmapped)")))))</f>
        <v/>
      </c>
    </row>
    <row r="448" spans="11:11" x14ac:dyDescent="0.3">
      <c r="K448" t="str">
        <f>IF($D448="","",IFERROR(INDEX(Mapping!$H$3:$H$32,MATCH($B448,Mapping!$G$3:$G$32,0)),IF(LEFT($F448,3)="P2P",IFERROR(INDEX(Mapping!$E$3:$E$6,MATCH($G448,Mapping!$D$3:$D$6,0)),IFERROR(INDEX(Mapping!$B$3:$B$13,MATCH($J448,Mapping!$A$3:$A$13,0)),"(unmapped)")),IFERROR(INDEX(Mapping!$B$17:$B$22,MATCH($F448,Mapping!$A$17:$A$22,0)),$F448)&amp;" "&amp;IF($G448="Banking","Banking",IFERROR(INDEX(Mapping!$E$17:$E$28,MATCH($J448,Mapping!$D$17:$D$28,0)),"(unmapped)")))))</f>
        <v/>
      </c>
    </row>
    <row r="449" spans="11:11" x14ac:dyDescent="0.3">
      <c r="K449" t="str">
        <f>IF($D449="","",IFERROR(INDEX(Mapping!$H$3:$H$32,MATCH($B449,Mapping!$G$3:$G$32,0)),IF(LEFT($F449,3)="P2P",IFERROR(INDEX(Mapping!$E$3:$E$6,MATCH($G449,Mapping!$D$3:$D$6,0)),IFERROR(INDEX(Mapping!$B$3:$B$13,MATCH($J449,Mapping!$A$3:$A$13,0)),"(unmapped)")),IFERROR(INDEX(Mapping!$B$17:$B$22,MATCH($F449,Mapping!$A$17:$A$22,0)),$F449)&amp;" "&amp;IF($G449="Banking","Banking",IFERROR(INDEX(Mapping!$E$17:$E$28,MATCH($J449,Mapping!$D$17:$D$28,0)),"(unmapped)")))))</f>
        <v/>
      </c>
    </row>
    <row r="450" spans="11:11" x14ac:dyDescent="0.3">
      <c r="K450" t="str">
        <f>IF($D450="","",IFERROR(INDEX(Mapping!$H$3:$H$32,MATCH($B450,Mapping!$G$3:$G$32,0)),IF(LEFT($F450,3)="P2P",IFERROR(INDEX(Mapping!$E$3:$E$6,MATCH($G450,Mapping!$D$3:$D$6,0)),IFERROR(INDEX(Mapping!$B$3:$B$13,MATCH($J450,Mapping!$A$3:$A$13,0)),"(unmapped)")),IFERROR(INDEX(Mapping!$B$17:$B$22,MATCH($F450,Mapping!$A$17:$A$22,0)),$F450)&amp;" "&amp;IF($G450="Banking","Banking",IFERROR(INDEX(Mapping!$E$17:$E$28,MATCH($J450,Mapping!$D$17:$D$28,0)),"(unmapped)")))))</f>
        <v/>
      </c>
    </row>
    <row r="451" spans="11:11" x14ac:dyDescent="0.3">
      <c r="K451" t="str">
        <f>IF($D451="","",IFERROR(INDEX(Mapping!$H$3:$H$32,MATCH($B451,Mapping!$G$3:$G$32,0)),IF(LEFT($F451,3)="P2P",IFERROR(INDEX(Mapping!$E$3:$E$6,MATCH($G451,Mapping!$D$3:$D$6,0)),IFERROR(INDEX(Mapping!$B$3:$B$13,MATCH($J451,Mapping!$A$3:$A$13,0)),"(unmapped)")),IFERROR(INDEX(Mapping!$B$17:$B$22,MATCH($F451,Mapping!$A$17:$A$22,0)),$F451)&amp;" "&amp;IF($G451="Banking","Banking",IFERROR(INDEX(Mapping!$E$17:$E$28,MATCH($J451,Mapping!$D$17:$D$28,0)),"(unmapped)")))))</f>
        <v/>
      </c>
    </row>
    <row r="452" spans="11:11" x14ac:dyDescent="0.3">
      <c r="K452" t="str">
        <f>IF($D452="","",IFERROR(INDEX(Mapping!$H$3:$H$32,MATCH($B452,Mapping!$G$3:$G$32,0)),IF(LEFT($F452,3)="P2P",IFERROR(INDEX(Mapping!$E$3:$E$6,MATCH($G452,Mapping!$D$3:$D$6,0)),IFERROR(INDEX(Mapping!$B$3:$B$13,MATCH($J452,Mapping!$A$3:$A$13,0)),"(unmapped)")),IFERROR(INDEX(Mapping!$B$17:$B$22,MATCH($F452,Mapping!$A$17:$A$22,0)),$F452)&amp;" "&amp;IF($G452="Banking","Banking",IFERROR(INDEX(Mapping!$E$17:$E$28,MATCH($J452,Mapping!$D$17:$D$28,0)),"(unmapped)")))))</f>
        <v/>
      </c>
    </row>
    <row r="453" spans="11:11" x14ac:dyDescent="0.3">
      <c r="K453" t="str">
        <f>IF($D453="","",IFERROR(INDEX(Mapping!$H$3:$H$32,MATCH($B453,Mapping!$G$3:$G$32,0)),IF(LEFT($F453,3)="P2P",IFERROR(INDEX(Mapping!$E$3:$E$6,MATCH($G453,Mapping!$D$3:$D$6,0)),IFERROR(INDEX(Mapping!$B$3:$B$13,MATCH($J453,Mapping!$A$3:$A$13,0)),"(unmapped)")),IFERROR(INDEX(Mapping!$B$17:$B$22,MATCH($F453,Mapping!$A$17:$A$22,0)),$F453)&amp;" "&amp;IF($G453="Banking","Banking",IFERROR(INDEX(Mapping!$E$17:$E$28,MATCH($J453,Mapping!$D$17:$D$28,0)),"(unmapped)")))))</f>
        <v/>
      </c>
    </row>
    <row r="454" spans="11:11" x14ac:dyDescent="0.3">
      <c r="K454" t="str">
        <f>IF($D454="","",IFERROR(INDEX(Mapping!$H$3:$H$32,MATCH($B454,Mapping!$G$3:$G$32,0)),IF(LEFT($F454,3)="P2P",IFERROR(INDEX(Mapping!$E$3:$E$6,MATCH($G454,Mapping!$D$3:$D$6,0)),IFERROR(INDEX(Mapping!$B$3:$B$13,MATCH($J454,Mapping!$A$3:$A$13,0)),"(unmapped)")),IFERROR(INDEX(Mapping!$B$17:$B$22,MATCH($F454,Mapping!$A$17:$A$22,0)),$F454)&amp;" "&amp;IF($G454="Banking","Banking",IFERROR(INDEX(Mapping!$E$17:$E$28,MATCH($J454,Mapping!$D$17:$D$28,0)),"(unmapped)")))))</f>
        <v/>
      </c>
    </row>
    <row r="455" spans="11:11" x14ac:dyDescent="0.3">
      <c r="K455" t="str">
        <f>IF($D455="","",IFERROR(INDEX(Mapping!$H$3:$H$32,MATCH($B455,Mapping!$G$3:$G$32,0)),IF(LEFT($F455,3)="P2P",IFERROR(INDEX(Mapping!$E$3:$E$6,MATCH($G455,Mapping!$D$3:$D$6,0)),IFERROR(INDEX(Mapping!$B$3:$B$13,MATCH($J455,Mapping!$A$3:$A$13,0)),"(unmapped)")),IFERROR(INDEX(Mapping!$B$17:$B$22,MATCH($F455,Mapping!$A$17:$A$22,0)),$F455)&amp;" "&amp;IF($G455="Banking","Banking",IFERROR(INDEX(Mapping!$E$17:$E$28,MATCH($J455,Mapping!$D$17:$D$28,0)),"(unmapped)")))))</f>
        <v/>
      </c>
    </row>
    <row r="456" spans="11:11" x14ac:dyDescent="0.3">
      <c r="K456" t="str">
        <f>IF($D456="","",IFERROR(INDEX(Mapping!$H$3:$H$32,MATCH($B456,Mapping!$G$3:$G$32,0)),IF(LEFT($F456,3)="P2P",IFERROR(INDEX(Mapping!$E$3:$E$6,MATCH($G456,Mapping!$D$3:$D$6,0)),IFERROR(INDEX(Mapping!$B$3:$B$13,MATCH($J456,Mapping!$A$3:$A$13,0)),"(unmapped)")),IFERROR(INDEX(Mapping!$B$17:$B$22,MATCH($F456,Mapping!$A$17:$A$22,0)),$F456)&amp;" "&amp;IF($G456="Banking","Banking",IFERROR(INDEX(Mapping!$E$17:$E$28,MATCH($J456,Mapping!$D$17:$D$28,0)),"(unmapped)")))))</f>
        <v/>
      </c>
    </row>
    <row r="457" spans="11:11" x14ac:dyDescent="0.3">
      <c r="K457" t="str">
        <f>IF($D457="","",IFERROR(INDEX(Mapping!$H$3:$H$32,MATCH($B457,Mapping!$G$3:$G$32,0)),IF(LEFT($F457,3)="P2P",IFERROR(INDEX(Mapping!$E$3:$E$6,MATCH($G457,Mapping!$D$3:$D$6,0)),IFERROR(INDEX(Mapping!$B$3:$B$13,MATCH($J457,Mapping!$A$3:$A$13,0)),"(unmapped)")),IFERROR(INDEX(Mapping!$B$17:$B$22,MATCH($F457,Mapping!$A$17:$A$22,0)),$F457)&amp;" "&amp;IF($G457="Banking","Banking",IFERROR(INDEX(Mapping!$E$17:$E$28,MATCH($J457,Mapping!$D$17:$D$28,0)),"(unmapped)")))))</f>
        <v/>
      </c>
    </row>
    <row r="458" spans="11:11" x14ac:dyDescent="0.3">
      <c r="K458" t="str">
        <f>IF($D458="","",IFERROR(INDEX(Mapping!$H$3:$H$32,MATCH($B458,Mapping!$G$3:$G$32,0)),IF(LEFT($F458,3)="P2P",IFERROR(INDEX(Mapping!$E$3:$E$6,MATCH($G458,Mapping!$D$3:$D$6,0)),IFERROR(INDEX(Mapping!$B$3:$B$13,MATCH($J458,Mapping!$A$3:$A$13,0)),"(unmapped)")),IFERROR(INDEX(Mapping!$B$17:$B$22,MATCH($F458,Mapping!$A$17:$A$22,0)),$F458)&amp;" "&amp;IF($G458="Banking","Banking",IFERROR(INDEX(Mapping!$E$17:$E$28,MATCH($J458,Mapping!$D$17:$D$28,0)),"(unmapped)")))))</f>
        <v/>
      </c>
    </row>
    <row r="459" spans="11:11" x14ac:dyDescent="0.3">
      <c r="K459" t="str">
        <f>IF($D459="","",IFERROR(INDEX(Mapping!$H$3:$H$32,MATCH($B459,Mapping!$G$3:$G$32,0)),IF(LEFT($F459,3)="P2P",IFERROR(INDEX(Mapping!$E$3:$E$6,MATCH($G459,Mapping!$D$3:$D$6,0)),IFERROR(INDEX(Mapping!$B$3:$B$13,MATCH($J459,Mapping!$A$3:$A$13,0)),"(unmapped)")),IFERROR(INDEX(Mapping!$B$17:$B$22,MATCH($F459,Mapping!$A$17:$A$22,0)),$F459)&amp;" "&amp;IF($G459="Banking","Banking",IFERROR(INDEX(Mapping!$E$17:$E$28,MATCH($J459,Mapping!$D$17:$D$28,0)),"(unmapped)")))))</f>
        <v/>
      </c>
    </row>
    <row r="460" spans="11:11" x14ac:dyDescent="0.3">
      <c r="K460" t="str">
        <f>IF($D460="","",IFERROR(INDEX(Mapping!$H$3:$H$32,MATCH($B460,Mapping!$G$3:$G$32,0)),IF(LEFT($F460,3)="P2P",IFERROR(INDEX(Mapping!$E$3:$E$6,MATCH($G460,Mapping!$D$3:$D$6,0)),IFERROR(INDEX(Mapping!$B$3:$B$13,MATCH($J460,Mapping!$A$3:$A$13,0)),"(unmapped)")),IFERROR(INDEX(Mapping!$B$17:$B$22,MATCH($F460,Mapping!$A$17:$A$22,0)),$F460)&amp;" "&amp;IF($G460="Banking","Banking",IFERROR(INDEX(Mapping!$E$17:$E$28,MATCH($J460,Mapping!$D$17:$D$28,0)),"(unmapped)")))))</f>
        <v/>
      </c>
    </row>
    <row r="461" spans="11:11" x14ac:dyDescent="0.3">
      <c r="K461" t="str">
        <f>IF($D461="","",IFERROR(INDEX(Mapping!$H$3:$H$32,MATCH($B461,Mapping!$G$3:$G$32,0)),IF(LEFT($F461,3)="P2P",IFERROR(INDEX(Mapping!$E$3:$E$6,MATCH($G461,Mapping!$D$3:$D$6,0)),IFERROR(INDEX(Mapping!$B$3:$B$13,MATCH($J461,Mapping!$A$3:$A$13,0)),"(unmapped)")),IFERROR(INDEX(Mapping!$B$17:$B$22,MATCH($F461,Mapping!$A$17:$A$22,0)),$F461)&amp;" "&amp;IF($G461="Banking","Banking",IFERROR(INDEX(Mapping!$E$17:$E$28,MATCH($J461,Mapping!$D$17:$D$28,0)),"(unmapped)")))))</f>
        <v/>
      </c>
    </row>
    <row r="462" spans="11:11" x14ac:dyDescent="0.3">
      <c r="K462" t="str">
        <f>IF($D462="","",IFERROR(INDEX(Mapping!$H$3:$H$32,MATCH($B462,Mapping!$G$3:$G$32,0)),IF(LEFT($F462,3)="P2P",IFERROR(INDEX(Mapping!$E$3:$E$6,MATCH($G462,Mapping!$D$3:$D$6,0)),IFERROR(INDEX(Mapping!$B$3:$B$13,MATCH($J462,Mapping!$A$3:$A$13,0)),"(unmapped)")),IFERROR(INDEX(Mapping!$B$17:$B$22,MATCH($F462,Mapping!$A$17:$A$22,0)),$F462)&amp;" "&amp;IF($G462="Banking","Banking",IFERROR(INDEX(Mapping!$E$17:$E$28,MATCH($J462,Mapping!$D$17:$D$28,0)),"(unmapped)")))))</f>
        <v/>
      </c>
    </row>
    <row r="463" spans="11:11" x14ac:dyDescent="0.3">
      <c r="K463" t="str">
        <f>IF($D463="","",IFERROR(INDEX(Mapping!$H$3:$H$32,MATCH($B463,Mapping!$G$3:$G$32,0)),IF(LEFT($F463,3)="P2P",IFERROR(INDEX(Mapping!$E$3:$E$6,MATCH($G463,Mapping!$D$3:$D$6,0)),IFERROR(INDEX(Mapping!$B$3:$B$13,MATCH($J463,Mapping!$A$3:$A$13,0)),"(unmapped)")),IFERROR(INDEX(Mapping!$B$17:$B$22,MATCH($F463,Mapping!$A$17:$A$22,0)),$F463)&amp;" "&amp;IF($G463="Banking","Banking",IFERROR(INDEX(Mapping!$E$17:$E$28,MATCH($J463,Mapping!$D$17:$D$28,0)),"(unmapped)")))))</f>
        <v/>
      </c>
    </row>
    <row r="464" spans="11:11" x14ac:dyDescent="0.3">
      <c r="K464" t="str">
        <f>IF($D464="","",IFERROR(INDEX(Mapping!$H$3:$H$32,MATCH($B464,Mapping!$G$3:$G$32,0)),IF(LEFT($F464,3)="P2P",IFERROR(INDEX(Mapping!$E$3:$E$6,MATCH($G464,Mapping!$D$3:$D$6,0)),IFERROR(INDEX(Mapping!$B$3:$B$13,MATCH($J464,Mapping!$A$3:$A$13,0)),"(unmapped)")),IFERROR(INDEX(Mapping!$B$17:$B$22,MATCH($F464,Mapping!$A$17:$A$22,0)),$F464)&amp;" "&amp;IF($G464="Banking","Banking",IFERROR(INDEX(Mapping!$E$17:$E$28,MATCH($J464,Mapping!$D$17:$D$28,0)),"(unmapped)")))))</f>
        <v/>
      </c>
    </row>
    <row r="465" spans="11:11" x14ac:dyDescent="0.3">
      <c r="K465" t="str">
        <f>IF($D465="","",IFERROR(INDEX(Mapping!$H$3:$H$32,MATCH($B465,Mapping!$G$3:$G$32,0)),IF(LEFT($F465,3)="P2P",IFERROR(INDEX(Mapping!$E$3:$E$6,MATCH($G465,Mapping!$D$3:$D$6,0)),IFERROR(INDEX(Mapping!$B$3:$B$13,MATCH($J465,Mapping!$A$3:$A$13,0)),"(unmapped)")),IFERROR(INDEX(Mapping!$B$17:$B$22,MATCH($F465,Mapping!$A$17:$A$22,0)),$F465)&amp;" "&amp;IF($G465="Banking","Banking",IFERROR(INDEX(Mapping!$E$17:$E$28,MATCH($J465,Mapping!$D$17:$D$28,0)),"(unmapped)")))))</f>
        <v/>
      </c>
    </row>
    <row r="466" spans="11:11" x14ac:dyDescent="0.3">
      <c r="K466" t="str">
        <f>IF($D466="","",IFERROR(INDEX(Mapping!$H$3:$H$32,MATCH($B466,Mapping!$G$3:$G$32,0)),IF(LEFT($F466,3)="P2P",IFERROR(INDEX(Mapping!$E$3:$E$6,MATCH($G466,Mapping!$D$3:$D$6,0)),IFERROR(INDEX(Mapping!$B$3:$B$13,MATCH($J466,Mapping!$A$3:$A$13,0)),"(unmapped)")),IFERROR(INDEX(Mapping!$B$17:$B$22,MATCH($F466,Mapping!$A$17:$A$22,0)),$F466)&amp;" "&amp;IF($G466="Banking","Banking",IFERROR(INDEX(Mapping!$E$17:$E$28,MATCH($J466,Mapping!$D$17:$D$28,0)),"(unmapped)")))))</f>
        <v/>
      </c>
    </row>
    <row r="467" spans="11:11" x14ac:dyDescent="0.3">
      <c r="K467" t="str">
        <f>IF($D467="","",IFERROR(INDEX(Mapping!$H$3:$H$32,MATCH($B467,Mapping!$G$3:$G$32,0)),IF(LEFT($F467,3)="P2P",IFERROR(INDEX(Mapping!$E$3:$E$6,MATCH($G467,Mapping!$D$3:$D$6,0)),IFERROR(INDEX(Mapping!$B$3:$B$13,MATCH($J467,Mapping!$A$3:$A$13,0)),"(unmapped)")),IFERROR(INDEX(Mapping!$B$17:$B$22,MATCH($F467,Mapping!$A$17:$A$22,0)),$F467)&amp;" "&amp;IF($G467="Banking","Banking",IFERROR(INDEX(Mapping!$E$17:$E$28,MATCH($J467,Mapping!$D$17:$D$28,0)),"(unmapped)")))))</f>
        <v/>
      </c>
    </row>
    <row r="468" spans="11:11" x14ac:dyDescent="0.3">
      <c r="K468" t="str">
        <f>IF($D468="","",IFERROR(INDEX(Mapping!$H$3:$H$32,MATCH($B468,Mapping!$G$3:$G$32,0)),IF(LEFT($F468,3)="P2P",IFERROR(INDEX(Mapping!$E$3:$E$6,MATCH($G468,Mapping!$D$3:$D$6,0)),IFERROR(INDEX(Mapping!$B$3:$B$13,MATCH($J468,Mapping!$A$3:$A$13,0)),"(unmapped)")),IFERROR(INDEX(Mapping!$B$17:$B$22,MATCH($F468,Mapping!$A$17:$A$22,0)),$F468)&amp;" "&amp;IF($G468="Banking","Banking",IFERROR(INDEX(Mapping!$E$17:$E$28,MATCH($J468,Mapping!$D$17:$D$28,0)),"(unmapped)")))))</f>
        <v/>
      </c>
    </row>
    <row r="469" spans="11:11" x14ac:dyDescent="0.3">
      <c r="K469" t="str">
        <f>IF($D469="","",IFERROR(INDEX(Mapping!$H$3:$H$32,MATCH($B469,Mapping!$G$3:$G$32,0)),IF(LEFT($F469,3)="P2P",IFERROR(INDEX(Mapping!$E$3:$E$6,MATCH($G469,Mapping!$D$3:$D$6,0)),IFERROR(INDEX(Mapping!$B$3:$B$13,MATCH($J469,Mapping!$A$3:$A$13,0)),"(unmapped)")),IFERROR(INDEX(Mapping!$B$17:$B$22,MATCH($F469,Mapping!$A$17:$A$22,0)),$F469)&amp;" "&amp;IF($G469="Banking","Banking",IFERROR(INDEX(Mapping!$E$17:$E$28,MATCH($J469,Mapping!$D$17:$D$28,0)),"(unmapped)")))))</f>
        <v/>
      </c>
    </row>
    <row r="470" spans="11:11" x14ac:dyDescent="0.3">
      <c r="K470" t="str">
        <f>IF($D470="","",IFERROR(INDEX(Mapping!$H$3:$H$32,MATCH($B470,Mapping!$G$3:$G$32,0)),IF(LEFT($F470,3)="P2P",IFERROR(INDEX(Mapping!$E$3:$E$6,MATCH($G470,Mapping!$D$3:$D$6,0)),IFERROR(INDEX(Mapping!$B$3:$B$13,MATCH($J470,Mapping!$A$3:$A$13,0)),"(unmapped)")),IFERROR(INDEX(Mapping!$B$17:$B$22,MATCH($F470,Mapping!$A$17:$A$22,0)),$F470)&amp;" "&amp;IF($G470="Banking","Banking",IFERROR(INDEX(Mapping!$E$17:$E$28,MATCH($J470,Mapping!$D$17:$D$28,0)),"(unmapped)")))))</f>
        <v/>
      </c>
    </row>
    <row r="471" spans="11:11" x14ac:dyDescent="0.3">
      <c r="K471" t="str">
        <f>IF($D471="","",IFERROR(INDEX(Mapping!$H$3:$H$32,MATCH($B471,Mapping!$G$3:$G$32,0)),IF(LEFT($F471,3)="P2P",IFERROR(INDEX(Mapping!$E$3:$E$6,MATCH($G471,Mapping!$D$3:$D$6,0)),IFERROR(INDEX(Mapping!$B$3:$B$13,MATCH($J471,Mapping!$A$3:$A$13,0)),"(unmapped)")),IFERROR(INDEX(Mapping!$B$17:$B$22,MATCH($F471,Mapping!$A$17:$A$22,0)),$F471)&amp;" "&amp;IF($G471="Banking","Banking",IFERROR(INDEX(Mapping!$E$17:$E$28,MATCH($J471,Mapping!$D$17:$D$28,0)),"(unmapped)")))))</f>
        <v/>
      </c>
    </row>
    <row r="472" spans="11:11" x14ac:dyDescent="0.3">
      <c r="K472" t="str">
        <f>IF($D472="","",IFERROR(INDEX(Mapping!$H$3:$H$32,MATCH($B472,Mapping!$G$3:$G$32,0)),IF(LEFT($F472,3)="P2P",IFERROR(INDEX(Mapping!$E$3:$E$6,MATCH($G472,Mapping!$D$3:$D$6,0)),IFERROR(INDEX(Mapping!$B$3:$B$13,MATCH($J472,Mapping!$A$3:$A$13,0)),"(unmapped)")),IFERROR(INDEX(Mapping!$B$17:$B$22,MATCH($F472,Mapping!$A$17:$A$22,0)),$F472)&amp;" "&amp;IF($G472="Banking","Banking",IFERROR(INDEX(Mapping!$E$17:$E$28,MATCH($J472,Mapping!$D$17:$D$28,0)),"(unmapped)")))))</f>
        <v/>
      </c>
    </row>
    <row r="473" spans="11:11" x14ac:dyDescent="0.3">
      <c r="K473" t="str">
        <f>IF($D473="","",IFERROR(INDEX(Mapping!$H$3:$H$32,MATCH($B473,Mapping!$G$3:$G$32,0)),IF(LEFT($F473,3)="P2P",IFERROR(INDEX(Mapping!$E$3:$E$6,MATCH($G473,Mapping!$D$3:$D$6,0)),IFERROR(INDEX(Mapping!$B$3:$B$13,MATCH($J473,Mapping!$A$3:$A$13,0)),"(unmapped)")),IFERROR(INDEX(Mapping!$B$17:$B$22,MATCH($F473,Mapping!$A$17:$A$22,0)),$F473)&amp;" "&amp;IF($G473="Banking","Banking",IFERROR(INDEX(Mapping!$E$17:$E$28,MATCH($J473,Mapping!$D$17:$D$28,0)),"(unmapped)")))))</f>
        <v/>
      </c>
    </row>
    <row r="474" spans="11:11" x14ac:dyDescent="0.3">
      <c r="K474" t="str">
        <f>IF($D474="","",IFERROR(INDEX(Mapping!$H$3:$H$32,MATCH($B474,Mapping!$G$3:$G$32,0)),IF(LEFT($F474,3)="P2P",IFERROR(INDEX(Mapping!$E$3:$E$6,MATCH($G474,Mapping!$D$3:$D$6,0)),IFERROR(INDEX(Mapping!$B$3:$B$13,MATCH($J474,Mapping!$A$3:$A$13,0)),"(unmapped)")),IFERROR(INDEX(Mapping!$B$17:$B$22,MATCH($F474,Mapping!$A$17:$A$22,0)),$F474)&amp;" "&amp;IF($G474="Banking","Banking",IFERROR(INDEX(Mapping!$E$17:$E$28,MATCH($J474,Mapping!$D$17:$D$28,0)),"(unmapped)")))))</f>
        <v/>
      </c>
    </row>
    <row r="475" spans="11:11" x14ac:dyDescent="0.3">
      <c r="K475" t="str">
        <f>IF($D475="","",IFERROR(INDEX(Mapping!$H$3:$H$32,MATCH($B475,Mapping!$G$3:$G$32,0)),IF(LEFT($F475,3)="P2P",IFERROR(INDEX(Mapping!$E$3:$E$6,MATCH($G475,Mapping!$D$3:$D$6,0)),IFERROR(INDEX(Mapping!$B$3:$B$13,MATCH($J475,Mapping!$A$3:$A$13,0)),"(unmapped)")),IFERROR(INDEX(Mapping!$B$17:$B$22,MATCH($F475,Mapping!$A$17:$A$22,0)),$F475)&amp;" "&amp;IF($G475="Banking","Banking",IFERROR(INDEX(Mapping!$E$17:$E$28,MATCH($J475,Mapping!$D$17:$D$28,0)),"(unmapped)")))))</f>
        <v/>
      </c>
    </row>
    <row r="476" spans="11:11" x14ac:dyDescent="0.3">
      <c r="K476" t="str">
        <f>IF($D476="","",IFERROR(INDEX(Mapping!$H$3:$H$32,MATCH($B476,Mapping!$G$3:$G$32,0)),IF(LEFT($F476,3)="P2P",IFERROR(INDEX(Mapping!$E$3:$E$6,MATCH($G476,Mapping!$D$3:$D$6,0)),IFERROR(INDEX(Mapping!$B$3:$B$13,MATCH($J476,Mapping!$A$3:$A$13,0)),"(unmapped)")),IFERROR(INDEX(Mapping!$B$17:$B$22,MATCH($F476,Mapping!$A$17:$A$22,0)),$F476)&amp;" "&amp;IF($G476="Banking","Banking",IFERROR(INDEX(Mapping!$E$17:$E$28,MATCH($J476,Mapping!$D$17:$D$28,0)),"(unmapped)")))))</f>
        <v/>
      </c>
    </row>
    <row r="477" spans="11:11" x14ac:dyDescent="0.3">
      <c r="K477" t="str">
        <f>IF($D477="","",IFERROR(INDEX(Mapping!$H$3:$H$32,MATCH($B477,Mapping!$G$3:$G$32,0)),IF(LEFT($F477,3)="P2P",IFERROR(INDEX(Mapping!$E$3:$E$6,MATCH($G477,Mapping!$D$3:$D$6,0)),IFERROR(INDEX(Mapping!$B$3:$B$13,MATCH($J477,Mapping!$A$3:$A$13,0)),"(unmapped)")),IFERROR(INDEX(Mapping!$B$17:$B$22,MATCH($F477,Mapping!$A$17:$A$22,0)),$F477)&amp;" "&amp;IF($G477="Banking","Banking",IFERROR(INDEX(Mapping!$E$17:$E$28,MATCH($J477,Mapping!$D$17:$D$28,0)),"(unmapped)")))))</f>
        <v/>
      </c>
    </row>
    <row r="478" spans="11:11" x14ac:dyDescent="0.3">
      <c r="K478" t="str">
        <f>IF($D478="","",IFERROR(INDEX(Mapping!$H$3:$H$32,MATCH($B478,Mapping!$G$3:$G$32,0)),IF(LEFT($F478,3)="P2P",IFERROR(INDEX(Mapping!$E$3:$E$6,MATCH($G478,Mapping!$D$3:$D$6,0)),IFERROR(INDEX(Mapping!$B$3:$B$13,MATCH($J478,Mapping!$A$3:$A$13,0)),"(unmapped)")),IFERROR(INDEX(Mapping!$B$17:$B$22,MATCH($F478,Mapping!$A$17:$A$22,0)),$F478)&amp;" "&amp;IF($G478="Banking","Banking",IFERROR(INDEX(Mapping!$E$17:$E$28,MATCH($J478,Mapping!$D$17:$D$28,0)),"(unmapped)")))))</f>
        <v/>
      </c>
    </row>
    <row r="479" spans="11:11" x14ac:dyDescent="0.3">
      <c r="K479" t="str">
        <f>IF($D479="","",IFERROR(INDEX(Mapping!$H$3:$H$32,MATCH($B479,Mapping!$G$3:$G$32,0)),IF(LEFT($F479,3)="P2P",IFERROR(INDEX(Mapping!$E$3:$E$6,MATCH($G479,Mapping!$D$3:$D$6,0)),IFERROR(INDEX(Mapping!$B$3:$B$13,MATCH($J479,Mapping!$A$3:$A$13,0)),"(unmapped)")),IFERROR(INDEX(Mapping!$B$17:$B$22,MATCH($F479,Mapping!$A$17:$A$22,0)),$F479)&amp;" "&amp;IF($G479="Banking","Banking",IFERROR(INDEX(Mapping!$E$17:$E$28,MATCH($J479,Mapping!$D$17:$D$28,0)),"(unmapped)")))))</f>
        <v/>
      </c>
    </row>
    <row r="480" spans="11:11" x14ac:dyDescent="0.3">
      <c r="K480" t="str">
        <f>IF($D480="","",IFERROR(INDEX(Mapping!$H$3:$H$32,MATCH($B480,Mapping!$G$3:$G$32,0)),IF(LEFT($F480,3)="P2P",IFERROR(INDEX(Mapping!$E$3:$E$6,MATCH($G480,Mapping!$D$3:$D$6,0)),IFERROR(INDEX(Mapping!$B$3:$B$13,MATCH($J480,Mapping!$A$3:$A$13,0)),"(unmapped)")),IFERROR(INDEX(Mapping!$B$17:$B$22,MATCH($F480,Mapping!$A$17:$A$22,0)),$F480)&amp;" "&amp;IF($G480="Banking","Banking",IFERROR(INDEX(Mapping!$E$17:$E$28,MATCH($J480,Mapping!$D$17:$D$28,0)),"(unmapped)")))))</f>
        <v/>
      </c>
    </row>
    <row r="481" spans="11:11" x14ac:dyDescent="0.3">
      <c r="K481" t="str">
        <f>IF($D481="","",IFERROR(INDEX(Mapping!$H$3:$H$32,MATCH($B481,Mapping!$G$3:$G$32,0)),IF(LEFT($F481,3)="P2P",IFERROR(INDEX(Mapping!$E$3:$E$6,MATCH($G481,Mapping!$D$3:$D$6,0)),IFERROR(INDEX(Mapping!$B$3:$B$13,MATCH($J481,Mapping!$A$3:$A$13,0)),"(unmapped)")),IFERROR(INDEX(Mapping!$B$17:$B$22,MATCH($F481,Mapping!$A$17:$A$22,0)),$F481)&amp;" "&amp;IF($G481="Banking","Banking",IFERROR(INDEX(Mapping!$E$17:$E$28,MATCH($J481,Mapping!$D$17:$D$28,0)),"(unmapped)")))))</f>
        <v/>
      </c>
    </row>
    <row r="482" spans="11:11" x14ac:dyDescent="0.3">
      <c r="K482" t="str">
        <f>IF($D482="","",IFERROR(INDEX(Mapping!$H$3:$H$32,MATCH($B482,Mapping!$G$3:$G$32,0)),IF(LEFT($F482,3)="P2P",IFERROR(INDEX(Mapping!$E$3:$E$6,MATCH($G482,Mapping!$D$3:$D$6,0)),IFERROR(INDEX(Mapping!$B$3:$B$13,MATCH($J482,Mapping!$A$3:$A$13,0)),"(unmapped)")),IFERROR(INDEX(Mapping!$B$17:$B$22,MATCH($F482,Mapping!$A$17:$A$22,0)),$F482)&amp;" "&amp;IF($G482="Banking","Banking",IFERROR(INDEX(Mapping!$E$17:$E$28,MATCH($J482,Mapping!$D$17:$D$28,0)),"(unmapped)")))))</f>
        <v/>
      </c>
    </row>
    <row r="483" spans="11:11" x14ac:dyDescent="0.3">
      <c r="K483" t="str">
        <f>IF($D483="","",IFERROR(INDEX(Mapping!$H$3:$H$32,MATCH($B483,Mapping!$G$3:$G$32,0)),IF(LEFT($F483,3)="P2P",IFERROR(INDEX(Mapping!$E$3:$E$6,MATCH($G483,Mapping!$D$3:$D$6,0)),IFERROR(INDEX(Mapping!$B$3:$B$13,MATCH($J483,Mapping!$A$3:$A$13,0)),"(unmapped)")),IFERROR(INDEX(Mapping!$B$17:$B$22,MATCH($F483,Mapping!$A$17:$A$22,0)),$F483)&amp;" "&amp;IF($G483="Banking","Banking",IFERROR(INDEX(Mapping!$E$17:$E$28,MATCH($J483,Mapping!$D$17:$D$28,0)),"(unmapped)")))))</f>
        <v/>
      </c>
    </row>
    <row r="484" spans="11:11" x14ac:dyDescent="0.3">
      <c r="K484" t="str">
        <f>IF($D484="","",IFERROR(INDEX(Mapping!$H$3:$H$32,MATCH($B484,Mapping!$G$3:$G$32,0)),IF(LEFT($F484,3)="P2P",IFERROR(INDEX(Mapping!$E$3:$E$6,MATCH($G484,Mapping!$D$3:$D$6,0)),IFERROR(INDEX(Mapping!$B$3:$B$13,MATCH($J484,Mapping!$A$3:$A$13,0)),"(unmapped)")),IFERROR(INDEX(Mapping!$B$17:$B$22,MATCH($F484,Mapping!$A$17:$A$22,0)),$F484)&amp;" "&amp;IF($G484="Banking","Banking",IFERROR(INDEX(Mapping!$E$17:$E$28,MATCH($J484,Mapping!$D$17:$D$28,0)),"(unmapped)")))))</f>
        <v/>
      </c>
    </row>
    <row r="485" spans="11:11" x14ac:dyDescent="0.3">
      <c r="K485" t="str">
        <f>IF($D485="","",IFERROR(INDEX(Mapping!$H$3:$H$32,MATCH($B485,Mapping!$G$3:$G$32,0)),IF(LEFT($F485,3)="P2P",IFERROR(INDEX(Mapping!$E$3:$E$6,MATCH($G485,Mapping!$D$3:$D$6,0)),IFERROR(INDEX(Mapping!$B$3:$B$13,MATCH($J485,Mapping!$A$3:$A$13,0)),"(unmapped)")),IFERROR(INDEX(Mapping!$B$17:$B$22,MATCH($F485,Mapping!$A$17:$A$22,0)),$F485)&amp;" "&amp;IF($G485="Banking","Banking",IFERROR(INDEX(Mapping!$E$17:$E$28,MATCH($J485,Mapping!$D$17:$D$28,0)),"(unmapped)")))))</f>
        <v/>
      </c>
    </row>
    <row r="486" spans="11:11" x14ac:dyDescent="0.3">
      <c r="K486" t="str">
        <f>IF($D486="","",IFERROR(INDEX(Mapping!$H$3:$H$32,MATCH($B486,Mapping!$G$3:$G$32,0)),IF(LEFT($F486,3)="P2P",IFERROR(INDEX(Mapping!$E$3:$E$6,MATCH($G486,Mapping!$D$3:$D$6,0)),IFERROR(INDEX(Mapping!$B$3:$B$13,MATCH($J486,Mapping!$A$3:$A$13,0)),"(unmapped)")),IFERROR(INDEX(Mapping!$B$17:$B$22,MATCH($F486,Mapping!$A$17:$A$22,0)),$F486)&amp;" "&amp;IF($G486="Banking","Banking",IFERROR(INDEX(Mapping!$E$17:$E$28,MATCH($J486,Mapping!$D$17:$D$28,0)),"(unmapped)")))))</f>
        <v/>
      </c>
    </row>
    <row r="487" spans="11:11" x14ac:dyDescent="0.3">
      <c r="K487" t="str">
        <f>IF($D487="","",IFERROR(INDEX(Mapping!$H$3:$H$32,MATCH($B487,Mapping!$G$3:$G$32,0)),IF(LEFT($F487,3)="P2P",IFERROR(INDEX(Mapping!$E$3:$E$6,MATCH($G487,Mapping!$D$3:$D$6,0)),IFERROR(INDEX(Mapping!$B$3:$B$13,MATCH($J487,Mapping!$A$3:$A$13,0)),"(unmapped)")),IFERROR(INDEX(Mapping!$B$17:$B$22,MATCH($F487,Mapping!$A$17:$A$22,0)),$F487)&amp;" "&amp;IF($G487="Banking","Banking",IFERROR(INDEX(Mapping!$E$17:$E$28,MATCH($J487,Mapping!$D$17:$D$28,0)),"(unmapped)")))))</f>
        <v/>
      </c>
    </row>
    <row r="488" spans="11:11" x14ac:dyDescent="0.3">
      <c r="K488" t="str">
        <f>IF($D488="","",IFERROR(INDEX(Mapping!$H$3:$H$32,MATCH($B488,Mapping!$G$3:$G$32,0)),IF(LEFT($F488,3)="P2P",IFERROR(INDEX(Mapping!$E$3:$E$6,MATCH($G488,Mapping!$D$3:$D$6,0)),IFERROR(INDEX(Mapping!$B$3:$B$13,MATCH($J488,Mapping!$A$3:$A$13,0)),"(unmapped)")),IFERROR(INDEX(Mapping!$B$17:$B$22,MATCH($F488,Mapping!$A$17:$A$22,0)),$F488)&amp;" "&amp;IF($G488="Banking","Banking",IFERROR(INDEX(Mapping!$E$17:$E$28,MATCH($J488,Mapping!$D$17:$D$28,0)),"(unmapped)")))))</f>
        <v/>
      </c>
    </row>
    <row r="489" spans="11:11" x14ac:dyDescent="0.3">
      <c r="K489" t="str">
        <f>IF($D489="","",IFERROR(INDEX(Mapping!$H$3:$H$32,MATCH($B489,Mapping!$G$3:$G$32,0)),IF(LEFT($F489,3)="P2P",IFERROR(INDEX(Mapping!$E$3:$E$6,MATCH($G489,Mapping!$D$3:$D$6,0)),IFERROR(INDEX(Mapping!$B$3:$B$13,MATCH($J489,Mapping!$A$3:$A$13,0)),"(unmapped)")),IFERROR(INDEX(Mapping!$B$17:$B$22,MATCH($F489,Mapping!$A$17:$A$22,0)),$F489)&amp;" "&amp;IF($G489="Banking","Banking",IFERROR(INDEX(Mapping!$E$17:$E$28,MATCH($J489,Mapping!$D$17:$D$28,0)),"(unmapped)")))))</f>
        <v/>
      </c>
    </row>
    <row r="490" spans="11:11" x14ac:dyDescent="0.3">
      <c r="K490" t="str">
        <f>IF($D490="","",IFERROR(INDEX(Mapping!$H$3:$H$32,MATCH($B490,Mapping!$G$3:$G$32,0)),IF(LEFT($F490,3)="P2P",IFERROR(INDEX(Mapping!$E$3:$E$6,MATCH($G490,Mapping!$D$3:$D$6,0)),IFERROR(INDEX(Mapping!$B$3:$B$13,MATCH($J490,Mapping!$A$3:$A$13,0)),"(unmapped)")),IFERROR(INDEX(Mapping!$B$17:$B$22,MATCH($F490,Mapping!$A$17:$A$22,0)),$F490)&amp;" "&amp;IF($G490="Banking","Banking",IFERROR(INDEX(Mapping!$E$17:$E$28,MATCH($J490,Mapping!$D$17:$D$28,0)),"(unmapped)")))))</f>
        <v/>
      </c>
    </row>
    <row r="491" spans="11:11" x14ac:dyDescent="0.3">
      <c r="K491" t="str">
        <f>IF($D491="","",IFERROR(INDEX(Mapping!$H$3:$H$32,MATCH($B491,Mapping!$G$3:$G$32,0)),IF(LEFT($F491,3)="P2P",IFERROR(INDEX(Mapping!$E$3:$E$6,MATCH($G491,Mapping!$D$3:$D$6,0)),IFERROR(INDEX(Mapping!$B$3:$B$13,MATCH($J491,Mapping!$A$3:$A$13,0)),"(unmapped)")),IFERROR(INDEX(Mapping!$B$17:$B$22,MATCH($F491,Mapping!$A$17:$A$22,0)),$F491)&amp;" "&amp;IF($G491="Banking","Banking",IFERROR(INDEX(Mapping!$E$17:$E$28,MATCH($J491,Mapping!$D$17:$D$28,0)),"(unmapped)")))))</f>
        <v/>
      </c>
    </row>
    <row r="492" spans="11:11" x14ac:dyDescent="0.3">
      <c r="K492" t="str">
        <f>IF($D492="","",IFERROR(INDEX(Mapping!$H$3:$H$32,MATCH($B492,Mapping!$G$3:$G$32,0)),IF(LEFT($F492,3)="P2P",IFERROR(INDEX(Mapping!$E$3:$E$6,MATCH($G492,Mapping!$D$3:$D$6,0)),IFERROR(INDEX(Mapping!$B$3:$B$13,MATCH($J492,Mapping!$A$3:$A$13,0)),"(unmapped)")),IFERROR(INDEX(Mapping!$B$17:$B$22,MATCH($F492,Mapping!$A$17:$A$22,0)),$F492)&amp;" "&amp;IF($G492="Banking","Banking",IFERROR(INDEX(Mapping!$E$17:$E$28,MATCH($J492,Mapping!$D$17:$D$28,0)),"(unmapped)")))))</f>
        <v/>
      </c>
    </row>
    <row r="493" spans="11:11" x14ac:dyDescent="0.3">
      <c r="K493" t="str">
        <f>IF($D493="","",IFERROR(INDEX(Mapping!$H$3:$H$32,MATCH($B493,Mapping!$G$3:$G$32,0)),IF(LEFT($F493,3)="P2P",IFERROR(INDEX(Mapping!$E$3:$E$6,MATCH($G493,Mapping!$D$3:$D$6,0)),IFERROR(INDEX(Mapping!$B$3:$B$13,MATCH($J493,Mapping!$A$3:$A$13,0)),"(unmapped)")),IFERROR(INDEX(Mapping!$B$17:$B$22,MATCH($F493,Mapping!$A$17:$A$22,0)),$F493)&amp;" "&amp;IF($G493="Banking","Banking",IFERROR(INDEX(Mapping!$E$17:$E$28,MATCH($J493,Mapping!$D$17:$D$28,0)),"(unmapped)")))))</f>
        <v/>
      </c>
    </row>
    <row r="494" spans="11:11" x14ac:dyDescent="0.3">
      <c r="K494" t="str">
        <f>IF($D494="","",IFERROR(INDEX(Mapping!$H$3:$H$32,MATCH($B494,Mapping!$G$3:$G$32,0)),IF(LEFT($F494,3)="P2P",IFERROR(INDEX(Mapping!$E$3:$E$6,MATCH($G494,Mapping!$D$3:$D$6,0)),IFERROR(INDEX(Mapping!$B$3:$B$13,MATCH($J494,Mapping!$A$3:$A$13,0)),"(unmapped)")),IFERROR(INDEX(Mapping!$B$17:$B$22,MATCH($F494,Mapping!$A$17:$A$22,0)),$F494)&amp;" "&amp;IF($G494="Banking","Banking",IFERROR(INDEX(Mapping!$E$17:$E$28,MATCH($J494,Mapping!$D$17:$D$28,0)),"(unmapped)")))))</f>
        <v/>
      </c>
    </row>
    <row r="495" spans="11:11" x14ac:dyDescent="0.3">
      <c r="K495" t="str">
        <f>IF($D495="","",IFERROR(INDEX(Mapping!$H$3:$H$32,MATCH($B495,Mapping!$G$3:$G$32,0)),IF(LEFT($F495,3)="P2P",IFERROR(INDEX(Mapping!$E$3:$E$6,MATCH($G495,Mapping!$D$3:$D$6,0)),IFERROR(INDEX(Mapping!$B$3:$B$13,MATCH($J495,Mapping!$A$3:$A$13,0)),"(unmapped)")),IFERROR(INDEX(Mapping!$B$17:$B$22,MATCH($F495,Mapping!$A$17:$A$22,0)),$F495)&amp;" "&amp;IF($G495="Banking","Banking",IFERROR(INDEX(Mapping!$E$17:$E$28,MATCH($J495,Mapping!$D$17:$D$28,0)),"(unmapped)")))))</f>
        <v/>
      </c>
    </row>
    <row r="496" spans="11:11" x14ac:dyDescent="0.3">
      <c r="K496" t="str">
        <f>IF($D496="","",IFERROR(INDEX(Mapping!$H$3:$H$32,MATCH($B496,Mapping!$G$3:$G$32,0)),IF(LEFT($F496,3)="P2P",IFERROR(INDEX(Mapping!$E$3:$E$6,MATCH($G496,Mapping!$D$3:$D$6,0)),IFERROR(INDEX(Mapping!$B$3:$B$13,MATCH($J496,Mapping!$A$3:$A$13,0)),"(unmapped)")),IFERROR(INDEX(Mapping!$B$17:$B$22,MATCH($F496,Mapping!$A$17:$A$22,0)),$F496)&amp;" "&amp;IF($G496="Banking","Banking",IFERROR(INDEX(Mapping!$E$17:$E$28,MATCH($J496,Mapping!$D$17:$D$28,0)),"(unmapped)")))))</f>
        <v/>
      </c>
    </row>
    <row r="497" spans="11:11" x14ac:dyDescent="0.3">
      <c r="K497" t="str">
        <f>IF($D497="","",IFERROR(INDEX(Mapping!$H$3:$H$32,MATCH($B497,Mapping!$G$3:$G$32,0)),IF(LEFT($F497,3)="P2P",IFERROR(INDEX(Mapping!$E$3:$E$6,MATCH($G497,Mapping!$D$3:$D$6,0)),IFERROR(INDEX(Mapping!$B$3:$B$13,MATCH($J497,Mapping!$A$3:$A$13,0)),"(unmapped)")),IFERROR(INDEX(Mapping!$B$17:$B$22,MATCH($F497,Mapping!$A$17:$A$22,0)),$F497)&amp;" "&amp;IF($G497="Banking","Banking",IFERROR(INDEX(Mapping!$E$17:$E$28,MATCH($J497,Mapping!$D$17:$D$28,0)),"(unmapped)")))))</f>
        <v/>
      </c>
    </row>
    <row r="498" spans="11:11" x14ac:dyDescent="0.3">
      <c r="K498" t="str">
        <f>IF($D498="","",IFERROR(INDEX(Mapping!$H$3:$H$32,MATCH($B498,Mapping!$G$3:$G$32,0)),IF(LEFT($F498,3)="P2P",IFERROR(INDEX(Mapping!$E$3:$E$6,MATCH($G498,Mapping!$D$3:$D$6,0)),IFERROR(INDEX(Mapping!$B$3:$B$13,MATCH($J498,Mapping!$A$3:$A$13,0)),"(unmapped)")),IFERROR(INDEX(Mapping!$B$17:$B$22,MATCH($F498,Mapping!$A$17:$A$22,0)),$F498)&amp;" "&amp;IF($G498="Banking","Banking",IFERROR(INDEX(Mapping!$E$17:$E$28,MATCH($J498,Mapping!$D$17:$D$28,0)),"(unmapped)")))))</f>
        <v/>
      </c>
    </row>
    <row r="499" spans="11:11" x14ac:dyDescent="0.3">
      <c r="K499" t="str">
        <f>IF($D499="","",IFERROR(INDEX(Mapping!$H$3:$H$32,MATCH($B499,Mapping!$G$3:$G$32,0)),IF(LEFT($F499,3)="P2P",IFERROR(INDEX(Mapping!$E$3:$E$6,MATCH($G499,Mapping!$D$3:$D$6,0)),IFERROR(INDEX(Mapping!$B$3:$B$13,MATCH($J499,Mapping!$A$3:$A$13,0)),"(unmapped)")),IFERROR(INDEX(Mapping!$B$17:$B$22,MATCH($F499,Mapping!$A$17:$A$22,0)),$F499)&amp;" "&amp;IF($G499="Banking","Banking",IFERROR(INDEX(Mapping!$E$17:$E$28,MATCH($J499,Mapping!$D$17:$D$28,0)),"(unmapped)")))))</f>
        <v/>
      </c>
    </row>
    <row r="500" spans="11:11" x14ac:dyDescent="0.3">
      <c r="K500" t="str">
        <f>IF($D500="","",IFERROR(INDEX(Mapping!$H$3:$H$32,MATCH($B500,Mapping!$G$3:$G$32,0)),IF(LEFT($F500,3)="P2P",IFERROR(INDEX(Mapping!$E$3:$E$6,MATCH($G500,Mapping!$D$3:$D$6,0)),IFERROR(INDEX(Mapping!$B$3:$B$13,MATCH($J500,Mapping!$A$3:$A$13,0)),"(unmapped)")),IFERROR(INDEX(Mapping!$B$17:$B$22,MATCH($F500,Mapping!$A$17:$A$22,0)),$F500)&amp;" "&amp;IF($G500="Banking","Banking",IFERROR(INDEX(Mapping!$E$17:$E$28,MATCH($J500,Mapping!$D$17:$D$28,0)),"(unmapped)")))))</f>
        <v/>
      </c>
    </row>
    <row r="501" spans="11:11" x14ac:dyDescent="0.3">
      <c r="K501" t="str">
        <f>IF($D501="","",IFERROR(INDEX(Mapping!$H$3:$H$32,MATCH($B501,Mapping!$G$3:$G$32,0)),IF(LEFT($F501,3)="P2P",IFERROR(INDEX(Mapping!$E$3:$E$6,MATCH($G501,Mapping!$D$3:$D$6,0)),IFERROR(INDEX(Mapping!$B$3:$B$13,MATCH($J501,Mapping!$A$3:$A$13,0)),"(unmapped)")),IFERROR(INDEX(Mapping!$B$17:$B$22,MATCH($F501,Mapping!$A$17:$A$22,0)),$F501)&amp;" "&amp;IF($G501="Banking","Banking",IFERROR(INDEX(Mapping!$E$17:$E$28,MATCH($J501,Mapping!$D$17:$D$28,0)),"(unmapped)")))))</f>
        <v/>
      </c>
    </row>
    <row r="502" spans="11:11" x14ac:dyDescent="0.3">
      <c r="K502" t="str">
        <f>IF($D502="","",IFERROR(INDEX(Mapping!$H$3:$H$32,MATCH($B502,Mapping!$G$3:$G$32,0)),IF(LEFT($F502,3)="P2P",IFERROR(INDEX(Mapping!$E$3:$E$6,MATCH($G502,Mapping!$D$3:$D$6,0)),IFERROR(INDEX(Mapping!$B$3:$B$13,MATCH($J502,Mapping!$A$3:$A$13,0)),"(unmapped)")),IFERROR(INDEX(Mapping!$B$17:$B$22,MATCH($F502,Mapping!$A$17:$A$22,0)),$F502)&amp;" "&amp;IF($G502="Banking","Banking",IFERROR(INDEX(Mapping!$E$17:$E$28,MATCH($J502,Mapping!$D$17:$D$28,0)),"(unmapped)")))))</f>
        <v/>
      </c>
    </row>
    <row r="503" spans="11:11" x14ac:dyDescent="0.3">
      <c r="K503" t="str">
        <f>IF($D503="","",IFERROR(INDEX(Mapping!$H$3:$H$32,MATCH($B503,Mapping!$G$3:$G$32,0)),IF(LEFT($F503,3)="P2P",IFERROR(INDEX(Mapping!$E$3:$E$6,MATCH($G503,Mapping!$D$3:$D$6,0)),IFERROR(INDEX(Mapping!$B$3:$B$13,MATCH($J503,Mapping!$A$3:$A$13,0)),"(unmapped)")),IFERROR(INDEX(Mapping!$B$17:$B$22,MATCH($F503,Mapping!$A$17:$A$22,0)),$F503)&amp;" "&amp;IF($G503="Banking","Banking",IFERROR(INDEX(Mapping!$E$17:$E$28,MATCH($J503,Mapping!$D$17:$D$28,0)),"(unmapped)")))))</f>
        <v/>
      </c>
    </row>
    <row r="504" spans="11:11" x14ac:dyDescent="0.3">
      <c r="K504" t="str">
        <f>IF($D504="","",IFERROR(INDEX(Mapping!$H$3:$H$32,MATCH($B504,Mapping!$G$3:$G$32,0)),IF(LEFT($F504,3)="P2P",IFERROR(INDEX(Mapping!$E$3:$E$6,MATCH($G504,Mapping!$D$3:$D$6,0)),IFERROR(INDEX(Mapping!$B$3:$B$13,MATCH($J504,Mapping!$A$3:$A$13,0)),"(unmapped)")),IFERROR(INDEX(Mapping!$B$17:$B$22,MATCH($F504,Mapping!$A$17:$A$22,0)),$F504)&amp;" "&amp;IF($G504="Banking","Banking",IFERROR(INDEX(Mapping!$E$17:$E$28,MATCH($J504,Mapping!$D$17:$D$28,0)),"(unmapped)")))))</f>
        <v/>
      </c>
    </row>
    <row r="505" spans="11:11" x14ac:dyDescent="0.3">
      <c r="K505" t="str">
        <f>IF($D505="","",IFERROR(INDEX(Mapping!$H$3:$H$32,MATCH($B505,Mapping!$G$3:$G$32,0)),IF(LEFT($F505,3)="P2P",IFERROR(INDEX(Mapping!$E$3:$E$6,MATCH($G505,Mapping!$D$3:$D$6,0)),IFERROR(INDEX(Mapping!$B$3:$B$13,MATCH($J505,Mapping!$A$3:$A$13,0)),"(unmapped)")),IFERROR(INDEX(Mapping!$B$17:$B$22,MATCH($F505,Mapping!$A$17:$A$22,0)),$F505)&amp;" "&amp;IF($G505="Banking","Banking",IFERROR(INDEX(Mapping!$E$17:$E$28,MATCH($J505,Mapping!$D$17:$D$28,0)),"(unmapped)")))))</f>
        <v/>
      </c>
    </row>
    <row r="506" spans="11:11" x14ac:dyDescent="0.3">
      <c r="K506" t="str">
        <f>IF($D506="","",IFERROR(INDEX(Mapping!$H$3:$H$32,MATCH($B506,Mapping!$G$3:$G$32,0)),IF(LEFT($F506,3)="P2P",IFERROR(INDEX(Mapping!$E$3:$E$6,MATCH($G506,Mapping!$D$3:$D$6,0)),IFERROR(INDEX(Mapping!$B$3:$B$13,MATCH($J506,Mapping!$A$3:$A$13,0)),"(unmapped)")),IFERROR(INDEX(Mapping!$B$17:$B$22,MATCH($F506,Mapping!$A$17:$A$22,0)),$F506)&amp;" "&amp;IF($G506="Banking","Banking",IFERROR(INDEX(Mapping!$E$17:$E$28,MATCH($J506,Mapping!$D$17:$D$28,0)),"(unmapped)")))))</f>
        <v/>
      </c>
    </row>
    <row r="507" spans="11:11" x14ac:dyDescent="0.3">
      <c r="K507" t="str">
        <f>IF($D507="","",IFERROR(INDEX(Mapping!$H$3:$H$32,MATCH($B507,Mapping!$G$3:$G$32,0)),IF(LEFT($F507,3)="P2P",IFERROR(INDEX(Mapping!$E$3:$E$6,MATCH($G507,Mapping!$D$3:$D$6,0)),IFERROR(INDEX(Mapping!$B$3:$B$13,MATCH($J507,Mapping!$A$3:$A$13,0)),"(unmapped)")),IFERROR(INDEX(Mapping!$B$17:$B$22,MATCH($F507,Mapping!$A$17:$A$22,0)),$F507)&amp;" "&amp;IF($G507="Banking","Banking",IFERROR(INDEX(Mapping!$E$17:$E$28,MATCH($J507,Mapping!$D$17:$D$28,0)),"(unmapped)")))))</f>
        <v/>
      </c>
    </row>
    <row r="508" spans="11:11" x14ac:dyDescent="0.3">
      <c r="K508" t="str">
        <f>IF($D508="","",IFERROR(INDEX(Mapping!$H$3:$H$32,MATCH($B508,Mapping!$G$3:$G$32,0)),IF(LEFT($F508,3)="P2P",IFERROR(INDEX(Mapping!$E$3:$E$6,MATCH($G508,Mapping!$D$3:$D$6,0)),IFERROR(INDEX(Mapping!$B$3:$B$13,MATCH($J508,Mapping!$A$3:$A$13,0)),"(unmapped)")),IFERROR(INDEX(Mapping!$B$17:$B$22,MATCH($F508,Mapping!$A$17:$A$22,0)),$F508)&amp;" "&amp;IF($G508="Banking","Banking",IFERROR(INDEX(Mapping!$E$17:$E$28,MATCH($J508,Mapping!$D$17:$D$28,0)),"(unmapped)")))))</f>
        <v/>
      </c>
    </row>
    <row r="509" spans="11:11" x14ac:dyDescent="0.3">
      <c r="K509" t="str">
        <f>IF($D509="","",IFERROR(INDEX(Mapping!$H$3:$H$32,MATCH($B509,Mapping!$G$3:$G$32,0)),IF(LEFT($F509,3)="P2P",IFERROR(INDEX(Mapping!$E$3:$E$6,MATCH($G509,Mapping!$D$3:$D$6,0)),IFERROR(INDEX(Mapping!$B$3:$B$13,MATCH($J509,Mapping!$A$3:$A$13,0)),"(unmapped)")),IFERROR(INDEX(Mapping!$B$17:$B$22,MATCH($F509,Mapping!$A$17:$A$22,0)),$F509)&amp;" "&amp;IF($G509="Banking","Banking",IFERROR(INDEX(Mapping!$E$17:$E$28,MATCH($J509,Mapping!$D$17:$D$28,0)),"(unmapped)")))))</f>
        <v/>
      </c>
    </row>
    <row r="510" spans="11:11" x14ac:dyDescent="0.3">
      <c r="K510" t="str">
        <f>IF($D510="","",IFERROR(INDEX(Mapping!$H$3:$H$32,MATCH($B510,Mapping!$G$3:$G$32,0)),IF(LEFT($F510,3)="P2P",IFERROR(INDEX(Mapping!$E$3:$E$6,MATCH($G510,Mapping!$D$3:$D$6,0)),IFERROR(INDEX(Mapping!$B$3:$B$13,MATCH($J510,Mapping!$A$3:$A$13,0)),"(unmapped)")),IFERROR(INDEX(Mapping!$B$17:$B$22,MATCH($F510,Mapping!$A$17:$A$22,0)),$F510)&amp;" "&amp;IF($G510="Banking","Banking",IFERROR(INDEX(Mapping!$E$17:$E$28,MATCH($J510,Mapping!$D$17:$D$28,0)),"(unmapped)")))))</f>
        <v/>
      </c>
    </row>
    <row r="511" spans="11:11" x14ac:dyDescent="0.3">
      <c r="K511" t="str">
        <f>IF($D511="","",IFERROR(INDEX(Mapping!$H$3:$H$32,MATCH($B511,Mapping!$G$3:$G$32,0)),IF(LEFT($F511,3)="P2P",IFERROR(INDEX(Mapping!$E$3:$E$6,MATCH($G511,Mapping!$D$3:$D$6,0)),IFERROR(INDEX(Mapping!$B$3:$B$13,MATCH($J511,Mapping!$A$3:$A$13,0)),"(unmapped)")),IFERROR(INDEX(Mapping!$B$17:$B$22,MATCH($F511,Mapping!$A$17:$A$22,0)),$F511)&amp;" "&amp;IF($G511="Banking","Banking",IFERROR(INDEX(Mapping!$E$17:$E$28,MATCH($J511,Mapping!$D$17:$D$28,0)),"(unmapped)")))))</f>
        <v/>
      </c>
    </row>
    <row r="512" spans="11:11" x14ac:dyDescent="0.3">
      <c r="K512" t="str">
        <f>IF($D512="","",IFERROR(INDEX(Mapping!$H$3:$H$32,MATCH($B512,Mapping!$G$3:$G$32,0)),IF(LEFT($F512,3)="P2P",IFERROR(INDEX(Mapping!$E$3:$E$6,MATCH($G512,Mapping!$D$3:$D$6,0)),IFERROR(INDEX(Mapping!$B$3:$B$13,MATCH($J512,Mapping!$A$3:$A$13,0)),"(unmapped)")),IFERROR(INDEX(Mapping!$B$17:$B$22,MATCH($F512,Mapping!$A$17:$A$22,0)),$F512)&amp;" "&amp;IF($G512="Banking","Banking",IFERROR(INDEX(Mapping!$E$17:$E$28,MATCH($J512,Mapping!$D$17:$D$28,0)),"(unmapped)")))))</f>
        <v/>
      </c>
    </row>
    <row r="513" spans="11:11" x14ac:dyDescent="0.3">
      <c r="K513" t="str">
        <f>IF($D513="","",IFERROR(INDEX(Mapping!$H$3:$H$32,MATCH($B513,Mapping!$G$3:$G$32,0)),IF(LEFT($F513,3)="P2P",IFERROR(INDEX(Mapping!$E$3:$E$6,MATCH($G513,Mapping!$D$3:$D$6,0)),IFERROR(INDEX(Mapping!$B$3:$B$13,MATCH($J513,Mapping!$A$3:$A$13,0)),"(unmapped)")),IFERROR(INDEX(Mapping!$B$17:$B$22,MATCH($F513,Mapping!$A$17:$A$22,0)),$F513)&amp;" "&amp;IF($G513="Banking","Banking",IFERROR(INDEX(Mapping!$E$17:$E$28,MATCH($J513,Mapping!$D$17:$D$28,0)),"(unmapped)")))))</f>
        <v/>
      </c>
    </row>
    <row r="514" spans="11:11" x14ac:dyDescent="0.3">
      <c r="K514" t="str">
        <f>IF($D514="","",IFERROR(INDEX(Mapping!$H$3:$H$32,MATCH($B514,Mapping!$G$3:$G$32,0)),IF(LEFT($F514,3)="P2P",IFERROR(INDEX(Mapping!$E$3:$E$6,MATCH($G514,Mapping!$D$3:$D$6,0)),IFERROR(INDEX(Mapping!$B$3:$B$13,MATCH($J514,Mapping!$A$3:$A$13,0)),"(unmapped)")),IFERROR(INDEX(Mapping!$B$17:$B$22,MATCH($F514,Mapping!$A$17:$A$22,0)),$F514)&amp;" "&amp;IF($G514="Banking","Banking",IFERROR(INDEX(Mapping!$E$17:$E$28,MATCH($J514,Mapping!$D$17:$D$28,0)),"(unmapped)")))))</f>
        <v/>
      </c>
    </row>
    <row r="515" spans="11:11" x14ac:dyDescent="0.3">
      <c r="K515" t="str">
        <f>IF($D515="","",IFERROR(INDEX(Mapping!$H$3:$H$32,MATCH($B515,Mapping!$G$3:$G$32,0)),IF(LEFT($F515,3)="P2P",IFERROR(INDEX(Mapping!$E$3:$E$6,MATCH($G515,Mapping!$D$3:$D$6,0)),IFERROR(INDEX(Mapping!$B$3:$B$13,MATCH($J515,Mapping!$A$3:$A$13,0)),"(unmapped)")),IFERROR(INDEX(Mapping!$B$17:$B$22,MATCH($F515,Mapping!$A$17:$A$22,0)),$F515)&amp;" "&amp;IF($G515="Banking","Banking",IFERROR(INDEX(Mapping!$E$17:$E$28,MATCH($J515,Mapping!$D$17:$D$28,0)),"(unmapped)")))))</f>
        <v/>
      </c>
    </row>
    <row r="516" spans="11:11" x14ac:dyDescent="0.3">
      <c r="K516" t="str">
        <f>IF($D516="","",IFERROR(INDEX(Mapping!$H$3:$H$32,MATCH($B516,Mapping!$G$3:$G$32,0)),IF(LEFT($F516,3)="P2P",IFERROR(INDEX(Mapping!$E$3:$E$6,MATCH($G516,Mapping!$D$3:$D$6,0)),IFERROR(INDEX(Mapping!$B$3:$B$13,MATCH($J516,Mapping!$A$3:$A$13,0)),"(unmapped)")),IFERROR(INDEX(Mapping!$B$17:$B$22,MATCH($F516,Mapping!$A$17:$A$22,0)),$F516)&amp;" "&amp;IF($G516="Banking","Banking",IFERROR(INDEX(Mapping!$E$17:$E$28,MATCH($J516,Mapping!$D$17:$D$28,0)),"(unmapped)")))))</f>
        <v/>
      </c>
    </row>
    <row r="517" spans="11:11" x14ac:dyDescent="0.3">
      <c r="K517" t="str">
        <f>IF($D517="","",IFERROR(INDEX(Mapping!$H$3:$H$32,MATCH($B517,Mapping!$G$3:$G$32,0)),IF(LEFT($F517,3)="P2P",IFERROR(INDEX(Mapping!$E$3:$E$6,MATCH($G517,Mapping!$D$3:$D$6,0)),IFERROR(INDEX(Mapping!$B$3:$B$13,MATCH($J517,Mapping!$A$3:$A$13,0)),"(unmapped)")),IFERROR(INDEX(Mapping!$B$17:$B$22,MATCH($F517,Mapping!$A$17:$A$22,0)),$F517)&amp;" "&amp;IF($G517="Banking","Banking",IFERROR(INDEX(Mapping!$E$17:$E$28,MATCH($J517,Mapping!$D$17:$D$28,0)),"(unmapped)")))))</f>
        <v/>
      </c>
    </row>
    <row r="518" spans="11:11" x14ac:dyDescent="0.3">
      <c r="K518" t="str">
        <f>IF($D518="","",IFERROR(INDEX(Mapping!$H$3:$H$32,MATCH($B518,Mapping!$G$3:$G$32,0)),IF(LEFT($F518,3)="P2P",IFERROR(INDEX(Mapping!$E$3:$E$6,MATCH($G518,Mapping!$D$3:$D$6,0)),IFERROR(INDEX(Mapping!$B$3:$B$13,MATCH($J518,Mapping!$A$3:$A$13,0)),"(unmapped)")),IFERROR(INDEX(Mapping!$B$17:$B$22,MATCH($F518,Mapping!$A$17:$A$22,0)),$F518)&amp;" "&amp;IF($G518="Banking","Banking",IFERROR(INDEX(Mapping!$E$17:$E$28,MATCH($J518,Mapping!$D$17:$D$28,0)),"(unmapped)")))))</f>
        <v/>
      </c>
    </row>
    <row r="519" spans="11:11" x14ac:dyDescent="0.3">
      <c r="K519" t="str">
        <f>IF($D519="","",IFERROR(INDEX(Mapping!$H$3:$H$32,MATCH($B519,Mapping!$G$3:$G$32,0)),IF(LEFT($F519,3)="P2P",IFERROR(INDEX(Mapping!$E$3:$E$6,MATCH($G519,Mapping!$D$3:$D$6,0)),IFERROR(INDEX(Mapping!$B$3:$B$13,MATCH($J519,Mapping!$A$3:$A$13,0)),"(unmapped)")),IFERROR(INDEX(Mapping!$B$17:$B$22,MATCH($F519,Mapping!$A$17:$A$22,0)),$F519)&amp;" "&amp;IF($G519="Banking","Banking",IFERROR(INDEX(Mapping!$E$17:$E$28,MATCH($J519,Mapping!$D$17:$D$28,0)),"(unmapped)")))))</f>
        <v/>
      </c>
    </row>
    <row r="520" spans="11:11" x14ac:dyDescent="0.3">
      <c r="K520" t="str">
        <f>IF($D520="","",IFERROR(INDEX(Mapping!$H$3:$H$32,MATCH($B520,Mapping!$G$3:$G$32,0)),IF(LEFT($F520,3)="P2P",IFERROR(INDEX(Mapping!$E$3:$E$6,MATCH($G520,Mapping!$D$3:$D$6,0)),IFERROR(INDEX(Mapping!$B$3:$B$13,MATCH($J520,Mapping!$A$3:$A$13,0)),"(unmapped)")),IFERROR(INDEX(Mapping!$B$17:$B$22,MATCH($F520,Mapping!$A$17:$A$22,0)),$F520)&amp;" "&amp;IF($G520="Banking","Banking",IFERROR(INDEX(Mapping!$E$17:$E$28,MATCH($J520,Mapping!$D$17:$D$28,0)),"(unmapped)")))))</f>
        <v/>
      </c>
    </row>
    <row r="521" spans="11:11" x14ac:dyDescent="0.3">
      <c r="K521" t="str">
        <f>IF($D521="","",IFERROR(INDEX(Mapping!$H$3:$H$32,MATCH($B521,Mapping!$G$3:$G$32,0)),IF(LEFT($F521,3)="P2P",IFERROR(INDEX(Mapping!$E$3:$E$6,MATCH($G521,Mapping!$D$3:$D$6,0)),IFERROR(INDEX(Mapping!$B$3:$B$13,MATCH($J521,Mapping!$A$3:$A$13,0)),"(unmapped)")),IFERROR(INDEX(Mapping!$B$17:$B$22,MATCH($F521,Mapping!$A$17:$A$22,0)),$F521)&amp;" "&amp;IF($G521="Banking","Banking",IFERROR(INDEX(Mapping!$E$17:$E$28,MATCH($J521,Mapping!$D$17:$D$28,0)),"(unmapped)")))))</f>
        <v/>
      </c>
    </row>
    <row r="522" spans="11:11" x14ac:dyDescent="0.3">
      <c r="K522" t="str">
        <f>IF($D522="","",IFERROR(INDEX(Mapping!$H$3:$H$32,MATCH($B522,Mapping!$G$3:$G$32,0)),IF(LEFT($F522,3)="P2P",IFERROR(INDEX(Mapping!$E$3:$E$6,MATCH($G522,Mapping!$D$3:$D$6,0)),IFERROR(INDEX(Mapping!$B$3:$B$13,MATCH($J522,Mapping!$A$3:$A$13,0)),"(unmapped)")),IFERROR(INDEX(Mapping!$B$17:$B$22,MATCH($F522,Mapping!$A$17:$A$22,0)),$F522)&amp;" "&amp;IF($G522="Banking","Banking",IFERROR(INDEX(Mapping!$E$17:$E$28,MATCH($J522,Mapping!$D$17:$D$28,0)),"(unmapped)")))))</f>
        <v/>
      </c>
    </row>
    <row r="523" spans="11:11" x14ac:dyDescent="0.3">
      <c r="K523" t="str">
        <f>IF($D523="","",IFERROR(INDEX(Mapping!$H$3:$H$32,MATCH($B523,Mapping!$G$3:$G$32,0)),IF(LEFT($F523,3)="P2P",IFERROR(INDEX(Mapping!$E$3:$E$6,MATCH($G523,Mapping!$D$3:$D$6,0)),IFERROR(INDEX(Mapping!$B$3:$B$13,MATCH($J523,Mapping!$A$3:$A$13,0)),"(unmapped)")),IFERROR(INDEX(Mapping!$B$17:$B$22,MATCH($F523,Mapping!$A$17:$A$22,0)),$F523)&amp;" "&amp;IF($G523="Banking","Banking",IFERROR(INDEX(Mapping!$E$17:$E$28,MATCH($J523,Mapping!$D$17:$D$28,0)),"(unmapped)")))))</f>
        <v/>
      </c>
    </row>
    <row r="524" spans="11:11" x14ac:dyDescent="0.3">
      <c r="K524" t="str">
        <f>IF($D524="","",IFERROR(INDEX(Mapping!$H$3:$H$32,MATCH($B524,Mapping!$G$3:$G$32,0)),IF(LEFT($F524,3)="P2P",IFERROR(INDEX(Mapping!$E$3:$E$6,MATCH($G524,Mapping!$D$3:$D$6,0)),IFERROR(INDEX(Mapping!$B$3:$B$13,MATCH($J524,Mapping!$A$3:$A$13,0)),"(unmapped)")),IFERROR(INDEX(Mapping!$B$17:$B$22,MATCH($F524,Mapping!$A$17:$A$22,0)),$F524)&amp;" "&amp;IF($G524="Banking","Banking",IFERROR(INDEX(Mapping!$E$17:$E$28,MATCH($J524,Mapping!$D$17:$D$28,0)),"(unmapped)")))))</f>
        <v/>
      </c>
    </row>
    <row r="525" spans="11:11" x14ac:dyDescent="0.3">
      <c r="K525" t="str">
        <f>IF($D525="","",IFERROR(INDEX(Mapping!$H$3:$H$32,MATCH($B525,Mapping!$G$3:$G$32,0)),IF(LEFT($F525,3)="P2P",IFERROR(INDEX(Mapping!$E$3:$E$6,MATCH($G525,Mapping!$D$3:$D$6,0)),IFERROR(INDEX(Mapping!$B$3:$B$13,MATCH($J525,Mapping!$A$3:$A$13,0)),"(unmapped)")),IFERROR(INDEX(Mapping!$B$17:$B$22,MATCH($F525,Mapping!$A$17:$A$22,0)),$F525)&amp;" "&amp;IF($G525="Banking","Banking",IFERROR(INDEX(Mapping!$E$17:$E$28,MATCH($J525,Mapping!$D$17:$D$28,0)),"(unmapped)")))))</f>
        <v/>
      </c>
    </row>
    <row r="526" spans="11:11" x14ac:dyDescent="0.3">
      <c r="K526" t="str">
        <f>IF($D526="","",IFERROR(INDEX(Mapping!$H$3:$H$32,MATCH($B526,Mapping!$G$3:$G$32,0)),IF(LEFT($F526,3)="P2P",IFERROR(INDEX(Mapping!$E$3:$E$6,MATCH($G526,Mapping!$D$3:$D$6,0)),IFERROR(INDEX(Mapping!$B$3:$B$13,MATCH($J526,Mapping!$A$3:$A$13,0)),"(unmapped)")),IFERROR(INDEX(Mapping!$B$17:$B$22,MATCH($F526,Mapping!$A$17:$A$22,0)),$F526)&amp;" "&amp;IF($G526="Banking","Banking",IFERROR(INDEX(Mapping!$E$17:$E$28,MATCH($J526,Mapping!$D$17:$D$28,0)),"(unmapped)")))))</f>
        <v/>
      </c>
    </row>
    <row r="527" spans="11:11" x14ac:dyDescent="0.3">
      <c r="K527" t="str">
        <f>IF($D527="","",IFERROR(INDEX(Mapping!$H$3:$H$32,MATCH($B527,Mapping!$G$3:$G$32,0)),IF(LEFT($F527,3)="P2P",IFERROR(INDEX(Mapping!$E$3:$E$6,MATCH($G527,Mapping!$D$3:$D$6,0)),IFERROR(INDEX(Mapping!$B$3:$B$13,MATCH($J527,Mapping!$A$3:$A$13,0)),"(unmapped)")),IFERROR(INDEX(Mapping!$B$17:$B$22,MATCH($F527,Mapping!$A$17:$A$22,0)),$F527)&amp;" "&amp;IF($G527="Banking","Banking",IFERROR(INDEX(Mapping!$E$17:$E$28,MATCH($J527,Mapping!$D$17:$D$28,0)),"(unmapped)")))))</f>
        <v/>
      </c>
    </row>
    <row r="528" spans="11:11" x14ac:dyDescent="0.3">
      <c r="K528" t="str">
        <f>IF($D528="","",IFERROR(INDEX(Mapping!$H$3:$H$32,MATCH($B528,Mapping!$G$3:$G$32,0)),IF(LEFT($F528,3)="P2P",IFERROR(INDEX(Mapping!$E$3:$E$6,MATCH($G528,Mapping!$D$3:$D$6,0)),IFERROR(INDEX(Mapping!$B$3:$B$13,MATCH($J528,Mapping!$A$3:$A$13,0)),"(unmapped)")),IFERROR(INDEX(Mapping!$B$17:$B$22,MATCH($F528,Mapping!$A$17:$A$22,0)),$F528)&amp;" "&amp;IF($G528="Banking","Banking",IFERROR(INDEX(Mapping!$E$17:$E$28,MATCH($J528,Mapping!$D$17:$D$28,0)),"(unmapped)")))))</f>
        <v/>
      </c>
    </row>
    <row r="529" spans="11:11" x14ac:dyDescent="0.3">
      <c r="K529" t="str">
        <f>IF($D529="","",IFERROR(INDEX(Mapping!$H$3:$H$32,MATCH($B529,Mapping!$G$3:$G$32,0)),IF(LEFT($F529,3)="P2P",IFERROR(INDEX(Mapping!$E$3:$E$6,MATCH($G529,Mapping!$D$3:$D$6,0)),IFERROR(INDEX(Mapping!$B$3:$B$13,MATCH($J529,Mapping!$A$3:$A$13,0)),"(unmapped)")),IFERROR(INDEX(Mapping!$B$17:$B$22,MATCH($F529,Mapping!$A$17:$A$22,0)),$F529)&amp;" "&amp;IF($G529="Banking","Banking",IFERROR(INDEX(Mapping!$E$17:$E$28,MATCH($J529,Mapping!$D$17:$D$28,0)),"(unmapped)")))))</f>
        <v/>
      </c>
    </row>
    <row r="530" spans="11:11" x14ac:dyDescent="0.3">
      <c r="K530" t="str">
        <f>IF($D530="","",IFERROR(INDEX(Mapping!$H$3:$H$32,MATCH($B530,Mapping!$G$3:$G$32,0)),IF(LEFT($F530,3)="P2P",IFERROR(INDEX(Mapping!$E$3:$E$6,MATCH($G530,Mapping!$D$3:$D$6,0)),IFERROR(INDEX(Mapping!$B$3:$B$13,MATCH($J530,Mapping!$A$3:$A$13,0)),"(unmapped)")),IFERROR(INDEX(Mapping!$B$17:$B$22,MATCH($F530,Mapping!$A$17:$A$22,0)),$F530)&amp;" "&amp;IF($G530="Banking","Banking",IFERROR(INDEX(Mapping!$E$17:$E$28,MATCH($J530,Mapping!$D$17:$D$28,0)),"(unmapped)")))))</f>
        <v/>
      </c>
    </row>
    <row r="531" spans="11:11" x14ac:dyDescent="0.3">
      <c r="K531" t="str">
        <f>IF($D531="","",IFERROR(INDEX(Mapping!$H$3:$H$32,MATCH($B531,Mapping!$G$3:$G$32,0)),IF(LEFT($F531,3)="P2P",IFERROR(INDEX(Mapping!$E$3:$E$6,MATCH($G531,Mapping!$D$3:$D$6,0)),IFERROR(INDEX(Mapping!$B$3:$B$13,MATCH($J531,Mapping!$A$3:$A$13,0)),"(unmapped)")),IFERROR(INDEX(Mapping!$B$17:$B$22,MATCH($F531,Mapping!$A$17:$A$22,0)),$F531)&amp;" "&amp;IF($G531="Banking","Banking",IFERROR(INDEX(Mapping!$E$17:$E$28,MATCH($J531,Mapping!$D$17:$D$28,0)),"(unmapped)")))))</f>
        <v/>
      </c>
    </row>
    <row r="532" spans="11:11" x14ac:dyDescent="0.3">
      <c r="K532" t="str">
        <f>IF($D532="","",IFERROR(INDEX(Mapping!$H$3:$H$32,MATCH($B532,Mapping!$G$3:$G$32,0)),IF(LEFT($F532,3)="P2P",IFERROR(INDEX(Mapping!$E$3:$E$6,MATCH($G532,Mapping!$D$3:$D$6,0)),IFERROR(INDEX(Mapping!$B$3:$B$13,MATCH($J532,Mapping!$A$3:$A$13,0)),"(unmapped)")),IFERROR(INDEX(Mapping!$B$17:$B$22,MATCH($F532,Mapping!$A$17:$A$22,0)),$F532)&amp;" "&amp;IF($G532="Banking","Banking",IFERROR(INDEX(Mapping!$E$17:$E$28,MATCH($J532,Mapping!$D$17:$D$28,0)),"(unmapped)")))))</f>
        <v/>
      </c>
    </row>
    <row r="533" spans="11:11" x14ac:dyDescent="0.3">
      <c r="K533" t="str">
        <f>IF($D533="","",IFERROR(INDEX(Mapping!$H$3:$H$32,MATCH($B533,Mapping!$G$3:$G$32,0)),IF(LEFT($F533,3)="P2P",IFERROR(INDEX(Mapping!$E$3:$E$6,MATCH($G533,Mapping!$D$3:$D$6,0)),IFERROR(INDEX(Mapping!$B$3:$B$13,MATCH($J533,Mapping!$A$3:$A$13,0)),"(unmapped)")),IFERROR(INDEX(Mapping!$B$17:$B$22,MATCH($F533,Mapping!$A$17:$A$22,0)),$F533)&amp;" "&amp;IF($G533="Banking","Banking",IFERROR(INDEX(Mapping!$E$17:$E$28,MATCH($J533,Mapping!$D$17:$D$28,0)),"(unmapped)")))))</f>
        <v/>
      </c>
    </row>
    <row r="534" spans="11:11" x14ac:dyDescent="0.3">
      <c r="K534" t="str">
        <f>IF($D534="","",IFERROR(INDEX(Mapping!$H$3:$H$32,MATCH($B534,Mapping!$G$3:$G$32,0)),IF(LEFT($F534,3)="P2P",IFERROR(INDEX(Mapping!$E$3:$E$6,MATCH($G534,Mapping!$D$3:$D$6,0)),IFERROR(INDEX(Mapping!$B$3:$B$13,MATCH($J534,Mapping!$A$3:$A$13,0)),"(unmapped)")),IFERROR(INDEX(Mapping!$B$17:$B$22,MATCH($F534,Mapping!$A$17:$A$22,0)),$F534)&amp;" "&amp;IF($G534="Banking","Banking",IFERROR(INDEX(Mapping!$E$17:$E$28,MATCH($J534,Mapping!$D$17:$D$28,0)),"(unmapped)")))))</f>
        <v/>
      </c>
    </row>
    <row r="535" spans="11:11" x14ac:dyDescent="0.3">
      <c r="K535" t="str">
        <f>IF($D535="","",IFERROR(INDEX(Mapping!$H$3:$H$32,MATCH($B535,Mapping!$G$3:$G$32,0)),IF(LEFT($F535,3)="P2P",IFERROR(INDEX(Mapping!$E$3:$E$6,MATCH($G535,Mapping!$D$3:$D$6,0)),IFERROR(INDEX(Mapping!$B$3:$B$13,MATCH($J535,Mapping!$A$3:$A$13,0)),"(unmapped)")),IFERROR(INDEX(Mapping!$B$17:$B$22,MATCH($F535,Mapping!$A$17:$A$22,0)),$F535)&amp;" "&amp;IF($G535="Banking","Banking",IFERROR(INDEX(Mapping!$E$17:$E$28,MATCH($J535,Mapping!$D$17:$D$28,0)),"(unmapped)")))))</f>
        <v/>
      </c>
    </row>
    <row r="536" spans="11:11" x14ac:dyDescent="0.3">
      <c r="K536" t="str">
        <f>IF($D536="","",IFERROR(INDEX(Mapping!$H$3:$H$32,MATCH($B536,Mapping!$G$3:$G$32,0)),IF(LEFT($F536,3)="P2P",IFERROR(INDEX(Mapping!$E$3:$E$6,MATCH($G536,Mapping!$D$3:$D$6,0)),IFERROR(INDEX(Mapping!$B$3:$B$13,MATCH($J536,Mapping!$A$3:$A$13,0)),"(unmapped)")),IFERROR(INDEX(Mapping!$B$17:$B$22,MATCH($F536,Mapping!$A$17:$A$22,0)),$F536)&amp;" "&amp;IF($G536="Banking","Banking",IFERROR(INDEX(Mapping!$E$17:$E$28,MATCH($J536,Mapping!$D$17:$D$28,0)),"(unmapped)")))))</f>
        <v/>
      </c>
    </row>
    <row r="537" spans="11:11" x14ac:dyDescent="0.3">
      <c r="K537" t="str">
        <f>IF($D537="","",IFERROR(INDEX(Mapping!$H$3:$H$32,MATCH($B537,Mapping!$G$3:$G$32,0)),IF(LEFT($F537,3)="P2P",IFERROR(INDEX(Mapping!$E$3:$E$6,MATCH($G537,Mapping!$D$3:$D$6,0)),IFERROR(INDEX(Mapping!$B$3:$B$13,MATCH($J537,Mapping!$A$3:$A$13,0)),"(unmapped)")),IFERROR(INDEX(Mapping!$B$17:$B$22,MATCH($F537,Mapping!$A$17:$A$22,0)),$F537)&amp;" "&amp;IF($G537="Banking","Banking",IFERROR(INDEX(Mapping!$E$17:$E$28,MATCH($J537,Mapping!$D$17:$D$28,0)),"(unmapped)")))))</f>
        <v/>
      </c>
    </row>
    <row r="538" spans="11:11" x14ac:dyDescent="0.3">
      <c r="K538" t="str">
        <f>IF($D538="","",IFERROR(INDEX(Mapping!$H$3:$H$32,MATCH($B538,Mapping!$G$3:$G$32,0)),IF(LEFT($F538,3)="P2P",IFERROR(INDEX(Mapping!$E$3:$E$6,MATCH($G538,Mapping!$D$3:$D$6,0)),IFERROR(INDEX(Mapping!$B$3:$B$13,MATCH($J538,Mapping!$A$3:$A$13,0)),"(unmapped)")),IFERROR(INDEX(Mapping!$B$17:$B$22,MATCH($F538,Mapping!$A$17:$A$22,0)),$F538)&amp;" "&amp;IF($G538="Banking","Banking",IFERROR(INDEX(Mapping!$E$17:$E$28,MATCH($J538,Mapping!$D$17:$D$28,0)),"(unmapped)")))))</f>
        <v/>
      </c>
    </row>
    <row r="539" spans="11:11" x14ac:dyDescent="0.3">
      <c r="K539" t="str">
        <f>IF($D539="","",IFERROR(INDEX(Mapping!$H$3:$H$32,MATCH($B539,Mapping!$G$3:$G$32,0)),IF(LEFT($F539,3)="P2P",IFERROR(INDEX(Mapping!$E$3:$E$6,MATCH($G539,Mapping!$D$3:$D$6,0)),IFERROR(INDEX(Mapping!$B$3:$B$13,MATCH($J539,Mapping!$A$3:$A$13,0)),"(unmapped)")),IFERROR(INDEX(Mapping!$B$17:$B$22,MATCH($F539,Mapping!$A$17:$A$22,0)),$F539)&amp;" "&amp;IF($G539="Banking","Banking",IFERROR(INDEX(Mapping!$E$17:$E$28,MATCH($J539,Mapping!$D$17:$D$28,0)),"(unmapped)")))))</f>
        <v/>
      </c>
    </row>
    <row r="540" spans="11:11" x14ac:dyDescent="0.3">
      <c r="K540" t="str">
        <f>IF($D540="","",IFERROR(INDEX(Mapping!$H$3:$H$32,MATCH($B540,Mapping!$G$3:$G$32,0)),IF(LEFT($F540,3)="P2P",IFERROR(INDEX(Mapping!$E$3:$E$6,MATCH($G540,Mapping!$D$3:$D$6,0)),IFERROR(INDEX(Mapping!$B$3:$B$13,MATCH($J540,Mapping!$A$3:$A$13,0)),"(unmapped)")),IFERROR(INDEX(Mapping!$B$17:$B$22,MATCH($F540,Mapping!$A$17:$A$22,0)),$F540)&amp;" "&amp;IF($G540="Banking","Banking",IFERROR(INDEX(Mapping!$E$17:$E$28,MATCH($J540,Mapping!$D$17:$D$28,0)),"(unmapped)")))))</f>
        <v/>
      </c>
    </row>
    <row r="541" spans="11:11" x14ac:dyDescent="0.3">
      <c r="K541" t="str">
        <f>IF($D541="","",IFERROR(INDEX(Mapping!$H$3:$H$32,MATCH($B541,Mapping!$G$3:$G$32,0)),IF(LEFT($F541,3)="P2P",IFERROR(INDEX(Mapping!$E$3:$E$6,MATCH($G541,Mapping!$D$3:$D$6,0)),IFERROR(INDEX(Mapping!$B$3:$B$13,MATCH($J541,Mapping!$A$3:$A$13,0)),"(unmapped)")),IFERROR(INDEX(Mapping!$B$17:$B$22,MATCH($F541,Mapping!$A$17:$A$22,0)),$F541)&amp;" "&amp;IF($G541="Banking","Banking",IFERROR(INDEX(Mapping!$E$17:$E$28,MATCH($J541,Mapping!$D$17:$D$28,0)),"(unmapped)")))))</f>
        <v/>
      </c>
    </row>
    <row r="542" spans="11:11" x14ac:dyDescent="0.3">
      <c r="K542" t="str">
        <f>IF($D542="","",IFERROR(INDEX(Mapping!$H$3:$H$32,MATCH($B542,Mapping!$G$3:$G$32,0)),IF(LEFT($F542,3)="P2P",IFERROR(INDEX(Mapping!$E$3:$E$6,MATCH($G542,Mapping!$D$3:$D$6,0)),IFERROR(INDEX(Mapping!$B$3:$B$13,MATCH($J542,Mapping!$A$3:$A$13,0)),"(unmapped)")),IFERROR(INDEX(Mapping!$B$17:$B$22,MATCH($F542,Mapping!$A$17:$A$22,0)),$F542)&amp;" "&amp;IF($G542="Banking","Banking",IFERROR(INDEX(Mapping!$E$17:$E$28,MATCH($J542,Mapping!$D$17:$D$28,0)),"(unmapped)")))))</f>
        <v/>
      </c>
    </row>
    <row r="543" spans="11:11" x14ac:dyDescent="0.3">
      <c r="K543" t="str">
        <f>IF($D543="","",IFERROR(INDEX(Mapping!$H$3:$H$32,MATCH($B543,Mapping!$G$3:$G$32,0)),IF(LEFT($F543,3)="P2P",IFERROR(INDEX(Mapping!$E$3:$E$6,MATCH($G543,Mapping!$D$3:$D$6,0)),IFERROR(INDEX(Mapping!$B$3:$B$13,MATCH($J543,Mapping!$A$3:$A$13,0)),"(unmapped)")),IFERROR(INDEX(Mapping!$B$17:$B$22,MATCH($F543,Mapping!$A$17:$A$22,0)),$F543)&amp;" "&amp;IF($G543="Banking","Banking",IFERROR(INDEX(Mapping!$E$17:$E$28,MATCH($J543,Mapping!$D$17:$D$28,0)),"(unmapped)")))))</f>
        <v/>
      </c>
    </row>
    <row r="544" spans="11:11" x14ac:dyDescent="0.3">
      <c r="K544" t="str">
        <f>IF($D544="","",IFERROR(INDEX(Mapping!$H$3:$H$32,MATCH($B544,Mapping!$G$3:$G$32,0)),IF(LEFT($F544,3)="P2P",IFERROR(INDEX(Mapping!$E$3:$E$6,MATCH($G544,Mapping!$D$3:$D$6,0)),IFERROR(INDEX(Mapping!$B$3:$B$13,MATCH($J544,Mapping!$A$3:$A$13,0)),"(unmapped)")),IFERROR(INDEX(Mapping!$B$17:$B$22,MATCH($F544,Mapping!$A$17:$A$22,0)),$F544)&amp;" "&amp;IF($G544="Banking","Banking",IFERROR(INDEX(Mapping!$E$17:$E$28,MATCH($J544,Mapping!$D$17:$D$28,0)),"(unmapped)")))))</f>
        <v/>
      </c>
    </row>
    <row r="545" spans="11:11" x14ac:dyDescent="0.3">
      <c r="K545" t="str">
        <f>IF($D545="","",IFERROR(INDEX(Mapping!$H$3:$H$32,MATCH($B545,Mapping!$G$3:$G$32,0)),IF(LEFT($F545,3)="P2P",IFERROR(INDEX(Mapping!$E$3:$E$6,MATCH($G545,Mapping!$D$3:$D$6,0)),IFERROR(INDEX(Mapping!$B$3:$B$13,MATCH($J545,Mapping!$A$3:$A$13,0)),"(unmapped)")),IFERROR(INDEX(Mapping!$B$17:$B$22,MATCH($F545,Mapping!$A$17:$A$22,0)),$F545)&amp;" "&amp;IF($G545="Banking","Banking",IFERROR(INDEX(Mapping!$E$17:$E$28,MATCH($J545,Mapping!$D$17:$D$28,0)),"(unmapped)")))))</f>
        <v/>
      </c>
    </row>
    <row r="546" spans="11:11" x14ac:dyDescent="0.3">
      <c r="K546" t="str">
        <f>IF($D546="","",IFERROR(INDEX(Mapping!$H$3:$H$32,MATCH($B546,Mapping!$G$3:$G$32,0)),IF(LEFT($F546,3)="P2P",IFERROR(INDEX(Mapping!$E$3:$E$6,MATCH($G546,Mapping!$D$3:$D$6,0)),IFERROR(INDEX(Mapping!$B$3:$B$13,MATCH($J546,Mapping!$A$3:$A$13,0)),"(unmapped)")),IFERROR(INDEX(Mapping!$B$17:$B$22,MATCH($F546,Mapping!$A$17:$A$22,0)),$F546)&amp;" "&amp;IF($G546="Banking","Banking",IFERROR(INDEX(Mapping!$E$17:$E$28,MATCH($J546,Mapping!$D$17:$D$28,0)),"(unmapped)")))))</f>
        <v/>
      </c>
    </row>
    <row r="547" spans="11:11" x14ac:dyDescent="0.3">
      <c r="K547" t="str">
        <f>IF($D547="","",IFERROR(INDEX(Mapping!$H$3:$H$32,MATCH($B547,Mapping!$G$3:$G$32,0)),IF(LEFT($F547,3)="P2P",IFERROR(INDEX(Mapping!$E$3:$E$6,MATCH($G547,Mapping!$D$3:$D$6,0)),IFERROR(INDEX(Mapping!$B$3:$B$13,MATCH($J547,Mapping!$A$3:$A$13,0)),"(unmapped)")),IFERROR(INDEX(Mapping!$B$17:$B$22,MATCH($F547,Mapping!$A$17:$A$22,0)),$F547)&amp;" "&amp;IF($G547="Banking","Banking",IFERROR(INDEX(Mapping!$E$17:$E$28,MATCH($J547,Mapping!$D$17:$D$28,0)),"(unmapped)")))))</f>
        <v/>
      </c>
    </row>
    <row r="548" spans="11:11" x14ac:dyDescent="0.3">
      <c r="K548" t="str">
        <f>IF($D548="","",IFERROR(INDEX(Mapping!$H$3:$H$32,MATCH($B548,Mapping!$G$3:$G$32,0)),IF(LEFT($F548,3)="P2P",IFERROR(INDEX(Mapping!$E$3:$E$6,MATCH($G548,Mapping!$D$3:$D$6,0)),IFERROR(INDEX(Mapping!$B$3:$B$13,MATCH($J548,Mapping!$A$3:$A$13,0)),"(unmapped)")),IFERROR(INDEX(Mapping!$B$17:$B$22,MATCH($F548,Mapping!$A$17:$A$22,0)),$F548)&amp;" "&amp;IF($G548="Banking","Banking",IFERROR(INDEX(Mapping!$E$17:$E$28,MATCH($J548,Mapping!$D$17:$D$28,0)),"(unmapped)")))))</f>
        <v/>
      </c>
    </row>
    <row r="549" spans="11:11" x14ac:dyDescent="0.3">
      <c r="K549" t="str">
        <f>IF($D549="","",IFERROR(INDEX(Mapping!$H$3:$H$32,MATCH($B549,Mapping!$G$3:$G$32,0)),IF(LEFT($F549,3)="P2P",IFERROR(INDEX(Mapping!$E$3:$E$6,MATCH($G549,Mapping!$D$3:$D$6,0)),IFERROR(INDEX(Mapping!$B$3:$B$13,MATCH($J549,Mapping!$A$3:$A$13,0)),"(unmapped)")),IFERROR(INDEX(Mapping!$B$17:$B$22,MATCH($F549,Mapping!$A$17:$A$22,0)),$F549)&amp;" "&amp;IF($G549="Banking","Banking",IFERROR(INDEX(Mapping!$E$17:$E$28,MATCH($J549,Mapping!$D$17:$D$28,0)),"(unmapped)")))))</f>
        <v/>
      </c>
    </row>
    <row r="550" spans="11:11" x14ac:dyDescent="0.3">
      <c r="K550" t="str">
        <f>IF($D550="","",IFERROR(INDEX(Mapping!$H$3:$H$32,MATCH($B550,Mapping!$G$3:$G$32,0)),IF(LEFT($F550,3)="P2P",IFERROR(INDEX(Mapping!$E$3:$E$6,MATCH($G550,Mapping!$D$3:$D$6,0)),IFERROR(INDEX(Mapping!$B$3:$B$13,MATCH($J550,Mapping!$A$3:$A$13,0)),"(unmapped)")),IFERROR(INDEX(Mapping!$B$17:$B$22,MATCH($F550,Mapping!$A$17:$A$22,0)),$F550)&amp;" "&amp;IF($G550="Banking","Banking",IFERROR(INDEX(Mapping!$E$17:$E$28,MATCH($J550,Mapping!$D$17:$D$28,0)),"(unmapped)")))))</f>
        <v/>
      </c>
    </row>
    <row r="551" spans="11:11" x14ac:dyDescent="0.3">
      <c r="K551" t="str">
        <f>IF($D551="","",IFERROR(INDEX(Mapping!$H$3:$H$32,MATCH($B551,Mapping!$G$3:$G$32,0)),IF(LEFT($F551,3)="P2P",IFERROR(INDEX(Mapping!$E$3:$E$6,MATCH($G551,Mapping!$D$3:$D$6,0)),IFERROR(INDEX(Mapping!$B$3:$B$13,MATCH($J551,Mapping!$A$3:$A$13,0)),"(unmapped)")),IFERROR(INDEX(Mapping!$B$17:$B$22,MATCH($F551,Mapping!$A$17:$A$22,0)),$F551)&amp;" "&amp;IF($G551="Banking","Banking",IFERROR(INDEX(Mapping!$E$17:$E$28,MATCH($J551,Mapping!$D$17:$D$28,0)),"(unmapped)")))))</f>
        <v/>
      </c>
    </row>
    <row r="552" spans="11:11" x14ac:dyDescent="0.3">
      <c r="K552" t="str">
        <f>IF($D552="","",IFERROR(INDEX(Mapping!$H$3:$H$32,MATCH($B552,Mapping!$G$3:$G$32,0)),IF(LEFT($F552,3)="P2P",IFERROR(INDEX(Mapping!$E$3:$E$6,MATCH($G552,Mapping!$D$3:$D$6,0)),IFERROR(INDEX(Mapping!$B$3:$B$13,MATCH($J552,Mapping!$A$3:$A$13,0)),"(unmapped)")),IFERROR(INDEX(Mapping!$B$17:$B$22,MATCH($F552,Mapping!$A$17:$A$22,0)),$F552)&amp;" "&amp;IF($G552="Banking","Banking",IFERROR(INDEX(Mapping!$E$17:$E$28,MATCH($J552,Mapping!$D$17:$D$28,0)),"(unmapped)")))))</f>
        <v/>
      </c>
    </row>
    <row r="553" spans="11:11" x14ac:dyDescent="0.3">
      <c r="K553" t="str">
        <f>IF($D553="","",IFERROR(INDEX(Mapping!$H$3:$H$32,MATCH($B553,Mapping!$G$3:$G$32,0)),IF(LEFT($F553,3)="P2P",IFERROR(INDEX(Mapping!$E$3:$E$6,MATCH($G553,Mapping!$D$3:$D$6,0)),IFERROR(INDEX(Mapping!$B$3:$B$13,MATCH($J553,Mapping!$A$3:$A$13,0)),"(unmapped)")),IFERROR(INDEX(Mapping!$B$17:$B$22,MATCH($F553,Mapping!$A$17:$A$22,0)),$F553)&amp;" "&amp;IF($G553="Banking","Banking",IFERROR(INDEX(Mapping!$E$17:$E$28,MATCH($J553,Mapping!$D$17:$D$28,0)),"(unmapped)")))))</f>
        <v/>
      </c>
    </row>
    <row r="554" spans="11:11" x14ac:dyDescent="0.3">
      <c r="K554" t="str">
        <f>IF($D554="","",IFERROR(INDEX(Mapping!$H$3:$H$32,MATCH($B554,Mapping!$G$3:$G$32,0)),IF(LEFT($F554,3)="P2P",IFERROR(INDEX(Mapping!$E$3:$E$6,MATCH($G554,Mapping!$D$3:$D$6,0)),IFERROR(INDEX(Mapping!$B$3:$B$13,MATCH($J554,Mapping!$A$3:$A$13,0)),"(unmapped)")),IFERROR(INDEX(Mapping!$B$17:$B$22,MATCH($F554,Mapping!$A$17:$A$22,0)),$F554)&amp;" "&amp;IF($G554="Banking","Banking",IFERROR(INDEX(Mapping!$E$17:$E$28,MATCH($J554,Mapping!$D$17:$D$28,0)),"(unmapped)")))))</f>
        <v/>
      </c>
    </row>
    <row r="555" spans="11:11" x14ac:dyDescent="0.3">
      <c r="K555" t="str">
        <f>IF($D555="","",IFERROR(INDEX(Mapping!$H$3:$H$32,MATCH($B555,Mapping!$G$3:$G$32,0)),IF(LEFT($F555,3)="P2P",IFERROR(INDEX(Mapping!$E$3:$E$6,MATCH($G555,Mapping!$D$3:$D$6,0)),IFERROR(INDEX(Mapping!$B$3:$B$13,MATCH($J555,Mapping!$A$3:$A$13,0)),"(unmapped)")),IFERROR(INDEX(Mapping!$B$17:$B$22,MATCH($F555,Mapping!$A$17:$A$22,0)),$F555)&amp;" "&amp;IF($G555="Banking","Banking",IFERROR(INDEX(Mapping!$E$17:$E$28,MATCH($J555,Mapping!$D$17:$D$28,0)),"(unmapped)")))))</f>
        <v/>
      </c>
    </row>
    <row r="556" spans="11:11" x14ac:dyDescent="0.3">
      <c r="K556" t="str">
        <f>IF($D556="","",IFERROR(INDEX(Mapping!$H$3:$H$32,MATCH($B556,Mapping!$G$3:$G$32,0)),IF(LEFT($F556,3)="P2P",IFERROR(INDEX(Mapping!$E$3:$E$6,MATCH($G556,Mapping!$D$3:$D$6,0)),IFERROR(INDEX(Mapping!$B$3:$B$13,MATCH($J556,Mapping!$A$3:$A$13,0)),"(unmapped)")),IFERROR(INDEX(Mapping!$B$17:$B$22,MATCH($F556,Mapping!$A$17:$A$22,0)),$F556)&amp;" "&amp;IF($G556="Banking","Banking",IFERROR(INDEX(Mapping!$E$17:$E$28,MATCH($J556,Mapping!$D$17:$D$28,0)),"(unmapped)")))))</f>
        <v/>
      </c>
    </row>
    <row r="557" spans="11:11" x14ac:dyDescent="0.3">
      <c r="K557" t="str">
        <f>IF($D557="","",IFERROR(INDEX(Mapping!$H$3:$H$32,MATCH($B557,Mapping!$G$3:$G$32,0)),IF(LEFT($F557,3)="P2P",IFERROR(INDEX(Mapping!$E$3:$E$6,MATCH($G557,Mapping!$D$3:$D$6,0)),IFERROR(INDEX(Mapping!$B$3:$B$13,MATCH($J557,Mapping!$A$3:$A$13,0)),"(unmapped)")),IFERROR(INDEX(Mapping!$B$17:$B$22,MATCH($F557,Mapping!$A$17:$A$22,0)),$F557)&amp;" "&amp;IF($G557="Banking","Banking",IFERROR(INDEX(Mapping!$E$17:$E$28,MATCH($J557,Mapping!$D$17:$D$28,0)),"(unmapped)")))))</f>
        <v/>
      </c>
    </row>
    <row r="558" spans="11:11" x14ac:dyDescent="0.3">
      <c r="K558" t="str">
        <f>IF($D558="","",IFERROR(INDEX(Mapping!$H$3:$H$32,MATCH($B558,Mapping!$G$3:$G$32,0)),IF(LEFT($F558,3)="P2P",IFERROR(INDEX(Mapping!$E$3:$E$6,MATCH($G558,Mapping!$D$3:$D$6,0)),IFERROR(INDEX(Mapping!$B$3:$B$13,MATCH($J558,Mapping!$A$3:$A$13,0)),"(unmapped)")),IFERROR(INDEX(Mapping!$B$17:$B$22,MATCH($F558,Mapping!$A$17:$A$22,0)),$F558)&amp;" "&amp;IF($G558="Banking","Banking",IFERROR(INDEX(Mapping!$E$17:$E$28,MATCH($J558,Mapping!$D$17:$D$28,0)),"(unmapped)")))))</f>
        <v/>
      </c>
    </row>
    <row r="559" spans="11:11" x14ac:dyDescent="0.3">
      <c r="K559" t="str">
        <f>IF($D559="","",IFERROR(INDEX(Mapping!$H$3:$H$32,MATCH($B559,Mapping!$G$3:$G$32,0)),IF(LEFT($F559,3)="P2P",IFERROR(INDEX(Mapping!$E$3:$E$6,MATCH($G559,Mapping!$D$3:$D$6,0)),IFERROR(INDEX(Mapping!$B$3:$B$13,MATCH($J559,Mapping!$A$3:$A$13,0)),"(unmapped)")),IFERROR(INDEX(Mapping!$B$17:$B$22,MATCH($F559,Mapping!$A$17:$A$22,0)),$F559)&amp;" "&amp;IF($G559="Banking","Banking",IFERROR(INDEX(Mapping!$E$17:$E$28,MATCH($J559,Mapping!$D$17:$D$28,0)),"(unmapped)")))))</f>
        <v/>
      </c>
    </row>
    <row r="560" spans="11:11" x14ac:dyDescent="0.3">
      <c r="K560" t="str">
        <f>IF($D560="","",IFERROR(INDEX(Mapping!$H$3:$H$32,MATCH($B560,Mapping!$G$3:$G$32,0)),IF(LEFT($F560,3)="P2P",IFERROR(INDEX(Mapping!$E$3:$E$6,MATCH($G560,Mapping!$D$3:$D$6,0)),IFERROR(INDEX(Mapping!$B$3:$B$13,MATCH($J560,Mapping!$A$3:$A$13,0)),"(unmapped)")),IFERROR(INDEX(Mapping!$B$17:$B$22,MATCH($F560,Mapping!$A$17:$A$22,0)),$F560)&amp;" "&amp;IF($G560="Banking","Banking",IFERROR(INDEX(Mapping!$E$17:$E$28,MATCH($J560,Mapping!$D$17:$D$28,0)),"(unmapped)")))))</f>
        <v/>
      </c>
    </row>
    <row r="561" spans="11:11" x14ac:dyDescent="0.3">
      <c r="K561" t="str">
        <f>IF($D561="","",IFERROR(INDEX(Mapping!$H$3:$H$32,MATCH($B561,Mapping!$G$3:$G$32,0)),IF(LEFT($F561,3)="P2P",IFERROR(INDEX(Mapping!$E$3:$E$6,MATCH($G561,Mapping!$D$3:$D$6,0)),IFERROR(INDEX(Mapping!$B$3:$B$13,MATCH($J561,Mapping!$A$3:$A$13,0)),"(unmapped)")),IFERROR(INDEX(Mapping!$B$17:$B$22,MATCH($F561,Mapping!$A$17:$A$22,0)),$F561)&amp;" "&amp;IF($G561="Banking","Banking",IFERROR(INDEX(Mapping!$E$17:$E$28,MATCH($J561,Mapping!$D$17:$D$28,0)),"(unmapped)")))))</f>
        <v/>
      </c>
    </row>
    <row r="562" spans="11:11" x14ac:dyDescent="0.3">
      <c r="K562" t="str">
        <f>IF($D562="","",IFERROR(INDEX(Mapping!$H$3:$H$32,MATCH($B562,Mapping!$G$3:$G$32,0)),IF(LEFT($F562,3)="P2P",IFERROR(INDEX(Mapping!$E$3:$E$6,MATCH($G562,Mapping!$D$3:$D$6,0)),IFERROR(INDEX(Mapping!$B$3:$B$13,MATCH($J562,Mapping!$A$3:$A$13,0)),"(unmapped)")),IFERROR(INDEX(Mapping!$B$17:$B$22,MATCH($F562,Mapping!$A$17:$A$22,0)),$F562)&amp;" "&amp;IF($G562="Banking","Banking",IFERROR(INDEX(Mapping!$E$17:$E$28,MATCH($J562,Mapping!$D$17:$D$28,0)),"(unmapped)")))))</f>
        <v/>
      </c>
    </row>
    <row r="563" spans="11:11" x14ac:dyDescent="0.3">
      <c r="K563" t="str">
        <f>IF($D563="","",IFERROR(INDEX(Mapping!$H$3:$H$32,MATCH($B563,Mapping!$G$3:$G$32,0)),IF(LEFT($F563,3)="P2P",IFERROR(INDEX(Mapping!$E$3:$E$6,MATCH($G563,Mapping!$D$3:$D$6,0)),IFERROR(INDEX(Mapping!$B$3:$B$13,MATCH($J563,Mapping!$A$3:$A$13,0)),"(unmapped)")),IFERROR(INDEX(Mapping!$B$17:$B$22,MATCH($F563,Mapping!$A$17:$A$22,0)),$F563)&amp;" "&amp;IF($G563="Banking","Banking",IFERROR(INDEX(Mapping!$E$17:$E$28,MATCH($J563,Mapping!$D$17:$D$28,0)),"(unmapped)")))))</f>
        <v/>
      </c>
    </row>
    <row r="564" spans="11:11" x14ac:dyDescent="0.3">
      <c r="K564" t="str">
        <f>IF($D564="","",IFERROR(INDEX(Mapping!$H$3:$H$32,MATCH($B564,Mapping!$G$3:$G$32,0)),IF(LEFT($F564,3)="P2P",IFERROR(INDEX(Mapping!$E$3:$E$6,MATCH($G564,Mapping!$D$3:$D$6,0)),IFERROR(INDEX(Mapping!$B$3:$B$13,MATCH($J564,Mapping!$A$3:$A$13,0)),"(unmapped)")),IFERROR(INDEX(Mapping!$B$17:$B$22,MATCH($F564,Mapping!$A$17:$A$22,0)),$F564)&amp;" "&amp;IF($G564="Banking","Banking",IFERROR(INDEX(Mapping!$E$17:$E$28,MATCH($J564,Mapping!$D$17:$D$28,0)),"(unmapped)")))))</f>
        <v/>
      </c>
    </row>
    <row r="565" spans="11:11" x14ac:dyDescent="0.3">
      <c r="K565" t="str">
        <f>IF($D565="","",IFERROR(INDEX(Mapping!$H$3:$H$32,MATCH($B565,Mapping!$G$3:$G$32,0)),IF(LEFT($F565,3)="P2P",IFERROR(INDEX(Mapping!$E$3:$E$6,MATCH($G565,Mapping!$D$3:$D$6,0)),IFERROR(INDEX(Mapping!$B$3:$B$13,MATCH($J565,Mapping!$A$3:$A$13,0)),"(unmapped)")),IFERROR(INDEX(Mapping!$B$17:$B$22,MATCH($F565,Mapping!$A$17:$A$22,0)),$F565)&amp;" "&amp;IF($G565="Banking","Banking",IFERROR(INDEX(Mapping!$E$17:$E$28,MATCH($J565,Mapping!$D$17:$D$28,0)),"(unmapped)")))))</f>
        <v/>
      </c>
    </row>
    <row r="566" spans="11:11" x14ac:dyDescent="0.3">
      <c r="K566" t="str">
        <f>IF($D566="","",IFERROR(INDEX(Mapping!$H$3:$H$32,MATCH($B566,Mapping!$G$3:$G$32,0)),IF(LEFT($F566,3)="P2P",IFERROR(INDEX(Mapping!$E$3:$E$6,MATCH($G566,Mapping!$D$3:$D$6,0)),IFERROR(INDEX(Mapping!$B$3:$B$13,MATCH($J566,Mapping!$A$3:$A$13,0)),"(unmapped)")),IFERROR(INDEX(Mapping!$B$17:$B$22,MATCH($F566,Mapping!$A$17:$A$22,0)),$F566)&amp;" "&amp;IF($G566="Banking","Banking",IFERROR(INDEX(Mapping!$E$17:$E$28,MATCH($J566,Mapping!$D$17:$D$28,0)),"(unmapped)")))))</f>
        <v/>
      </c>
    </row>
    <row r="567" spans="11:11" x14ac:dyDescent="0.3">
      <c r="K567" t="str">
        <f>IF($D567="","",IFERROR(INDEX(Mapping!$H$3:$H$32,MATCH($B567,Mapping!$G$3:$G$32,0)),IF(LEFT($F567,3)="P2P",IFERROR(INDEX(Mapping!$E$3:$E$6,MATCH($G567,Mapping!$D$3:$D$6,0)),IFERROR(INDEX(Mapping!$B$3:$B$13,MATCH($J567,Mapping!$A$3:$A$13,0)),"(unmapped)")),IFERROR(INDEX(Mapping!$B$17:$B$22,MATCH($F567,Mapping!$A$17:$A$22,0)),$F567)&amp;" "&amp;IF($G567="Banking","Banking",IFERROR(INDEX(Mapping!$E$17:$E$28,MATCH($J567,Mapping!$D$17:$D$28,0)),"(unmapped)")))))</f>
        <v/>
      </c>
    </row>
    <row r="568" spans="11:11" x14ac:dyDescent="0.3">
      <c r="K568" t="str">
        <f>IF($D568="","",IFERROR(INDEX(Mapping!$H$3:$H$32,MATCH($B568,Mapping!$G$3:$G$32,0)),IF(LEFT($F568,3)="P2P",IFERROR(INDEX(Mapping!$E$3:$E$6,MATCH($G568,Mapping!$D$3:$D$6,0)),IFERROR(INDEX(Mapping!$B$3:$B$13,MATCH($J568,Mapping!$A$3:$A$13,0)),"(unmapped)")),IFERROR(INDEX(Mapping!$B$17:$B$22,MATCH($F568,Mapping!$A$17:$A$22,0)),$F568)&amp;" "&amp;IF($G568="Banking","Banking",IFERROR(INDEX(Mapping!$E$17:$E$28,MATCH($J568,Mapping!$D$17:$D$28,0)),"(unmapped)")))))</f>
        <v/>
      </c>
    </row>
    <row r="569" spans="11:11" x14ac:dyDescent="0.3">
      <c r="K569" t="str">
        <f>IF($D569="","",IFERROR(INDEX(Mapping!$H$3:$H$32,MATCH($B569,Mapping!$G$3:$G$32,0)),IF(LEFT($F569,3)="P2P",IFERROR(INDEX(Mapping!$E$3:$E$6,MATCH($G569,Mapping!$D$3:$D$6,0)),IFERROR(INDEX(Mapping!$B$3:$B$13,MATCH($J569,Mapping!$A$3:$A$13,0)),"(unmapped)")),IFERROR(INDEX(Mapping!$B$17:$B$22,MATCH($F569,Mapping!$A$17:$A$22,0)),$F569)&amp;" "&amp;IF($G569="Banking","Banking",IFERROR(INDEX(Mapping!$E$17:$E$28,MATCH($J569,Mapping!$D$17:$D$28,0)),"(unmapped)")))))</f>
        <v/>
      </c>
    </row>
    <row r="570" spans="11:11" x14ac:dyDescent="0.3">
      <c r="K570" t="str">
        <f>IF($D570="","",IFERROR(INDEX(Mapping!$H$3:$H$32,MATCH($B570,Mapping!$G$3:$G$32,0)),IF(LEFT($F570,3)="P2P",IFERROR(INDEX(Mapping!$E$3:$E$6,MATCH($G570,Mapping!$D$3:$D$6,0)),IFERROR(INDEX(Mapping!$B$3:$B$13,MATCH($J570,Mapping!$A$3:$A$13,0)),"(unmapped)")),IFERROR(INDEX(Mapping!$B$17:$B$22,MATCH($F570,Mapping!$A$17:$A$22,0)),$F570)&amp;" "&amp;IF($G570="Banking","Banking",IFERROR(INDEX(Mapping!$E$17:$E$28,MATCH($J570,Mapping!$D$17:$D$28,0)),"(unmapped)")))))</f>
        <v/>
      </c>
    </row>
    <row r="571" spans="11:11" x14ac:dyDescent="0.3">
      <c r="K571" t="str">
        <f>IF($D571="","",IFERROR(INDEX(Mapping!$H$3:$H$32,MATCH($B571,Mapping!$G$3:$G$32,0)),IF(LEFT($F571,3)="P2P",IFERROR(INDEX(Mapping!$E$3:$E$6,MATCH($G571,Mapping!$D$3:$D$6,0)),IFERROR(INDEX(Mapping!$B$3:$B$13,MATCH($J571,Mapping!$A$3:$A$13,0)),"(unmapped)")),IFERROR(INDEX(Mapping!$B$17:$B$22,MATCH($F571,Mapping!$A$17:$A$22,0)),$F571)&amp;" "&amp;IF($G571="Banking","Banking",IFERROR(INDEX(Mapping!$E$17:$E$28,MATCH($J571,Mapping!$D$17:$D$28,0)),"(unmapped)")))))</f>
        <v/>
      </c>
    </row>
    <row r="572" spans="11:11" x14ac:dyDescent="0.3">
      <c r="K572" t="str">
        <f>IF($D572="","",IFERROR(INDEX(Mapping!$H$3:$H$32,MATCH($B572,Mapping!$G$3:$G$32,0)),IF(LEFT($F572,3)="P2P",IFERROR(INDEX(Mapping!$E$3:$E$6,MATCH($G572,Mapping!$D$3:$D$6,0)),IFERROR(INDEX(Mapping!$B$3:$B$13,MATCH($J572,Mapping!$A$3:$A$13,0)),"(unmapped)")),IFERROR(INDEX(Mapping!$B$17:$B$22,MATCH($F572,Mapping!$A$17:$A$22,0)),$F572)&amp;" "&amp;IF($G572="Banking","Banking",IFERROR(INDEX(Mapping!$E$17:$E$28,MATCH($J572,Mapping!$D$17:$D$28,0)),"(unmapped)")))))</f>
        <v/>
      </c>
    </row>
    <row r="573" spans="11:11" x14ac:dyDescent="0.3">
      <c r="K573" t="str">
        <f>IF($D573="","",IFERROR(INDEX(Mapping!$H$3:$H$32,MATCH($B573,Mapping!$G$3:$G$32,0)),IF(LEFT($F573,3)="P2P",IFERROR(INDEX(Mapping!$E$3:$E$6,MATCH($G573,Mapping!$D$3:$D$6,0)),IFERROR(INDEX(Mapping!$B$3:$B$13,MATCH($J573,Mapping!$A$3:$A$13,0)),"(unmapped)")),IFERROR(INDEX(Mapping!$B$17:$B$22,MATCH($F573,Mapping!$A$17:$A$22,0)),$F573)&amp;" "&amp;IF($G573="Banking","Banking",IFERROR(INDEX(Mapping!$E$17:$E$28,MATCH($J573,Mapping!$D$17:$D$28,0)),"(unmapped)")))))</f>
        <v/>
      </c>
    </row>
    <row r="574" spans="11:11" x14ac:dyDescent="0.3">
      <c r="K574" t="str">
        <f>IF($D574="","",IFERROR(INDEX(Mapping!$H$3:$H$32,MATCH($B574,Mapping!$G$3:$G$32,0)),IF(LEFT($F574,3)="P2P",IFERROR(INDEX(Mapping!$E$3:$E$6,MATCH($G574,Mapping!$D$3:$D$6,0)),IFERROR(INDEX(Mapping!$B$3:$B$13,MATCH($J574,Mapping!$A$3:$A$13,0)),"(unmapped)")),IFERROR(INDEX(Mapping!$B$17:$B$22,MATCH($F574,Mapping!$A$17:$A$22,0)),$F574)&amp;" "&amp;IF($G574="Banking","Banking",IFERROR(INDEX(Mapping!$E$17:$E$28,MATCH($J574,Mapping!$D$17:$D$28,0)),"(unmapped)")))))</f>
        <v/>
      </c>
    </row>
    <row r="575" spans="11:11" x14ac:dyDescent="0.3">
      <c r="K575" t="str">
        <f>IF($D575="","",IFERROR(INDEX(Mapping!$H$3:$H$32,MATCH($B575,Mapping!$G$3:$G$32,0)),IF(LEFT($F575,3)="P2P",IFERROR(INDEX(Mapping!$E$3:$E$6,MATCH($G575,Mapping!$D$3:$D$6,0)),IFERROR(INDEX(Mapping!$B$3:$B$13,MATCH($J575,Mapping!$A$3:$A$13,0)),"(unmapped)")),IFERROR(INDEX(Mapping!$B$17:$B$22,MATCH($F575,Mapping!$A$17:$A$22,0)),$F575)&amp;" "&amp;IF($G575="Banking","Banking",IFERROR(INDEX(Mapping!$E$17:$E$28,MATCH($J575,Mapping!$D$17:$D$28,0)),"(unmapped)")))))</f>
        <v/>
      </c>
    </row>
    <row r="576" spans="11:11" x14ac:dyDescent="0.3">
      <c r="K576" t="str">
        <f>IF($D576="","",IFERROR(INDEX(Mapping!$H$3:$H$32,MATCH($B576,Mapping!$G$3:$G$32,0)),IF(LEFT($F576,3)="P2P",IFERROR(INDEX(Mapping!$E$3:$E$6,MATCH($G576,Mapping!$D$3:$D$6,0)),IFERROR(INDEX(Mapping!$B$3:$B$13,MATCH($J576,Mapping!$A$3:$A$13,0)),"(unmapped)")),IFERROR(INDEX(Mapping!$B$17:$B$22,MATCH($F576,Mapping!$A$17:$A$22,0)),$F576)&amp;" "&amp;IF($G576="Banking","Banking",IFERROR(INDEX(Mapping!$E$17:$E$28,MATCH($J576,Mapping!$D$17:$D$28,0)),"(unmapped)")))))</f>
        <v/>
      </c>
    </row>
    <row r="577" spans="11:11" x14ac:dyDescent="0.3">
      <c r="K577" t="str">
        <f>IF($D577="","",IFERROR(INDEX(Mapping!$H$3:$H$32,MATCH($B577,Mapping!$G$3:$G$32,0)),IF(LEFT($F577,3)="P2P",IFERROR(INDEX(Mapping!$E$3:$E$6,MATCH($G577,Mapping!$D$3:$D$6,0)),IFERROR(INDEX(Mapping!$B$3:$B$13,MATCH($J577,Mapping!$A$3:$A$13,0)),"(unmapped)")),IFERROR(INDEX(Mapping!$B$17:$B$22,MATCH($F577,Mapping!$A$17:$A$22,0)),$F577)&amp;" "&amp;IF($G577="Banking","Banking",IFERROR(INDEX(Mapping!$E$17:$E$28,MATCH($J577,Mapping!$D$17:$D$28,0)),"(unmapped)")))))</f>
        <v/>
      </c>
    </row>
    <row r="578" spans="11:11" x14ac:dyDescent="0.3">
      <c r="K578" t="str">
        <f>IF($D578="","",IFERROR(INDEX(Mapping!$H$3:$H$32,MATCH($B578,Mapping!$G$3:$G$32,0)),IF(LEFT($F578,3)="P2P",IFERROR(INDEX(Mapping!$E$3:$E$6,MATCH($G578,Mapping!$D$3:$D$6,0)),IFERROR(INDEX(Mapping!$B$3:$B$13,MATCH($J578,Mapping!$A$3:$A$13,0)),"(unmapped)")),IFERROR(INDEX(Mapping!$B$17:$B$22,MATCH($F578,Mapping!$A$17:$A$22,0)),$F578)&amp;" "&amp;IF($G578="Banking","Banking",IFERROR(INDEX(Mapping!$E$17:$E$28,MATCH($J578,Mapping!$D$17:$D$28,0)),"(unmapped)")))))</f>
        <v/>
      </c>
    </row>
    <row r="579" spans="11:11" x14ac:dyDescent="0.3">
      <c r="K579" t="str">
        <f>IF($D579="","",IFERROR(INDEX(Mapping!$H$3:$H$32,MATCH($B579,Mapping!$G$3:$G$32,0)),IF(LEFT($F579,3)="P2P",IFERROR(INDEX(Mapping!$E$3:$E$6,MATCH($G579,Mapping!$D$3:$D$6,0)),IFERROR(INDEX(Mapping!$B$3:$B$13,MATCH($J579,Mapping!$A$3:$A$13,0)),"(unmapped)")),IFERROR(INDEX(Mapping!$B$17:$B$22,MATCH($F579,Mapping!$A$17:$A$22,0)),$F579)&amp;" "&amp;IF($G579="Banking","Banking",IFERROR(INDEX(Mapping!$E$17:$E$28,MATCH($J579,Mapping!$D$17:$D$28,0)),"(unmapped)")))))</f>
        <v/>
      </c>
    </row>
    <row r="580" spans="11:11" x14ac:dyDescent="0.3">
      <c r="K580" t="str">
        <f>IF($D580="","",IFERROR(INDEX(Mapping!$H$3:$H$32,MATCH($B580,Mapping!$G$3:$G$32,0)),IF(LEFT($F580,3)="P2P",IFERROR(INDEX(Mapping!$E$3:$E$6,MATCH($G580,Mapping!$D$3:$D$6,0)),IFERROR(INDEX(Mapping!$B$3:$B$13,MATCH($J580,Mapping!$A$3:$A$13,0)),"(unmapped)")),IFERROR(INDEX(Mapping!$B$17:$B$22,MATCH($F580,Mapping!$A$17:$A$22,0)),$F580)&amp;" "&amp;IF($G580="Banking","Banking",IFERROR(INDEX(Mapping!$E$17:$E$28,MATCH($J580,Mapping!$D$17:$D$28,0)),"(unmapped)")))))</f>
        <v/>
      </c>
    </row>
    <row r="581" spans="11:11" x14ac:dyDescent="0.3">
      <c r="K581" t="str">
        <f>IF($D581="","",IFERROR(INDEX(Mapping!$H$3:$H$32,MATCH($B581,Mapping!$G$3:$G$32,0)),IF(LEFT($F581,3)="P2P",IFERROR(INDEX(Mapping!$E$3:$E$6,MATCH($G581,Mapping!$D$3:$D$6,0)),IFERROR(INDEX(Mapping!$B$3:$B$13,MATCH($J581,Mapping!$A$3:$A$13,0)),"(unmapped)")),IFERROR(INDEX(Mapping!$B$17:$B$22,MATCH($F581,Mapping!$A$17:$A$22,0)),$F581)&amp;" "&amp;IF($G581="Banking","Banking",IFERROR(INDEX(Mapping!$E$17:$E$28,MATCH($J581,Mapping!$D$17:$D$28,0)),"(unmapped)")))))</f>
        <v/>
      </c>
    </row>
    <row r="582" spans="11:11" x14ac:dyDescent="0.3">
      <c r="K582" t="str">
        <f>IF($D582="","",IFERROR(INDEX(Mapping!$H$3:$H$32,MATCH($B582,Mapping!$G$3:$G$32,0)),IF(LEFT($F582,3)="P2P",IFERROR(INDEX(Mapping!$E$3:$E$6,MATCH($G582,Mapping!$D$3:$D$6,0)),IFERROR(INDEX(Mapping!$B$3:$B$13,MATCH($J582,Mapping!$A$3:$A$13,0)),"(unmapped)")),IFERROR(INDEX(Mapping!$B$17:$B$22,MATCH($F582,Mapping!$A$17:$A$22,0)),$F582)&amp;" "&amp;IF($G582="Banking","Banking",IFERROR(INDEX(Mapping!$E$17:$E$28,MATCH($J582,Mapping!$D$17:$D$28,0)),"(unmapped)")))))</f>
        <v/>
      </c>
    </row>
    <row r="583" spans="11:11" x14ac:dyDescent="0.3">
      <c r="K583" t="str">
        <f>IF($D583="","",IFERROR(INDEX(Mapping!$H$3:$H$32,MATCH($B583,Mapping!$G$3:$G$32,0)),IF(LEFT($F583,3)="P2P",IFERROR(INDEX(Mapping!$E$3:$E$6,MATCH($G583,Mapping!$D$3:$D$6,0)),IFERROR(INDEX(Mapping!$B$3:$B$13,MATCH($J583,Mapping!$A$3:$A$13,0)),"(unmapped)")),IFERROR(INDEX(Mapping!$B$17:$B$22,MATCH($F583,Mapping!$A$17:$A$22,0)),$F583)&amp;" "&amp;IF($G583="Banking","Banking",IFERROR(INDEX(Mapping!$E$17:$E$28,MATCH($J583,Mapping!$D$17:$D$28,0)),"(unmapped)")))))</f>
        <v/>
      </c>
    </row>
    <row r="584" spans="11:11" x14ac:dyDescent="0.3">
      <c r="K584" t="str">
        <f>IF($D584="","",IFERROR(INDEX(Mapping!$H$3:$H$32,MATCH($B584,Mapping!$G$3:$G$32,0)),IF(LEFT($F584,3)="P2P",IFERROR(INDEX(Mapping!$E$3:$E$6,MATCH($G584,Mapping!$D$3:$D$6,0)),IFERROR(INDEX(Mapping!$B$3:$B$13,MATCH($J584,Mapping!$A$3:$A$13,0)),"(unmapped)")),IFERROR(INDEX(Mapping!$B$17:$B$22,MATCH($F584,Mapping!$A$17:$A$22,0)),$F584)&amp;" "&amp;IF($G584="Banking","Banking",IFERROR(INDEX(Mapping!$E$17:$E$28,MATCH($J584,Mapping!$D$17:$D$28,0)),"(unmapped)")))))</f>
        <v/>
      </c>
    </row>
    <row r="585" spans="11:11" x14ac:dyDescent="0.3">
      <c r="K585" t="str">
        <f>IF($D585="","",IFERROR(INDEX(Mapping!$H$3:$H$32,MATCH($B585,Mapping!$G$3:$G$32,0)),IF(LEFT($F585,3)="P2P",IFERROR(INDEX(Mapping!$E$3:$E$6,MATCH($G585,Mapping!$D$3:$D$6,0)),IFERROR(INDEX(Mapping!$B$3:$B$13,MATCH($J585,Mapping!$A$3:$A$13,0)),"(unmapped)")),IFERROR(INDEX(Mapping!$B$17:$B$22,MATCH($F585,Mapping!$A$17:$A$22,0)),$F585)&amp;" "&amp;IF($G585="Banking","Banking",IFERROR(INDEX(Mapping!$E$17:$E$28,MATCH($J585,Mapping!$D$17:$D$28,0)),"(unmapped)")))))</f>
        <v/>
      </c>
    </row>
    <row r="586" spans="11:11" x14ac:dyDescent="0.3">
      <c r="K586" t="str">
        <f>IF($D586="","",IFERROR(INDEX(Mapping!$H$3:$H$32,MATCH($B586,Mapping!$G$3:$G$32,0)),IF(LEFT($F586,3)="P2P",IFERROR(INDEX(Mapping!$E$3:$E$6,MATCH($G586,Mapping!$D$3:$D$6,0)),IFERROR(INDEX(Mapping!$B$3:$B$13,MATCH($J586,Mapping!$A$3:$A$13,0)),"(unmapped)")),IFERROR(INDEX(Mapping!$B$17:$B$22,MATCH($F586,Mapping!$A$17:$A$22,0)),$F586)&amp;" "&amp;IF($G586="Banking","Banking",IFERROR(INDEX(Mapping!$E$17:$E$28,MATCH($J586,Mapping!$D$17:$D$28,0)),"(unmapped)")))))</f>
        <v/>
      </c>
    </row>
    <row r="587" spans="11:11" x14ac:dyDescent="0.3">
      <c r="K587" t="str">
        <f>IF($D587="","",IFERROR(INDEX(Mapping!$H$3:$H$32,MATCH($B587,Mapping!$G$3:$G$32,0)),IF(LEFT($F587,3)="P2P",IFERROR(INDEX(Mapping!$E$3:$E$6,MATCH($G587,Mapping!$D$3:$D$6,0)),IFERROR(INDEX(Mapping!$B$3:$B$13,MATCH($J587,Mapping!$A$3:$A$13,0)),"(unmapped)")),IFERROR(INDEX(Mapping!$B$17:$B$22,MATCH($F587,Mapping!$A$17:$A$22,0)),$F587)&amp;" "&amp;IF($G587="Banking","Banking",IFERROR(INDEX(Mapping!$E$17:$E$28,MATCH($J587,Mapping!$D$17:$D$28,0)),"(unmapped)")))))</f>
        <v/>
      </c>
    </row>
    <row r="588" spans="11:11" x14ac:dyDescent="0.3">
      <c r="K588" t="str">
        <f>IF($D588="","",IFERROR(INDEX(Mapping!$H$3:$H$32,MATCH($B588,Mapping!$G$3:$G$32,0)),IF(LEFT($F588,3)="P2P",IFERROR(INDEX(Mapping!$E$3:$E$6,MATCH($G588,Mapping!$D$3:$D$6,0)),IFERROR(INDEX(Mapping!$B$3:$B$13,MATCH($J588,Mapping!$A$3:$A$13,0)),"(unmapped)")),IFERROR(INDEX(Mapping!$B$17:$B$22,MATCH($F588,Mapping!$A$17:$A$22,0)),$F588)&amp;" "&amp;IF($G588="Banking","Banking",IFERROR(INDEX(Mapping!$E$17:$E$28,MATCH($J588,Mapping!$D$17:$D$28,0)),"(unmapped)")))))</f>
        <v/>
      </c>
    </row>
    <row r="589" spans="11:11" x14ac:dyDescent="0.3">
      <c r="K589" t="str">
        <f>IF($D589="","",IFERROR(INDEX(Mapping!$H$3:$H$32,MATCH($B589,Mapping!$G$3:$G$32,0)),IF(LEFT($F589,3)="P2P",IFERROR(INDEX(Mapping!$E$3:$E$6,MATCH($G589,Mapping!$D$3:$D$6,0)),IFERROR(INDEX(Mapping!$B$3:$B$13,MATCH($J589,Mapping!$A$3:$A$13,0)),"(unmapped)")),IFERROR(INDEX(Mapping!$B$17:$B$22,MATCH($F589,Mapping!$A$17:$A$22,0)),$F589)&amp;" "&amp;IF($G589="Banking","Banking",IFERROR(INDEX(Mapping!$E$17:$E$28,MATCH($J589,Mapping!$D$17:$D$28,0)),"(unmapped)")))))</f>
        <v/>
      </c>
    </row>
    <row r="590" spans="11:11" x14ac:dyDescent="0.3">
      <c r="K590" t="str">
        <f>IF($D590="","",IFERROR(INDEX(Mapping!$H$3:$H$32,MATCH($B590,Mapping!$G$3:$G$32,0)),IF(LEFT($F590,3)="P2P",IFERROR(INDEX(Mapping!$E$3:$E$6,MATCH($G590,Mapping!$D$3:$D$6,0)),IFERROR(INDEX(Mapping!$B$3:$B$13,MATCH($J590,Mapping!$A$3:$A$13,0)),"(unmapped)")),IFERROR(INDEX(Mapping!$B$17:$B$22,MATCH($F590,Mapping!$A$17:$A$22,0)),$F590)&amp;" "&amp;IF($G590="Banking","Banking",IFERROR(INDEX(Mapping!$E$17:$E$28,MATCH($J590,Mapping!$D$17:$D$28,0)),"(unmapped)")))))</f>
        <v/>
      </c>
    </row>
    <row r="591" spans="11:11" x14ac:dyDescent="0.3">
      <c r="K591" t="str">
        <f>IF($D591="","",IFERROR(INDEX(Mapping!$H$3:$H$32,MATCH($B591,Mapping!$G$3:$G$32,0)),IF(LEFT($F591,3)="P2P",IFERROR(INDEX(Mapping!$E$3:$E$6,MATCH($G591,Mapping!$D$3:$D$6,0)),IFERROR(INDEX(Mapping!$B$3:$B$13,MATCH($J591,Mapping!$A$3:$A$13,0)),"(unmapped)")),IFERROR(INDEX(Mapping!$B$17:$B$22,MATCH($F591,Mapping!$A$17:$A$22,0)),$F591)&amp;" "&amp;IF($G591="Banking","Banking",IFERROR(INDEX(Mapping!$E$17:$E$28,MATCH($J591,Mapping!$D$17:$D$28,0)),"(unmapped)")))))</f>
        <v/>
      </c>
    </row>
    <row r="592" spans="11:11" x14ac:dyDescent="0.3">
      <c r="K592" t="str">
        <f>IF($D592="","",IFERROR(INDEX(Mapping!$H$3:$H$32,MATCH($B592,Mapping!$G$3:$G$32,0)),IF(LEFT($F592,3)="P2P",IFERROR(INDEX(Mapping!$E$3:$E$6,MATCH($G592,Mapping!$D$3:$D$6,0)),IFERROR(INDEX(Mapping!$B$3:$B$13,MATCH($J592,Mapping!$A$3:$A$13,0)),"(unmapped)")),IFERROR(INDEX(Mapping!$B$17:$B$22,MATCH($F592,Mapping!$A$17:$A$22,0)),$F592)&amp;" "&amp;IF($G592="Banking","Banking",IFERROR(INDEX(Mapping!$E$17:$E$28,MATCH($J592,Mapping!$D$17:$D$28,0)),"(unmapped)")))))</f>
        <v/>
      </c>
    </row>
    <row r="593" spans="11:11" x14ac:dyDescent="0.3">
      <c r="K593" t="str">
        <f>IF($D593="","",IFERROR(INDEX(Mapping!$H$3:$H$32,MATCH($B593,Mapping!$G$3:$G$32,0)),IF(LEFT($F593,3)="P2P",IFERROR(INDEX(Mapping!$E$3:$E$6,MATCH($G593,Mapping!$D$3:$D$6,0)),IFERROR(INDEX(Mapping!$B$3:$B$13,MATCH($J593,Mapping!$A$3:$A$13,0)),"(unmapped)")),IFERROR(INDEX(Mapping!$B$17:$B$22,MATCH($F593,Mapping!$A$17:$A$22,0)),$F593)&amp;" "&amp;IF($G593="Banking","Banking",IFERROR(INDEX(Mapping!$E$17:$E$28,MATCH($J593,Mapping!$D$17:$D$28,0)),"(unmapped)")))))</f>
        <v/>
      </c>
    </row>
    <row r="594" spans="11:11" x14ac:dyDescent="0.3">
      <c r="K594" t="str">
        <f>IF($D594="","",IFERROR(INDEX(Mapping!$H$3:$H$32,MATCH($B594,Mapping!$G$3:$G$32,0)),IF(LEFT($F594,3)="P2P",IFERROR(INDEX(Mapping!$E$3:$E$6,MATCH($G594,Mapping!$D$3:$D$6,0)),IFERROR(INDEX(Mapping!$B$3:$B$13,MATCH($J594,Mapping!$A$3:$A$13,0)),"(unmapped)")),IFERROR(INDEX(Mapping!$B$17:$B$22,MATCH($F594,Mapping!$A$17:$A$22,0)),$F594)&amp;" "&amp;IF($G594="Banking","Banking",IFERROR(INDEX(Mapping!$E$17:$E$28,MATCH($J594,Mapping!$D$17:$D$28,0)),"(unmapped)")))))</f>
        <v/>
      </c>
    </row>
    <row r="595" spans="11:11" x14ac:dyDescent="0.3">
      <c r="K595" t="str">
        <f>IF($D595="","",IFERROR(INDEX(Mapping!$H$3:$H$32,MATCH($B595,Mapping!$G$3:$G$32,0)),IF(LEFT($F595,3)="P2P",IFERROR(INDEX(Mapping!$E$3:$E$6,MATCH($G595,Mapping!$D$3:$D$6,0)),IFERROR(INDEX(Mapping!$B$3:$B$13,MATCH($J595,Mapping!$A$3:$A$13,0)),"(unmapped)")),IFERROR(INDEX(Mapping!$B$17:$B$22,MATCH($F595,Mapping!$A$17:$A$22,0)),$F595)&amp;" "&amp;IF($G595="Banking","Banking",IFERROR(INDEX(Mapping!$E$17:$E$28,MATCH($J595,Mapping!$D$17:$D$28,0)),"(unmapped)")))))</f>
        <v/>
      </c>
    </row>
    <row r="596" spans="11:11" x14ac:dyDescent="0.3">
      <c r="K596" t="str">
        <f>IF($D596="","",IFERROR(INDEX(Mapping!$H$3:$H$32,MATCH($B596,Mapping!$G$3:$G$32,0)),IF(LEFT($F596,3)="P2P",IFERROR(INDEX(Mapping!$E$3:$E$6,MATCH($G596,Mapping!$D$3:$D$6,0)),IFERROR(INDEX(Mapping!$B$3:$B$13,MATCH($J596,Mapping!$A$3:$A$13,0)),"(unmapped)")),IFERROR(INDEX(Mapping!$B$17:$B$22,MATCH($F596,Mapping!$A$17:$A$22,0)),$F596)&amp;" "&amp;IF($G596="Banking","Banking",IFERROR(INDEX(Mapping!$E$17:$E$28,MATCH($J596,Mapping!$D$17:$D$28,0)),"(unmapped)")))))</f>
        <v/>
      </c>
    </row>
    <row r="597" spans="11:11" x14ac:dyDescent="0.3">
      <c r="K597" t="str">
        <f>IF($D597="","",IFERROR(INDEX(Mapping!$H$3:$H$32,MATCH($B597,Mapping!$G$3:$G$32,0)),IF(LEFT($F597,3)="P2P",IFERROR(INDEX(Mapping!$E$3:$E$6,MATCH($G597,Mapping!$D$3:$D$6,0)),IFERROR(INDEX(Mapping!$B$3:$B$13,MATCH($J597,Mapping!$A$3:$A$13,0)),"(unmapped)")),IFERROR(INDEX(Mapping!$B$17:$B$22,MATCH($F597,Mapping!$A$17:$A$22,0)),$F597)&amp;" "&amp;IF($G597="Banking","Banking",IFERROR(INDEX(Mapping!$E$17:$E$28,MATCH($J597,Mapping!$D$17:$D$28,0)),"(unmapped)")))))</f>
        <v/>
      </c>
    </row>
    <row r="598" spans="11:11" x14ac:dyDescent="0.3">
      <c r="K598" t="str">
        <f>IF($D598="","",IFERROR(INDEX(Mapping!$H$3:$H$32,MATCH($B598,Mapping!$G$3:$G$32,0)),IF(LEFT($F598,3)="P2P",IFERROR(INDEX(Mapping!$E$3:$E$6,MATCH($G598,Mapping!$D$3:$D$6,0)),IFERROR(INDEX(Mapping!$B$3:$B$13,MATCH($J598,Mapping!$A$3:$A$13,0)),"(unmapped)")),IFERROR(INDEX(Mapping!$B$17:$B$22,MATCH($F598,Mapping!$A$17:$A$22,0)),$F598)&amp;" "&amp;IF($G598="Banking","Banking",IFERROR(INDEX(Mapping!$E$17:$E$28,MATCH($J598,Mapping!$D$17:$D$28,0)),"(unmapped)")))))</f>
        <v/>
      </c>
    </row>
    <row r="599" spans="11:11" x14ac:dyDescent="0.3">
      <c r="K599" t="str">
        <f>IF($D599="","",IFERROR(INDEX(Mapping!$H$3:$H$32,MATCH($B599,Mapping!$G$3:$G$32,0)),IF(LEFT($F599,3)="P2P",IFERROR(INDEX(Mapping!$E$3:$E$6,MATCH($G599,Mapping!$D$3:$D$6,0)),IFERROR(INDEX(Mapping!$B$3:$B$13,MATCH($J599,Mapping!$A$3:$A$13,0)),"(unmapped)")),IFERROR(INDEX(Mapping!$B$17:$B$22,MATCH($F599,Mapping!$A$17:$A$22,0)),$F599)&amp;" "&amp;IF($G599="Banking","Banking",IFERROR(INDEX(Mapping!$E$17:$E$28,MATCH($J599,Mapping!$D$17:$D$28,0)),"(unmapped)")))))</f>
        <v/>
      </c>
    </row>
    <row r="600" spans="11:11" x14ac:dyDescent="0.3">
      <c r="K600" t="str">
        <f>IF($D600="","",IFERROR(INDEX(Mapping!$H$3:$H$32,MATCH($B600,Mapping!$G$3:$G$32,0)),IF(LEFT($F600,3)="P2P",IFERROR(INDEX(Mapping!$E$3:$E$6,MATCH($G600,Mapping!$D$3:$D$6,0)),IFERROR(INDEX(Mapping!$B$3:$B$13,MATCH($J600,Mapping!$A$3:$A$13,0)),"(unmapped)")),IFERROR(INDEX(Mapping!$B$17:$B$22,MATCH($F600,Mapping!$A$17:$A$22,0)),$F600)&amp;" "&amp;IF($G600="Banking","Banking",IFERROR(INDEX(Mapping!$E$17:$E$28,MATCH($J600,Mapping!$D$17:$D$28,0)),"(unmapped)")))))</f>
        <v/>
      </c>
    </row>
    <row r="601" spans="11:11" x14ac:dyDescent="0.3">
      <c r="K601" t="str">
        <f>IF($D601="","",IFERROR(INDEX(Mapping!$H$3:$H$32,MATCH($B601,Mapping!$G$3:$G$32,0)),IF(LEFT($F601,3)="P2P",IFERROR(INDEX(Mapping!$E$3:$E$6,MATCH($G601,Mapping!$D$3:$D$6,0)),IFERROR(INDEX(Mapping!$B$3:$B$13,MATCH($J601,Mapping!$A$3:$A$13,0)),"(unmapped)")),IFERROR(INDEX(Mapping!$B$17:$B$22,MATCH($F601,Mapping!$A$17:$A$22,0)),$F601)&amp;" "&amp;IF($G601="Banking","Banking",IFERROR(INDEX(Mapping!$E$17:$E$28,MATCH($J601,Mapping!$D$17:$D$28,0)),"(unmapped)")))))</f>
        <v/>
      </c>
    </row>
    <row r="602" spans="11:11" x14ac:dyDescent="0.3">
      <c r="K602" t="str">
        <f>IF($D602="","",IFERROR(INDEX(Mapping!$H$3:$H$32,MATCH($B602,Mapping!$G$3:$G$32,0)),IF(LEFT($F602,3)="P2P",IFERROR(INDEX(Mapping!$E$3:$E$6,MATCH($G602,Mapping!$D$3:$D$6,0)),IFERROR(INDEX(Mapping!$B$3:$B$13,MATCH($J602,Mapping!$A$3:$A$13,0)),"(unmapped)")),IFERROR(INDEX(Mapping!$B$17:$B$22,MATCH($F602,Mapping!$A$17:$A$22,0)),$F602)&amp;" "&amp;IF($G602="Banking","Banking",IFERROR(INDEX(Mapping!$E$17:$E$28,MATCH($J602,Mapping!$D$17:$D$28,0)),"(unmapped)")))))</f>
        <v/>
      </c>
    </row>
    <row r="603" spans="11:11" x14ac:dyDescent="0.3">
      <c r="K603" t="str">
        <f>IF($D603="","",IFERROR(INDEX(Mapping!$H$3:$H$32,MATCH($B603,Mapping!$G$3:$G$32,0)),IF(LEFT($F603,3)="P2P",IFERROR(INDEX(Mapping!$E$3:$E$6,MATCH($G603,Mapping!$D$3:$D$6,0)),IFERROR(INDEX(Mapping!$B$3:$B$13,MATCH($J603,Mapping!$A$3:$A$13,0)),"(unmapped)")),IFERROR(INDEX(Mapping!$B$17:$B$22,MATCH($F603,Mapping!$A$17:$A$22,0)),$F603)&amp;" "&amp;IF($G603="Banking","Banking",IFERROR(INDEX(Mapping!$E$17:$E$28,MATCH($J603,Mapping!$D$17:$D$28,0)),"(unmapped)")))))</f>
        <v/>
      </c>
    </row>
    <row r="604" spans="11:11" x14ac:dyDescent="0.3">
      <c r="K604" t="str">
        <f>IF($D604="","",IFERROR(INDEX(Mapping!$H$3:$H$32,MATCH($B604,Mapping!$G$3:$G$32,0)),IF(LEFT($F604,3)="P2P",IFERROR(INDEX(Mapping!$E$3:$E$6,MATCH($G604,Mapping!$D$3:$D$6,0)),IFERROR(INDEX(Mapping!$B$3:$B$13,MATCH($J604,Mapping!$A$3:$A$13,0)),"(unmapped)")),IFERROR(INDEX(Mapping!$B$17:$B$22,MATCH($F604,Mapping!$A$17:$A$22,0)),$F604)&amp;" "&amp;IF($G604="Banking","Banking",IFERROR(INDEX(Mapping!$E$17:$E$28,MATCH($J604,Mapping!$D$17:$D$28,0)),"(unmapped)")))))</f>
        <v/>
      </c>
    </row>
    <row r="605" spans="11:11" x14ac:dyDescent="0.3">
      <c r="K605" t="str">
        <f>IF($D605="","",IFERROR(INDEX(Mapping!$H$3:$H$32,MATCH($B605,Mapping!$G$3:$G$32,0)),IF(LEFT($F605,3)="P2P",IFERROR(INDEX(Mapping!$E$3:$E$6,MATCH($G605,Mapping!$D$3:$D$6,0)),IFERROR(INDEX(Mapping!$B$3:$B$13,MATCH($J605,Mapping!$A$3:$A$13,0)),"(unmapped)")),IFERROR(INDEX(Mapping!$B$17:$B$22,MATCH($F605,Mapping!$A$17:$A$22,0)),$F605)&amp;" "&amp;IF($G605="Banking","Banking",IFERROR(INDEX(Mapping!$E$17:$E$28,MATCH($J605,Mapping!$D$17:$D$28,0)),"(unmapped)")))))</f>
        <v/>
      </c>
    </row>
    <row r="606" spans="11:11" x14ac:dyDescent="0.3">
      <c r="K606" t="str">
        <f>IF($D606="","",IFERROR(INDEX(Mapping!$H$3:$H$32,MATCH($B606,Mapping!$G$3:$G$32,0)),IF(LEFT($F606,3)="P2P",IFERROR(INDEX(Mapping!$E$3:$E$6,MATCH($G606,Mapping!$D$3:$D$6,0)),IFERROR(INDEX(Mapping!$B$3:$B$13,MATCH($J606,Mapping!$A$3:$A$13,0)),"(unmapped)")),IFERROR(INDEX(Mapping!$B$17:$B$22,MATCH($F606,Mapping!$A$17:$A$22,0)),$F606)&amp;" "&amp;IF($G606="Banking","Banking",IFERROR(INDEX(Mapping!$E$17:$E$28,MATCH($J606,Mapping!$D$17:$D$28,0)),"(unmapped)")))))</f>
        <v/>
      </c>
    </row>
    <row r="607" spans="11:11" x14ac:dyDescent="0.3">
      <c r="K607" t="str">
        <f>IF($D607="","",IFERROR(INDEX(Mapping!$H$3:$H$32,MATCH($B607,Mapping!$G$3:$G$32,0)),IF(LEFT($F607,3)="P2P",IFERROR(INDEX(Mapping!$E$3:$E$6,MATCH($G607,Mapping!$D$3:$D$6,0)),IFERROR(INDEX(Mapping!$B$3:$B$13,MATCH($J607,Mapping!$A$3:$A$13,0)),"(unmapped)")),IFERROR(INDEX(Mapping!$B$17:$B$22,MATCH($F607,Mapping!$A$17:$A$22,0)),$F607)&amp;" "&amp;IF($G607="Banking","Banking",IFERROR(INDEX(Mapping!$E$17:$E$28,MATCH($J607,Mapping!$D$17:$D$28,0)),"(unmapped)")))))</f>
        <v/>
      </c>
    </row>
    <row r="608" spans="11:11" x14ac:dyDescent="0.3">
      <c r="K608" t="str">
        <f>IF($D608="","",IFERROR(INDEX(Mapping!$H$3:$H$32,MATCH($B608,Mapping!$G$3:$G$32,0)),IF(LEFT($F608,3)="P2P",IFERROR(INDEX(Mapping!$E$3:$E$6,MATCH($G608,Mapping!$D$3:$D$6,0)),IFERROR(INDEX(Mapping!$B$3:$B$13,MATCH($J608,Mapping!$A$3:$A$13,0)),"(unmapped)")),IFERROR(INDEX(Mapping!$B$17:$B$22,MATCH($F608,Mapping!$A$17:$A$22,0)),$F608)&amp;" "&amp;IF($G608="Banking","Banking",IFERROR(INDEX(Mapping!$E$17:$E$28,MATCH($J608,Mapping!$D$17:$D$28,0)),"(unmapped)")))))</f>
        <v/>
      </c>
    </row>
    <row r="609" spans="11:11" x14ac:dyDescent="0.3">
      <c r="K609" t="str">
        <f>IF($D609="","",IFERROR(INDEX(Mapping!$H$3:$H$32,MATCH($B609,Mapping!$G$3:$G$32,0)),IF(LEFT($F609,3)="P2P",IFERROR(INDEX(Mapping!$E$3:$E$6,MATCH($G609,Mapping!$D$3:$D$6,0)),IFERROR(INDEX(Mapping!$B$3:$B$13,MATCH($J609,Mapping!$A$3:$A$13,0)),"(unmapped)")),IFERROR(INDEX(Mapping!$B$17:$B$22,MATCH($F609,Mapping!$A$17:$A$22,0)),$F609)&amp;" "&amp;IF($G609="Banking","Banking",IFERROR(INDEX(Mapping!$E$17:$E$28,MATCH($J609,Mapping!$D$17:$D$28,0)),"(unmapped)")))))</f>
        <v/>
      </c>
    </row>
    <row r="610" spans="11:11" x14ac:dyDescent="0.3">
      <c r="K610" t="str">
        <f>IF($D610="","",IFERROR(INDEX(Mapping!$H$3:$H$32,MATCH($B610,Mapping!$G$3:$G$32,0)),IF(LEFT($F610,3)="P2P",IFERROR(INDEX(Mapping!$E$3:$E$6,MATCH($G610,Mapping!$D$3:$D$6,0)),IFERROR(INDEX(Mapping!$B$3:$B$13,MATCH($J610,Mapping!$A$3:$A$13,0)),"(unmapped)")),IFERROR(INDEX(Mapping!$B$17:$B$22,MATCH($F610,Mapping!$A$17:$A$22,0)),$F610)&amp;" "&amp;IF($G610="Banking","Banking",IFERROR(INDEX(Mapping!$E$17:$E$28,MATCH($J610,Mapping!$D$17:$D$28,0)),"(unmapped)")))))</f>
        <v/>
      </c>
    </row>
    <row r="611" spans="11:11" x14ac:dyDescent="0.3">
      <c r="K611" t="str">
        <f>IF($D611="","",IFERROR(INDEX(Mapping!$H$3:$H$32,MATCH($B611,Mapping!$G$3:$G$32,0)),IF(LEFT($F611,3)="P2P",IFERROR(INDEX(Mapping!$E$3:$E$6,MATCH($G611,Mapping!$D$3:$D$6,0)),IFERROR(INDEX(Mapping!$B$3:$B$13,MATCH($J611,Mapping!$A$3:$A$13,0)),"(unmapped)")),IFERROR(INDEX(Mapping!$B$17:$B$22,MATCH($F611,Mapping!$A$17:$A$22,0)),$F611)&amp;" "&amp;IF($G611="Banking","Banking",IFERROR(INDEX(Mapping!$E$17:$E$28,MATCH($J611,Mapping!$D$17:$D$28,0)),"(unmapped)")))))</f>
        <v/>
      </c>
    </row>
    <row r="612" spans="11:11" x14ac:dyDescent="0.3">
      <c r="K612" t="str">
        <f>IF($D612="","",IFERROR(INDEX(Mapping!$H$3:$H$32,MATCH($B612,Mapping!$G$3:$G$32,0)),IF(LEFT($F612,3)="P2P",IFERROR(INDEX(Mapping!$E$3:$E$6,MATCH($G612,Mapping!$D$3:$D$6,0)),IFERROR(INDEX(Mapping!$B$3:$B$13,MATCH($J612,Mapping!$A$3:$A$13,0)),"(unmapped)")),IFERROR(INDEX(Mapping!$B$17:$B$22,MATCH($F612,Mapping!$A$17:$A$22,0)),$F612)&amp;" "&amp;IF($G612="Banking","Banking",IFERROR(INDEX(Mapping!$E$17:$E$28,MATCH($J612,Mapping!$D$17:$D$28,0)),"(unmapped)")))))</f>
        <v/>
      </c>
    </row>
    <row r="613" spans="11:11" x14ac:dyDescent="0.3">
      <c r="K613" t="str">
        <f>IF($D613="","",IFERROR(INDEX(Mapping!$H$3:$H$32,MATCH($B613,Mapping!$G$3:$G$32,0)),IF(LEFT($F613,3)="P2P",IFERROR(INDEX(Mapping!$E$3:$E$6,MATCH($G613,Mapping!$D$3:$D$6,0)),IFERROR(INDEX(Mapping!$B$3:$B$13,MATCH($J613,Mapping!$A$3:$A$13,0)),"(unmapped)")),IFERROR(INDEX(Mapping!$B$17:$B$22,MATCH($F613,Mapping!$A$17:$A$22,0)),$F613)&amp;" "&amp;IF($G613="Banking","Banking",IFERROR(INDEX(Mapping!$E$17:$E$28,MATCH($J613,Mapping!$D$17:$D$28,0)),"(unmapped)")))))</f>
        <v/>
      </c>
    </row>
    <row r="614" spans="11:11" x14ac:dyDescent="0.3">
      <c r="K614" t="str">
        <f>IF($D614="","",IFERROR(INDEX(Mapping!$H$3:$H$32,MATCH($B614,Mapping!$G$3:$G$32,0)),IF(LEFT($F614,3)="P2P",IFERROR(INDEX(Mapping!$E$3:$E$6,MATCH($G614,Mapping!$D$3:$D$6,0)),IFERROR(INDEX(Mapping!$B$3:$B$13,MATCH($J614,Mapping!$A$3:$A$13,0)),"(unmapped)")),IFERROR(INDEX(Mapping!$B$17:$B$22,MATCH($F614,Mapping!$A$17:$A$22,0)),$F614)&amp;" "&amp;IF($G614="Banking","Banking",IFERROR(INDEX(Mapping!$E$17:$E$28,MATCH($J614,Mapping!$D$17:$D$28,0)),"(unmapped)")))))</f>
        <v/>
      </c>
    </row>
    <row r="615" spans="11:11" x14ac:dyDescent="0.3">
      <c r="K615" t="str">
        <f>IF($D615="","",IFERROR(INDEX(Mapping!$H$3:$H$32,MATCH($B615,Mapping!$G$3:$G$32,0)),IF(LEFT($F615,3)="P2P",IFERROR(INDEX(Mapping!$E$3:$E$6,MATCH($G615,Mapping!$D$3:$D$6,0)),IFERROR(INDEX(Mapping!$B$3:$B$13,MATCH($J615,Mapping!$A$3:$A$13,0)),"(unmapped)")),IFERROR(INDEX(Mapping!$B$17:$B$22,MATCH($F615,Mapping!$A$17:$A$22,0)),$F615)&amp;" "&amp;IF($G615="Banking","Banking",IFERROR(INDEX(Mapping!$E$17:$E$28,MATCH($J615,Mapping!$D$17:$D$28,0)),"(unmapped)")))))</f>
        <v/>
      </c>
    </row>
    <row r="616" spans="11:11" x14ac:dyDescent="0.3">
      <c r="K616" t="str">
        <f>IF($D616="","",IFERROR(INDEX(Mapping!$H$3:$H$32,MATCH($B616,Mapping!$G$3:$G$32,0)),IF(LEFT($F616,3)="P2P",IFERROR(INDEX(Mapping!$E$3:$E$6,MATCH($G616,Mapping!$D$3:$D$6,0)),IFERROR(INDEX(Mapping!$B$3:$B$13,MATCH($J616,Mapping!$A$3:$A$13,0)),"(unmapped)")),IFERROR(INDEX(Mapping!$B$17:$B$22,MATCH($F616,Mapping!$A$17:$A$22,0)),$F616)&amp;" "&amp;IF($G616="Banking","Banking",IFERROR(INDEX(Mapping!$E$17:$E$28,MATCH($J616,Mapping!$D$17:$D$28,0)),"(unmapped)")))))</f>
        <v/>
      </c>
    </row>
    <row r="617" spans="11:11" x14ac:dyDescent="0.3">
      <c r="K617" t="str">
        <f>IF($D617="","",IFERROR(INDEX(Mapping!$H$3:$H$32,MATCH($B617,Mapping!$G$3:$G$32,0)),IF(LEFT($F617,3)="P2P",IFERROR(INDEX(Mapping!$E$3:$E$6,MATCH($G617,Mapping!$D$3:$D$6,0)),IFERROR(INDEX(Mapping!$B$3:$B$13,MATCH($J617,Mapping!$A$3:$A$13,0)),"(unmapped)")),IFERROR(INDEX(Mapping!$B$17:$B$22,MATCH($F617,Mapping!$A$17:$A$22,0)),$F617)&amp;" "&amp;IF($G617="Banking","Banking",IFERROR(INDEX(Mapping!$E$17:$E$28,MATCH($J617,Mapping!$D$17:$D$28,0)),"(unmapped)")))))</f>
        <v/>
      </c>
    </row>
    <row r="618" spans="11:11" x14ac:dyDescent="0.3">
      <c r="K618" t="str">
        <f>IF($D618="","",IFERROR(INDEX(Mapping!$H$3:$H$32,MATCH($B618,Mapping!$G$3:$G$32,0)),IF(LEFT($F618,3)="P2P",IFERROR(INDEX(Mapping!$E$3:$E$6,MATCH($G618,Mapping!$D$3:$D$6,0)),IFERROR(INDEX(Mapping!$B$3:$B$13,MATCH($J618,Mapping!$A$3:$A$13,0)),"(unmapped)")),IFERROR(INDEX(Mapping!$B$17:$B$22,MATCH($F618,Mapping!$A$17:$A$22,0)),$F618)&amp;" "&amp;IF($G618="Banking","Banking",IFERROR(INDEX(Mapping!$E$17:$E$28,MATCH($J618,Mapping!$D$17:$D$28,0)),"(unmapped)")))))</f>
        <v/>
      </c>
    </row>
    <row r="619" spans="11:11" x14ac:dyDescent="0.3">
      <c r="K619" t="str">
        <f>IF($D619="","",IFERROR(INDEX(Mapping!$H$3:$H$32,MATCH($B619,Mapping!$G$3:$G$32,0)),IF(LEFT($F619,3)="P2P",IFERROR(INDEX(Mapping!$E$3:$E$6,MATCH($G619,Mapping!$D$3:$D$6,0)),IFERROR(INDEX(Mapping!$B$3:$B$13,MATCH($J619,Mapping!$A$3:$A$13,0)),"(unmapped)")),IFERROR(INDEX(Mapping!$B$17:$B$22,MATCH($F619,Mapping!$A$17:$A$22,0)),$F619)&amp;" "&amp;IF($G619="Banking","Banking",IFERROR(INDEX(Mapping!$E$17:$E$28,MATCH($J619,Mapping!$D$17:$D$28,0)),"(unmapped)")))))</f>
        <v/>
      </c>
    </row>
    <row r="620" spans="11:11" x14ac:dyDescent="0.3">
      <c r="K620" t="str">
        <f>IF($D620="","",IFERROR(INDEX(Mapping!$H$3:$H$32,MATCH($B620,Mapping!$G$3:$G$32,0)),IF(LEFT($F620,3)="P2P",IFERROR(INDEX(Mapping!$E$3:$E$6,MATCH($G620,Mapping!$D$3:$D$6,0)),IFERROR(INDEX(Mapping!$B$3:$B$13,MATCH($J620,Mapping!$A$3:$A$13,0)),"(unmapped)")),IFERROR(INDEX(Mapping!$B$17:$B$22,MATCH($F620,Mapping!$A$17:$A$22,0)),$F620)&amp;" "&amp;IF($G620="Banking","Banking",IFERROR(INDEX(Mapping!$E$17:$E$28,MATCH($J620,Mapping!$D$17:$D$28,0)),"(unmapped)")))))</f>
        <v/>
      </c>
    </row>
    <row r="621" spans="11:11" x14ac:dyDescent="0.3">
      <c r="K621" t="str">
        <f>IF($D621="","",IFERROR(INDEX(Mapping!$H$3:$H$32,MATCH($B621,Mapping!$G$3:$G$32,0)),IF(LEFT($F621,3)="P2P",IFERROR(INDEX(Mapping!$E$3:$E$6,MATCH($G621,Mapping!$D$3:$D$6,0)),IFERROR(INDEX(Mapping!$B$3:$B$13,MATCH($J621,Mapping!$A$3:$A$13,0)),"(unmapped)")),IFERROR(INDEX(Mapping!$B$17:$B$22,MATCH($F621,Mapping!$A$17:$A$22,0)),$F621)&amp;" "&amp;IF($G621="Banking","Banking",IFERROR(INDEX(Mapping!$E$17:$E$28,MATCH($J621,Mapping!$D$17:$D$28,0)),"(unmapped)")))))</f>
        <v/>
      </c>
    </row>
    <row r="622" spans="11:11" x14ac:dyDescent="0.3">
      <c r="K622" t="str">
        <f>IF($D622="","",IFERROR(INDEX(Mapping!$H$3:$H$32,MATCH($B622,Mapping!$G$3:$G$32,0)),IF(LEFT($F622,3)="P2P",IFERROR(INDEX(Mapping!$E$3:$E$6,MATCH($G622,Mapping!$D$3:$D$6,0)),IFERROR(INDEX(Mapping!$B$3:$B$13,MATCH($J622,Mapping!$A$3:$A$13,0)),"(unmapped)")),IFERROR(INDEX(Mapping!$B$17:$B$22,MATCH($F622,Mapping!$A$17:$A$22,0)),$F622)&amp;" "&amp;IF($G622="Banking","Banking",IFERROR(INDEX(Mapping!$E$17:$E$28,MATCH($J622,Mapping!$D$17:$D$28,0)),"(unmapped)")))))</f>
        <v/>
      </c>
    </row>
    <row r="623" spans="11:11" x14ac:dyDescent="0.3">
      <c r="K623" t="str">
        <f>IF($D623="","",IFERROR(INDEX(Mapping!$H$3:$H$32,MATCH($B623,Mapping!$G$3:$G$32,0)),IF(LEFT($F623,3)="P2P",IFERROR(INDEX(Mapping!$E$3:$E$6,MATCH($G623,Mapping!$D$3:$D$6,0)),IFERROR(INDEX(Mapping!$B$3:$B$13,MATCH($J623,Mapping!$A$3:$A$13,0)),"(unmapped)")),IFERROR(INDEX(Mapping!$B$17:$B$22,MATCH($F623,Mapping!$A$17:$A$22,0)),$F623)&amp;" "&amp;IF($G623="Banking","Banking",IFERROR(INDEX(Mapping!$E$17:$E$28,MATCH($J623,Mapping!$D$17:$D$28,0)),"(unmapped)")))))</f>
        <v/>
      </c>
    </row>
    <row r="624" spans="11:11" x14ac:dyDescent="0.3">
      <c r="K624" t="str">
        <f>IF($D624="","",IFERROR(INDEX(Mapping!$H$3:$H$32,MATCH($B624,Mapping!$G$3:$G$32,0)),IF(LEFT($F624,3)="P2P",IFERROR(INDEX(Mapping!$E$3:$E$6,MATCH($G624,Mapping!$D$3:$D$6,0)),IFERROR(INDEX(Mapping!$B$3:$B$13,MATCH($J624,Mapping!$A$3:$A$13,0)),"(unmapped)")),IFERROR(INDEX(Mapping!$B$17:$B$22,MATCH($F624,Mapping!$A$17:$A$22,0)),$F624)&amp;" "&amp;IF($G624="Banking","Banking",IFERROR(INDEX(Mapping!$E$17:$E$28,MATCH($J624,Mapping!$D$17:$D$28,0)),"(unmapped)")))))</f>
        <v/>
      </c>
    </row>
    <row r="625" spans="11:11" x14ac:dyDescent="0.3">
      <c r="K625" t="str">
        <f>IF($D625="","",IFERROR(INDEX(Mapping!$H$3:$H$32,MATCH($B625,Mapping!$G$3:$G$32,0)),IF(LEFT($F625,3)="P2P",IFERROR(INDEX(Mapping!$E$3:$E$6,MATCH($G625,Mapping!$D$3:$D$6,0)),IFERROR(INDEX(Mapping!$B$3:$B$13,MATCH($J625,Mapping!$A$3:$A$13,0)),"(unmapped)")),IFERROR(INDEX(Mapping!$B$17:$B$22,MATCH($F625,Mapping!$A$17:$A$22,0)),$F625)&amp;" "&amp;IF($G625="Banking","Banking",IFERROR(INDEX(Mapping!$E$17:$E$28,MATCH($J625,Mapping!$D$17:$D$28,0)),"(unmapped)")))))</f>
        <v/>
      </c>
    </row>
    <row r="626" spans="11:11" x14ac:dyDescent="0.3">
      <c r="K626" t="str">
        <f>IF($D626="","",IFERROR(INDEX(Mapping!$H$3:$H$32,MATCH($B626,Mapping!$G$3:$G$32,0)),IF(LEFT($F626,3)="P2P",IFERROR(INDEX(Mapping!$E$3:$E$6,MATCH($G626,Mapping!$D$3:$D$6,0)),IFERROR(INDEX(Mapping!$B$3:$B$13,MATCH($J626,Mapping!$A$3:$A$13,0)),"(unmapped)")),IFERROR(INDEX(Mapping!$B$17:$B$22,MATCH($F626,Mapping!$A$17:$A$22,0)),$F626)&amp;" "&amp;IF($G626="Banking","Banking",IFERROR(INDEX(Mapping!$E$17:$E$28,MATCH($J626,Mapping!$D$17:$D$28,0)),"(unmapped)")))))</f>
        <v/>
      </c>
    </row>
    <row r="627" spans="11:11" x14ac:dyDescent="0.3">
      <c r="K627" t="str">
        <f>IF($D627="","",IFERROR(INDEX(Mapping!$H$3:$H$32,MATCH($B627,Mapping!$G$3:$G$32,0)),IF(LEFT($F627,3)="P2P",IFERROR(INDEX(Mapping!$E$3:$E$6,MATCH($G627,Mapping!$D$3:$D$6,0)),IFERROR(INDEX(Mapping!$B$3:$B$13,MATCH($J627,Mapping!$A$3:$A$13,0)),"(unmapped)")),IFERROR(INDEX(Mapping!$B$17:$B$22,MATCH($F627,Mapping!$A$17:$A$22,0)),$F627)&amp;" "&amp;IF($G627="Banking","Banking",IFERROR(INDEX(Mapping!$E$17:$E$28,MATCH($J627,Mapping!$D$17:$D$28,0)),"(unmapped)")))))</f>
        <v/>
      </c>
    </row>
    <row r="628" spans="11:11" x14ac:dyDescent="0.3">
      <c r="K628" t="str">
        <f>IF($D628="","",IFERROR(INDEX(Mapping!$H$3:$H$32,MATCH($B628,Mapping!$G$3:$G$32,0)),IF(LEFT($F628,3)="P2P",IFERROR(INDEX(Mapping!$E$3:$E$6,MATCH($G628,Mapping!$D$3:$D$6,0)),IFERROR(INDEX(Mapping!$B$3:$B$13,MATCH($J628,Mapping!$A$3:$A$13,0)),"(unmapped)")),IFERROR(INDEX(Mapping!$B$17:$B$22,MATCH($F628,Mapping!$A$17:$A$22,0)),$F628)&amp;" "&amp;IF($G628="Banking","Banking",IFERROR(INDEX(Mapping!$E$17:$E$28,MATCH($J628,Mapping!$D$17:$D$28,0)),"(unmapped)")))))</f>
        <v/>
      </c>
    </row>
    <row r="629" spans="11:11" x14ac:dyDescent="0.3">
      <c r="K629" t="str">
        <f>IF($D629="","",IFERROR(INDEX(Mapping!$H$3:$H$32,MATCH($B629,Mapping!$G$3:$G$32,0)),IF(LEFT($F629,3)="P2P",IFERROR(INDEX(Mapping!$E$3:$E$6,MATCH($G629,Mapping!$D$3:$D$6,0)),IFERROR(INDEX(Mapping!$B$3:$B$13,MATCH($J629,Mapping!$A$3:$A$13,0)),"(unmapped)")),IFERROR(INDEX(Mapping!$B$17:$B$22,MATCH($F629,Mapping!$A$17:$A$22,0)),$F629)&amp;" "&amp;IF($G629="Banking","Banking",IFERROR(INDEX(Mapping!$E$17:$E$28,MATCH($J629,Mapping!$D$17:$D$28,0)),"(unmapped)")))))</f>
        <v/>
      </c>
    </row>
    <row r="630" spans="11:11" x14ac:dyDescent="0.3">
      <c r="K630" t="str">
        <f>IF($D630="","",IFERROR(INDEX(Mapping!$H$3:$H$32,MATCH($B630,Mapping!$G$3:$G$32,0)),IF(LEFT($F630,3)="P2P",IFERROR(INDEX(Mapping!$E$3:$E$6,MATCH($G630,Mapping!$D$3:$D$6,0)),IFERROR(INDEX(Mapping!$B$3:$B$13,MATCH($J630,Mapping!$A$3:$A$13,0)),"(unmapped)")),IFERROR(INDEX(Mapping!$B$17:$B$22,MATCH($F630,Mapping!$A$17:$A$22,0)),$F630)&amp;" "&amp;IF($G630="Banking","Banking",IFERROR(INDEX(Mapping!$E$17:$E$28,MATCH($J630,Mapping!$D$17:$D$28,0)),"(unmapped)")))))</f>
        <v/>
      </c>
    </row>
    <row r="631" spans="11:11" x14ac:dyDescent="0.3">
      <c r="K631" t="str">
        <f>IF($D631="","",IFERROR(INDEX(Mapping!$H$3:$H$32,MATCH($B631,Mapping!$G$3:$G$32,0)),IF(LEFT($F631,3)="P2P",IFERROR(INDEX(Mapping!$E$3:$E$6,MATCH($G631,Mapping!$D$3:$D$6,0)),IFERROR(INDEX(Mapping!$B$3:$B$13,MATCH($J631,Mapping!$A$3:$A$13,0)),"(unmapped)")),IFERROR(INDEX(Mapping!$B$17:$B$22,MATCH($F631,Mapping!$A$17:$A$22,0)),$F631)&amp;" "&amp;IF($G631="Banking","Banking",IFERROR(INDEX(Mapping!$E$17:$E$28,MATCH($J631,Mapping!$D$17:$D$28,0)),"(unmapped)")))))</f>
        <v/>
      </c>
    </row>
    <row r="632" spans="11:11" x14ac:dyDescent="0.3">
      <c r="K632" t="str">
        <f>IF($D632="","",IFERROR(INDEX(Mapping!$H$3:$H$32,MATCH($B632,Mapping!$G$3:$G$32,0)),IF(LEFT($F632,3)="P2P",IFERROR(INDEX(Mapping!$E$3:$E$6,MATCH($G632,Mapping!$D$3:$D$6,0)),IFERROR(INDEX(Mapping!$B$3:$B$13,MATCH($J632,Mapping!$A$3:$A$13,0)),"(unmapped)")),IFERROR(INDEX(Mapping!$B$17:$B$22,MATCH($F632,Mapping!$A$17:$A$22,0)),$F632)&amp;" "&amp;IF($G632="Banking","Banking",IFERROR(INDEX(Mapping!$E$17:$E$28,MATCH($J632,Mapping!$D$17:$D$28,0)),"(unmapped)")))))</f>
        <v/>
      </c>
    </row>
    <row r="633" spans="11:11" x14ac:dyDescent="0.3">
      <c r="K633" t="str">
        <f>IF($D633="","",IFERROR(INDEX(Mapping!$H$3:$H$32,MATCH($B633,Mapping!$G$3:$G$32,0)),IF(LEFT($F633,3)="P2P",IFERROR(INDEX(Mapping!$E$3:$E$6,MATCH($G633,Mapping!$D$3:$D$6,0)),IFERROR(INDEX(Mapping!$B$3:$B$13,MATCH($J633,Mapping!$A$3:$A$13,0)),"(unmapped)")),IFERROR(INDEX(Mapping!$B$17:$B$22,MATCH($F633,Mapping!$A$17:$A$22,0)),$F633)&amp;" "&amp;IF($G633="Banking","Banking",IFERROR(INDEX(Mapping!$E$17:$E$28,MATCH($J633,Mapping!$D$17:$D$28,0)),"(unmapped)")))))</f>
        <v/>
      </c>
    </row>
    <row r="634" spans="11:11" x14ac:dyDescent="0.3">
      <c r="K634" t="str">
        <f>IF($D634="","",IFERROR(INDEX(Mapping!$H$3:$H$32,MATCH($B634,Mapping!$G$3:$G$32,0)),IF(LEFT($F634,3)="P2P",IFERROR(INDEX(Mapping!$E$3:$E$6,MATCH($G634,Mapping!$D$3:$D$6,0)),IFERROR(INDEX(Mapping!$B$3:$B$13,MATCH($J634,Mapping!$A$3:$A$13,0)),"(unmapped)")),IFERROR(INDEX(Mapping!$B$17:$B$22,MATCH($F634,Mapping!$A$17:$A$22,0)),$F634)&amp;" "&amp;IF($G634="Banking","Banking",IFERROR(INDEX(Mapping!$E$17:$E$28,MATCH($J634,Mapping!$D$17:$D$28,0)),"(unmapped)")))))</f>
        <v/>
      </c>
    </row>
    <row r="635" spans="11:11" x14ac:dyDescent="0.3">
      <c r="K635" t="str">
        <f>IF($D635="","",IFERROR(INDEX(Mapping!$H$3:$H$32,MATCH($B635,Mapping!$G$3:$G$32,0)),IF(LEFT($F635,3)="P2P",IFERROR(INDEX(Mapping!$E$3:$E$6,MATCH($G635,Mapping!$D$3:$D$6,0)),IFERROR(INDEX(Mapping!$B$3:$B$13,MATCH($J635,Mapping!$A$3:$A$13,0)),"(unmapped)")),IFERROR(INDEX(Mapping!$B$17:$B$22,MATCH($F635,Mapping!$A$17:$A$22,0)),$F635)&amp;" "&amp;IF($G635="Banking","Banking",IFERROR(INDEX(Mapping!$E$17:$E$28,MATCH($J635,Mapping!$D$17:$D$28,0)),"(unmapped)")))))</f>
        <v/>
      </c>
    </row>
    <row r="636" spans="11:11" x14ac:dyDescent="0.3">
      <c r="K636" t="str">
        <f>IF($D636="","",IFERROR(INDEX(Mapping!$H$3:$H$32,MATCH($B636,Mapping!$G$3:$G$32,0)),IF(LEFT($F636,3)="P2P",IFERROR(INDEX(Mapping!$E$3:$E$6,MATCH($G636,Mapping!$D$3:$D$6,0)),IFERROR(INDEX(Mapping!$B$3:$B$13,MATCH($J636,Mapping!$A$3:$A$13,0)),"(unmapped)")),IFERROR(INDEX(Mapping!$B$17:$B$22,MATCH($F636,Mapping!$A$17:$A$22,0)),$F636)&amp;" "&amp;IF($G636="Banking","Banking",IFERROR(INDEX(Mapping!$E$17:$E$28,MATCH($J636,Mapping!$D$17:$D$28,0)),"(unmapped)")))))</f>
        <v/>
      </c>
    </row>
    <row r="637" spans="11:11" x14ac:dyDescent="0.3">
      <c r="K637" t="str">
        <f>IF($D637="","",IFERROR(INDEX(Mapping!$H$3:$H$32,MATCH($B637,Mapping!$G$3:$G$32,0)),IF(LEFT($F637,3)="P2P",IFERROR(INDEX(Mapping!$E$3:$E$6,MATCH($G637,Mapping!$D$3:$D$6,0)),IFERROR(INDEX(Mapping!$B$3:$B$13,MATCH($J637,Mapping!$A$3:$A$13,0)),"(unmapped)")),IFERROR(INDEX(Mapping!$B$17:$B$22,MATCH($F637,Mapping!$A$17:$A$22,0)),$F637)&amp;" "&amp;IF($G637="Banking","Banking",IFERROR(INDEX(Mapping!$E$17:$E$28,MATCH($J637,Mapping!$D$17:$D$28,0)),"(unmapped)")))))</f>
        <v/>
      </c>
    </row>
    <row r="638" spans="11:11" x14ac:dyDescent="0.3">
      <c r="K638" t="str">
        <f>IF($D638="","",IFERROR(INDEX(Mapping!$H$3:$H$32,MATCH($B638,Mapping!$G$3:$G$32,0)),IF(LEFT($F638,3)="P2P",IFERROR(INDEX(Mapping!$E$3:$E$6,MATCH($G638,Mapping!$D$3:$D$6,0)),IFERROR(INDEX(Mapping!$B$3:$B$13,MATCH($J638,Mapping!$A$3:$A$13,0)),"(unmapped)")),IFERROR(INDEX(Mapping!$B$17:$B$22,MATCH($F638,Mapping!$A$17:$A$22,0)),$F638)&amp;" "&amp;IF($G638="Banking","Banking",IFERROR(INDEX(Mapping!$E$17:$E$28,MATCH($J638,Mapping!$D$17:$D$28,0)),"(unmapped)")))))</f>
        <v/>
      </c>
    </row>
    <row r="639" spans="11:11" x14ac:dyDescent="0.3">
      <c r="K639" t="str">
        <f>IF($D639="","",IFERROR(INDEX(Mapping!$H$3:$H$32,MATCH($B639,Mapping!$G$3:$G$32,0)),IF(LEFT($F639,3)="P2P",IFERROR(INDEX(Mapping!$E$3:$E$6,MATCH($G639,Mapping!$D$3:$D$6,0)),IFERROR(INDEX(Mapping!$B$3:$B$13,MATCH($J639,Mapping!$A$3:$A$13,0)),"(unmapped)")),IFERROR(INDEX(Mapping!$B$17:$B$22,MATCH($F639,Mapping!$A$17:$A$22,0)),$F639)&amp;" "&amp;IF($G639="Banking","Banking",IFERROR(INDEX(Mapping!$E$17:$E$28,MATCH($J639,Mapping!$D$17:$D$28,0)),"(unmapped)")))))</f>
        <v/>
      </c>
    </row>
    <row r="640" spans="11:11" x14ac:dyDescent="0.3">
      <c r="K640" t="str">
        <f>IF($D640="","",IFERROR(INDEX(Mapping!$H$3:$H$32,MATCH($B640,Mapping!$G$3:$G$32,0)),IF(LEFT($F640,3)="P2P",IFERROR(INDEX(Mapping!$E$3:$E$6,MATCH($G640,Mapping!$D$3:$D$6,0)),IFERROR(INDEX(Mapping!$B$3:$B$13,MATCH($J640,Mapping!$A$3:$A$13,0)),"(unmapped)")),IFERROR(INDEX(Mapping!$B$17:$B$22,MATCH($F640,Mapping!$A$17:$A$22,0)),$F640)&amp;" "&amp;IF($G640="Banking","Banking",IFERROR(INDEX(Mapping!$E$17:$E$28,MATCH($J640,Mapping!$D$17:$D$28,0)),"(unmapped)")))))</f>
        <v/>
      </c>
    </row>
    <row r="641" spans="11:11" x14ac:dyDescent="0.3">
      <c r="K641" t="str">
        <f>IF($D641="","",IFERROR(INDEX(Mapping!$H$3:$H$32,MATCH($B641,Mapping!$G$3:$G$32,0)),IF(LEFT($F641,3)="P2P",IFERROR(INDEX(Mapping!$E$3:$E$6,MATCH($G641,Mapping!$D$3:$D$6,0)),IFERROR(INDEX(Mapping!$B$3:$B$13,MATCH($J641,Mapping!$A$3:$A$13,0)),"(unmapped)")),IFERROR(INDEX(Mapping!$B$17:$B$22,MATCH($F641,Mapping!$A$17:$A$22,0)),$F641)&amp;" "&amp;IF($G641="Banking","Banking",IFERROR(INDEX(Mapping!$E$17:$E$28,MATCH($J641,Mapping!$D$17:$D$28,0)),"(unmapped)")))))</f>
        <v/>
      </c>
    </row>
    <row r="642" spans="11:11" x14ac:dyDescent="0.3">
      <c r="K642" t="str">
        <f>IF($D642="","",IFERROR(INDEX(Mapping!$H$3:$H$32,MATCH($B642,Mapping!$G$3:$G$32,0)),IF(LEFT($F642,3)="P2P",IFERROR(INDEX(Mapping!$E$3:$E$6,MATCH($G642,Mapping!$D$3:$D$6,0)),IFERROR(INDEX(Mapping!$B$3:$B$13,MATCH($J642,Mapping!$A$3:$A$13,0)),"(unmapped)")),IFERROR(INDEX(Mapping!$B$17:$B$22,MATCH($F642,Mapping!$A$17:$A$22,0)),$F642)&amp;" "&amp;IF($G642="Banking","Banking",IFERROR(INDEX(Mapping!$E$17:$E$28,MATCH($J642,Mapping!$D$17:$D$28,0)),"(unmapped)")))))</f>
        <v/>
      </c>
    </row>
    <row r="643" spans="11:11" x14ac:dyDescent="0.3">
      <c r="K643" t="str">
        <f>IF($D643="","",IFERROR(INDEX(Mapping!$H$3:$H$32,MATCH($B643,Mapping!$G$3:$G$32,0)),IF(LEFT($F643,3)="P2P",IFERROR(INDEX(Mapping!$E$3:$E$6,MATCH($G643,Mapping!$D$3:$D$6,0)),IFERROR(INDEX(Mapping!$B$3:$B$13,MATCH($J643,Mapping!$A$3:$A$13,0)),"(unmapped)")),IFERROR(INDEX(Mapping!$B$17:$B$22,MATCH($F643,Mapping!$A$17:$A$22,0)),$F643)&amp;" "&amp;IF($G643="Banking","Banking",IFERROR(INDEX(Mapping!$E$17:$E$28,MATCH($J643,Mapping!$D$17:$D$28,0)),"(unmapped)")))))</f>
        <v/>
      </c>
    </row>
    <row r="644" spans="11:11" x14ac:dyDescent="0.3">
      <c r="K644" t="str">
        <f>IF($D644="","",IFERROR(INDEX(Mapping!$H$3:$H$32,MATCH($B644,Mapping!$G$3:$G$32,0)),IF(LEFT($F644,3)="P2P",IFERROR(INDEX(Mapping!$E$3:$E$6,MATCH($G644,Mapping!$D$3:$D$6,0)),IFERROR(INDEX(Mapping!$B$3:$B$13,MATCH($J644,Mapping!$A$3:$A$13,0)),"(unmapped)")),IFERROR(INDEX(Mapping!$B$17:$B$22,MATCH($F644,Mapping!$A$17:$A$22,0)),$F644)&amp;" "&amp;IF($G644="Banking","Banking",IFERROR(INDEX(Mapping!$E$17:$E$28,MATCH($J644,Mapping!$D$17:$D$28,0)),"(unmapped)")))))</f>
        <v/>
      </c>
    </row>
    <row r="645" spans="11:11" x14ac:dyDescent="0.3">
      <c r="K645" t="str">
        <f>IF($D645="","",IFERROR(INDEX(Mapping!$H$3:$H$32,MATCH($B645,Mapping!$G$3:$G$32,0)),IF(LEFT($F645,3)="P2P",IFERROR(INDEX(Mapping!$E$3:$E$6,MATCH($G645,Mapping!$D$3:$D$6,0)),IFERROR(INDEX(Mapping!$B$3:$B$13,MATCH($J645,Mapping!$A$3:$A$13,0)),"(unmapped)")),IFERROR(INDEX(Mapping!$B$17:$B$22,MATCH($F645,Mapping!$A$17:$A$22,0)),$F645)&amp;" "&amp;IF($G645="Banking","Banking",IFERROR(INDEX(Mapping!$E$17:$E$28,MATCH($J645,Mapping!$D$17:$D$28,0)),"(unmapped)")))))</f>
        <v/>
      </c>
    </row>
    <row r="646" spans="11:11" x14ac:dyDescent="0.3">
      <c r="K646" t="str">
        <f>IF($D646="","",IFERROR(INDEX(Mapping!$H$3:$H$32,MATCH($B646,Mapping!$G$3:$G$32,0)),IF(LEFT($F646,3)="P2P",IFERROR(INDEX(Mapping!$E$3:$E$6,MATCH($G646,Mapping!$D$3:$D$6,0)),IFERROR(INDEX(Mapping!$B$3:$B$13,MATCH($J646,Mapping!$A$3:$A$13,0)),"(unmapped)")),IFERROR(INDEX(Mapping!$B$17:$B$22,MATCH($F646,Mapping!$A$17:$A$22,0)),$F646)&amp;" "&amp;IF($G646="Banking","Banking",IFERROR(INDEX(Mapping!$E$17:$E$28,MATCH($J646,Mapping!$D$17:$D$28,0)),"(unmapped)")))))</f>
        <v/>
      </c>
    </row>
    <row r="647" spans="11:11" x14ac:dyDescent="0.3">
      <c r="K647" t="str">
        <f>IF($D647="","",IFERROR(INDEX(Mapping!$H$3:$H$32,MATCH($B647,Mapping!$G$3:$G$32,0)),IF(LEFT($F647,3)="P2P",IFERROR(INDEX(Mapping!$E$3:$E$6,MATCH($G647,Mapping!$D$3:$D$6,0)),IFERROR(INDEX(Mapping!$B$3:$B$13,MATCH($J647,Mapping!$A$3:$A$13,0)),"(unmapped)")),IFERROR(INDEX(Mapping!$B$17:$B$22,MATCH($F647,Mapping!$A$17:$A$22,0)),$F647)&amp;" "&amp;IF($G647="Banking","Banking",IFERROR(INDEX(Mapping!$E$17:$E$28,MATCH($J647,Mapping!$D$17:$D$28,0)),"(unmapped)")))))</f>
        <v/>
      </c>
    </row>
    <row r="648" spans="11:11" x14ac:dyDescent="0.3">
      <c r="K648" t="str">
        <f>IF($D648="","",IFERROR(INDEX(Mapping!$H$3:$H$32,MATCH($B648,Mapping!$G$3:$G$32,0)),IF(LEFT($F648,3)="P2P",IFERROR(INDEX(Mapping!$E$3:$E$6,MATCH($G648,Mapping!$D$3:$D$6,0)),IFERROR(INDEX(Mapping!$B$3:$B$13,MATCH($J648,Mapping!$A$3:$A$13,0)),"(unmapped)")),IFERROR(INDEX(Mapping!$B$17:$B$22,MATCH($F648,Mapping!$A$17:$A$22,0)),$F648)&amp;" "&amp;IF($G648="Banking","Banking",IFERROR(INDEX(Mapping!$E$17:$E$28,MATCH($J648,Mapping!$D$17:$D$28,0)),"(unmapped)")))))</f>
        <v/>
      </c>
    </row>
    <row r="649" spans="11:11" x14ac:dyDescent="0.3">
      <c r="K649" t="str">
        <f>IF($D649="","",IFERROR(INDEX(Mapping!$H$3:$H$32,MATCH($B649,Mapping!$G$3:$G$32,0)),IF(LEFT($F649,3)="P2P",IFERROR(INDEX(Mapping!$E$3:$E$6,MATCH($G649,Mapping!$D$3:$D$6,0)),IFERROR(INDEX(Mapping!$B$3:$B$13,MATCH($J649,Mapping!$A$3:$A$13,0)),"(unmapped)")),IFERROR(INDEX(Mapping!$B$17:$B$22,MATCH($F649,Mapping!$A$17:$A$22,0)),$F649)&amp;" "&amp;IF($G649="Banking","Banking",IFERROR(INDEX(Mapping!$E$17:$E$28,MATCH($J649,Mapping!$D$17:$D$28,0)),"(unmapped)")))))</f>
        <v/>
      </c>
    </row>
    <row r="650" spans="11:11" x14ac:dyDescent="0.3">
      <c r="K650" t="str">
        <f>IF($D650="","",IFERROR(INDEX(Mapping!$H$3:$H$32,MATCH($B650,Mapping!$G$3:$G$32,0)),IF(LEFT($F650,3)="P2P",IFERROR(INDEX(Mapping!$E$3:$E$6,MATCH($G650,Mapping!$D$3:$D$6,0)),IFERROR(INDEX(Mapping!$B$3:$B$13,MATCH($J650,Mapping!$A$3:$A$13,0)),"(unmapped)")),IFERROR(INDEX(Mapping!$B$17:$B$22,MATCH($F650,Mapping!$A$17:$A$22,0)),$F650)&amp;" "&amp;IF($G650="Banking","Banking",IFERROR(INDEX(Mapping!$E$17:$E$28,MATCH($J650,Mapping!$D$17:$D$28,0)),"(unmapped)")))))</f>
        <v/>
      </c>
    </row>
    <row r="651" spans="11:11" x14ac:dyDescent="0.3">
      <c r="K651" t="str">
        <f>IF($D651="","",IFERROR(INDEX(Mapping!$H$3:$H$32,MATCH($B651,Mapping!$G$3:$G$32,0)),IF(LEFT($F651,3)="P2P",IFERROR(INDEX(Mapping!$E$3:$E$6,MATCH($G651,Mapping!$D$3:$D$6,0)),IFERROR(INDEX(Mapping!$B$3:$B$13,MATCH($J651,Mapping!$A$3:$A$13,0)),"(unmapped)")),IFERROR(INDEX(Mapping!$B$17:$B$22,MATCH($F651,Mapping!$A$17:$A$22,0)),$F651)&amp;" "&amp;IF($G651="Banking","Banking",IFERROR(INDEX(Mapping!$E$17:$E$28,MATCH($J651,Mapping!$D$17:$D$28,0)),"(unmapped)")))))</f>
        <v/>
      </c>
    </row>
    <row r="652" spans="11:11" x14ac:dyDescent="0.3">
      <c r="K652" t="str">
        <f>IF($D652="","",IFERROR(INDEX(Mapping!$H$3:$H$32,MATCH($B652,Mapping!$G$3:$G$32,0)),IF(LEFT($F652,3)="P2P",IFERROR(INDEX(Mapping!$E$3:$E$6,MATCH($G652,Mapping!$D$3:$D$6,0)),IFERROR(INDEX(Mapping!$B$3:$B$13,MATCH($J652,Mapping!$A$3:$A$13,0)),"(unmapped)")),IFERROR(INDEX(Mapping!$B$17:$B$22,MATCH($F652,Mapping!$A$17:$A$22,0)),$F652)&amp;" "&amp;IF($G652="Banking","Banking",IFERROR(INDEX(Mapping!$E$17:$E$28,MATCH($J652,Mapping!$D$17:$D$28,0)),"(unmapped)")))))</f>
        <v/>
      </c>
    </row>
    <row r="653" spans="11:11" x14ac:dyDescent="0.3">
      <c r="K653" t="str">
        <f>IF($D653="","",IFERROR(INDEX(Mapping!$H$3:$H$32,MATCH($B653,Mapping!$G$3:$G$32,0)),IF(LEFT($F653,3)="P2P",IFERROR(INDEX(Mapping!$E$3:$E$6,MATCH($G653,Mapping!$D$3:$D$6,0)),IFERROR(INDEX(Mapping!$B$3:$B$13,MATCH($J653,Mapping!$A$3:$A$13,0)),"(unmapped)")),IFERROR(INDEX(Mapping!$B$17:$B$22,MATCH($F653,Mapping!$A$17:$A$22,0)),$F653)&amp;" "&amp;IF($G653="Banking","Banking",IFERROR(INDEX(Mapping!$E$17:$E$28,MATCH($J653,Mapping!$D$17:$D$28,0)),"(unmapped)")))))</f>
        <v/>
      </c>
    </row>
    <row r="654" spans="11:11" x14ac:dyDescent="0.3">
      <c r="K654" t="str">
        <f>IF($D654="","",IFERROR(INDEX(Mapping!$H$3:$H$32,MATCH($B654,Mapping!$G$3:$G$32,0)),IF(LEFT($F654,3)="P2P",IFERROR(INDEX(Mapping!$E$3:$E$6,MATCH($G654,Mapping!$D$3:$D$6,0)),IFERROR(INDEX(Mapping!$B$3:$B$13,MATCH($J654,Mapping!$A$3:$A$13,0)),"(unmapped)")),IFERROR(INDEX(Mapping!$B$17:$B$22,MATCH($F654,Mapping!$A$17:$A$22,0)),$F654)&amp;" "&amp;IF($G654="Banking","Banking",IFERROR(INDEX(Mapping!$E$17:$E$28,MATCH($J654,Mapping!$D$17:$D$28,0)),"(unmapped)")))))</f>
        <v/>
      </c>
    </row>
    <row r="655" spans="11:11" x14ac:dyDescent="0.3">
      <c r="K655" t="str">
        <f>IF($D655="","",IFERROR(INDEX(Mapping!$H$3:$H$32,MATCH($B655,Mapping!$G$3:$G$32,0)),IF(LEFT($F655,3)="P2P",IFERROR(INDEX(Mapping!$E$3:$E$6,MATCH($G655,Mapping!$D$3:$D$6,0)),IFERROR(INDEX(Mapping!$B$3:$B$13,MATCH($J655,Mapping!$A$3:$A$13,0)),"(unmapped)")),IFERROR(INDEX(Mapping!$B$17:$B$22,MATCH($F655,Mapping!$A$17:$A$22,0)),$F655)&amp;" "&amp;IF($G655="Banking","Banking",IFERROR(INDEX(Mapping!$E$17:$E$28,MATCH($J655,Mapping!$D$17:$D$28,0)),"(unmapped)")))))</f>
        <v/>
      </c>
    </row>
    <row r="656" spans="11:11" x14ac:dyDescent="0.3">
      <c r="K656" t="str">
        <f>IF($D656="","",IFERROR(INDEX(Mapping!$H$3:$H$32,MATCH($B656,Mapping!$G$3:$G$32,0)),IF(LEFT($F656,3)="P2P",IFERROR(INDEX(Mapping!$E$3:$E$6,MATCH($G656,Mapping!$D$3:$D$6,0)),IFERROR(INDEX(Mapping!$B$3:$B$13,MATCH($J656,Mapping!$A$3:$A$13,0)),"(unmapped)")),IFERROR(INDEX(Mapping!$B$17:$B$22,MATCH($F656,Mapping!$A$17:$A$22,0)),$F656)&amp;" "&amp;IF($G656="Banking","Banking",IFERROR(INDEX(Mapping!$E$17:$E$28,MATCH($J656,Mapping!$D$17:$D$28,0)),"(unmapped)")))))</f>
        <v/>
      </c>
    </row>
    <row r="657" spans="11:11" x14ac:dyDescent="0.3">
      <c r="K657" t="str">
        <f>IF($D657="","",IFERROR(INDEX(Mapping!$H$3:$H$32,MATCH($B657,Mapping!$G$3:$G$32,0)),IF(LEFT($F657,3)="P2P",IFERROR(INDEX(Mapping!$E$3:$E$6,MATCH($G657,Mapping!$D$3:$D$6,0)),IFERROR(INDEX(Mapping!$B$3:$B$13,MATCH($J657,Mapping!$A$3:$A$13,0)),"(unmapped)")),IFERROR(INDEX(Mapping!$B$17:$B$22,MATCH($F657,Mapping!$A$17:$A$22,0)),$F657)&amp;" "&amp;IF($G657="Banking","Banking",IFERROR(INDEX(Mapping!$E$17:$E$28,MATCH($J657,Mapping!$D$17:$D$28,0)),"(unmapped)")))))</f>
        <v/>
      </c>
    </row>
    <row r="658" spans="11:11" x14ac:dyDescent="0.3">
      <c r="K658" t="str">
        <f>IF($D658="","",IFERROR(INDEX(Mapping!$H$3:$H$32,MATCH($B658,Mapping!$G$3:$G$32,0)),IF(LEFT($F658,3)="P2P",IFERROR(INDEX(Mapping!$E$3:$E$6,MATCH($G658,Mapping!$D$3:$D$6,0)),IFERROR(INDEX(Mapping!$B$3:$B$13,MATCH($J658,Mapping!$A$3:$A$13,0)),"(unmapped)")),IFERROR(INDEX(Mapping!$B$17:$B$22,MATCH($F658,Mapping!$A$17:$A$22,0)),$F658)&amp;" "&amp;IF($G658="Banking","Banking",IFERROR(INDEX(Mapping!$E$17:$E$28,MATCH($J658,Mapping!$D$17:$D$28,0)),"(unmapped)")))))</f>
        <v/>
      </c>
    </row>
    <row r="659" spans="11:11" x14ac:dyDescent="0.3">
      <c r="K659" t="str">
        <f>IF($D659="","",IFERROR(INDEX(Mapping!$H$3:$H$32,MATCH($B659,Mapping!$G$3:$G$32,0)),IF(LEFT($F659,3)="P2P",IFERROR(INDEX(Mapping!$E$3:$E$6,MATCH($G659,Mapping!$D$3:$D$6,0)),IFERROR(INDEX(Mapping!$B$3:$B$13,MATCH($J659,Mapping!$A$3:$A$13,0)),"(unmapped)")),IFERROR(INDEX(Mapping!$B$17:$B$22,MATCH($F659,Mapping!$A$17:$A$22,0)),$F659)&amp;" "&amp;IF($G659="Banking","Banking",IFERROR(INDEX(Mapping!$E$17:$E$28,MATCH($J659,Mapping!$D$17:$D$28,0)),"(unmapped)")))))</f>
        <v/>
      </c>
    </row>
    <row r="660" spans="11:11" x14ac:dyDescent="0.3">
      <c r="K660" t="str">
        <f>IF($D660="","",IFERROR(INDEX(Mapping!$H$3:$H$32,MATCH($B660,Mapping!$G$3:$G$32,0)),IF(LEFT($F660,3)="P2P",IFERROR(INDEX(Mapping!$E$3:$E$6,MATCH($G660,Mapping!$D$3:$D$6,0)),IFERROR(INDEX(Mapping!$B$3:$B$13,MATCH($J660,Mapping!$A$3:$A$13,0)),"(unmapped)")),IFERROR(INDEX(Mapping!$B$17:$B$22,MATCH($F660,Mapping!$A$17:$A$22,0)),$F660)&amp;" "&amp;IF($G660="Banking","Banking",IFERROR(INDEX(Mapping!$E$17:$E$28,MATCH($J660,Mapping!$D$17:$D$28,0)),"(unmapped)")))))</f>
        <v/>
      </c>
    </row>
    <row r="661" spans="11:11" x14ac:dyDescent="0.3">
      <c r="K661" t="str">
        <f>IF($D661="","",IFERROR(INDEX(Mapping!$H$3:$H$32,MATCH($B661,Mapping!$G$3:$G$32,0)),IF(LEFT($F661,3)="P2P",IFERROR(INDEX(Mapping!$E$3:$E$6,MATCH($G661,Mapping!$D$3:$D$6,0)),IFERROR(INDEX(Mapping!$B$3:$B$13,MATCH($J661,Mapping!$A$3:$A$13,0)),"(unmapped)")),IFERROR(INDEX(Mapping!$B$17:$B$22,MATCH($F661,Mapping!$A$17:$A$22,0)),$F661)&amp;" "&amp;IF($G661="Banking","Banking",IFERROR(INDEX(Mapping!$E$17:$E$28,MATCH($J661,Mapping!$D$17:$D$28,0)),"(unmapped)")))))</f>
        <v/>
      </c>
    </row>
    <row r="662" spans="11:11" x14ac:dyDescent="0.3">
      <c r="K662" t="str">
        <f>IF($D662="","",IFERROR(INDEX(Mapping!$H$3:$H$32,MATCH($B662,Mapping!$G$3:$G$32,0)),IF(LEFT($F662,3)="P2P",IFERROR(INDEX(Mapping!$E$3:$E$6,MATCH($G662,Mapping!$D$3:$D$6,0)),IFERROR(INDEX(Mapping!$B$3:$B$13,MATCH($J662,Mapping!$A$3:$A$13,0)),"(unmapped)")),IFERROR(INDEX(Mapping!$B$17:$B$22,MATCH($F662,Mapping!$A$17:$A$22,0)),$F662)&amp;" "&amp;IF($G662="Banking","Banking",IFERROR(INDEX(Mapping!$E$17:$E$28,MATCH($J662,Mapping!$D$17:$D$28,0)),"(unmapped)")))))</f>
        <v/>
      </c>
    </row>
    <row r="663" spans="11:11" x14ac:dyDescent="0.3">
      <c r="K663" t="str">
        <f>IF($D663="","",IFERROR(INDEX(Mapping!$H$3:$H$32,MATCH($B663,Mapping!$G$3:$G$32,0)),IF(LEFT($F663,3)="P2P",IFERROR(INDEX(Mapping!$E$3:$E$6,MATCH($G663,Mapping!$D$3:$D$6,0)),IFERROR(INDEX(Mapping!$B$3:$B$13,MATCH($J663,Mapping!$A$3:$A$13,0)),"(unmapped)")),IFERROR(INDEX(Mapping!$B$17:$B$22,MATCH($F663,Mapping!$A$17:$A$22,0)),$F663)&amp;" "&amp;IF($G663="Banking","Banking",IFERROR(INDEX(Mapping!$E$17:$E$28,MATCH($J663,Mapping!$D$17:$D$28,0)),"(unmapped)")))))</f>
        <v/>
      </c>
    </row>
    <row r="664" spans="11:11" x14ac:dyDescent="0.3">
      <c r="K664" t="str">
        <f>IF($D664="","",IFERROR(INDEX(Mapping!$H$3:$H$32,MATCH($B664,Mapping!$G$3:$G$32,0)),IF(LEFT($F664,3)="P2P",IFERROR(INDEX(Mapping!$E$3:$E$6,MATCH($G664,Mapping!$D$3:$D$6,0)),IFERROR(INDEX(Mapping!$B$3:$B$13,MATCH($J664,Mapping!$A$3:$A$13,0)),"(unmapped)")),IFERROR(INDEX(Mapping!$B$17:$B$22,MATCH($F664,Mapping!$A$17:$A$22,0)),$F664)&amp;" "&amp;IF($G664="Banking","Banking",IFERROR(INDEX(Mapping!$E$17:$E$28,MATCH($J664,Mapping!$D$17:$D$28,0)),"(unmapped)")))))</f>
        <v/>
      </c>
    </row>
    <row r="665" spans="11:11" x14ac:dyDescent="0.3">
      <c r="K665" t="str">
        <f>IF($D665="","",IFERROR(INDEX(Mapping!$H$3:$H$32,MATCH($B665,Mapping!$G$3:$G$32,0)),IF(LEFT($F665,3)="P2P",IFERROR(INDEX(Mapping!$E$3:$E$6,MATCH($G665,Mapping!$D$3:$D$6,0)),IFERROR(INDEX(Mapping!$B$3:$B$13,MATCH($J665,Mapping!$A$3:$A$13,0)),"(unmapped)")),IFERROR(INDEX(Mapping!$B$17:$B$22,MATCH($F665,Mapping!$A$17:$A$22,0)),$F665)&amp;" "&amp;IF($G665="Banking","Banking",IFERROR(INDEX(Mapping!$E$17:$E$28,MATCH($J665,Mapping!$D$17:$D$28,0)),"(unmapped)")))))</f>
        <v/>
      </c>
    </row>
    <row r="666" spans="11:11" x14ac:dyDescent="0.3">
      <c r="K666" t="str">
        <f>IF($D666="","",IFERROR(INDEX(Mapping!$H$3:$H$32,MATCH($B666,Mapping!$G$3:$G$32,0)),IF(LEFT($F666,3)="P2P",IFERROR(INDEX(Mapping!$E$3:$E$6,MATCH($G666,Mapping!$D$3:$D$6,0)),IFERROR(INDEX(Mapping!$B$3:$B$13,MATCH($J666,Mapping!$A$3:$A$13,0)),"(unmapped)")),IFERROR(INDEX(Mapping!$B$17:$B$22,MATCH($F666,Mapping!$A$17:$A$22,0)),$F666)&amp;" "&amp;IF($G666="Banking","Banking",IFERROR(INDEX(Mapping!$E$17:$E$28,MATCH($J666,Mapping!$D$17:$D$28,0)),"(unmapped)")))))</f>
        <v/>
      </c>
    </row>
    <row r="667" spans="11:11" x14ac:dyDescent="0.3">
      <c r="K667" t="str">
        <f>IF($D667="","",IFERROR(INDEX(Mapping!$H$3:$H$32,MATCH($B667,Mapping!$G$3:$G$32,0)),IF(LEFT($F667,3)="P2P",IFERROR(INDEX(Mapping!$E$3:$E$6,MATCH($G667,Mapping!$D$3:$D$6,0)),IFERROR(INDEX(Mapping!$B$3:$B$13,MATCH($J667,Mapping!$A$3:$A$13,0)),"(unmapped)")),IFERROR(INDEX(Mapping!$B$17:$B$22,MATCH($F667,Mapping!$A$17:$A$22,0)),$F667)&amp;" "&amp;IF($G667="Banking","Banking",IFERROR(INDEX(Mapping!$E$17:$E$28,MATCH($J667,Mapping!$D$17:$D$28,0)),"(unmapped)")))))</f>
        <v/>
      </c>
    </row>
    <row r="668" spans="11:11" x14ac:dyDescent="0.3">
      <c r="K668" t="str">
        <f>IF($D668="","",IFERROR(INDEX(Mapping!$H$3:$H$32,MATCH($B668,Mapping!$G$3:$G$32,0)),IF(LEFT($F668,3)="P2P",IFERROR(INDEX(Mapping!$E$3:$E$6,MATCH($G668,Mapping!$D$3:$D$6,0)),IFERROR(INDEX(Mapping!$B$3:$B$13,MATCH($J668,Mapping!$A$3:$A$13,0)),"(unmapped)")),IFERROR(INDEX(Mapping!$B$17:$B$22,MATCH($F668,Mapping!$A$17:$A$22,0)),$F668)&amp;" "&amp;IF($G668="Banking","Banking",IFERROR(INDEX(Mapping!$E$17:$E$28,MATCH($J668,Mapping!$D$17:$D$28,0)),"(unmapped)")))))</f>
        <v/>
      </c>
    </row>
    <row r="669" spans="11:11" x14ac:dyDescent="0.3">
      <c r="K669" t="str">
        <f>IF($D669="","",IFERROR(INDEX(Mapping!$H$3:$H$32,MATCH($B669,Mapping!$G$3:$G$32,0)),IF(LEFT($F669,3)="P2P",IFERROR(INDEX(Mapping!$E$3:$E$6,MATCH($G669,Mapping!$D$3:$D$6,0)),IFERROR(INDEX(Mapping!$B$3:$B$13,MATCH($J669,Mapping!$A$3:$A$13,0)),"(unmapped)")),IFERROR(INDEX(Mapping!$B$17:$B$22,MATCH($F669,Mapping!$A$17:$A$22,0)),$F669)&amp;" "&amp;IF($G669="Banking","Banking",IFERROR(INDEX(Mapping!$E$17:$E$28,MATCH($J669,Mapping!$D$17:$D$28,0)),"(unmapped)")))))</f>
        <v/>
      </c>
    </row>
    <row r="670" spans="11:11" x14ac:dyDescent="0.3">
      <c r="K670" t="str">
        <f>IF($D670="","",IFERROR(INDEX(Mapping!$H$3:$H$32,MATCH($B670,Mapping!$G$3:$G$32,0)),IF(LEFT($F670,3)="P2P",IFERROR(INDEX(Mapping!$E$3:$E$6,MATCH($G670,Mapping!$D$3:$D$6,0)),IFERROR(INDEX(Mapping!$B$3:$B$13,MATCH($J670,Mapping!$A$3:$A$13,0)),"(unmapped)")),IFERROR(INDEX(Mapping!$B$17:$B$22,MATCH($F670,Mapping!$A$17:$A$22,0)),$F670)&amp;" "&amp;IF($G670="Banking","Banking",IFERROR(INDEX(Mapping!$E$17:$E$28,MATCH($J670,Mapping!$D$17:$D$28,0)),"(unmapped)")))))</f>
        <v/>
      </c>
    </row>
    <row r="671" spans="11:11" x14ac:dyDescent="0.3">
      <c r="K671" t="str">
        <f>IF($D671="","",IFERROR(INDEX(Mapping!$H$3:$H$32,MATCH($B671,Mapping!$G$3:$G$32,0)),IF(LEFT($F671,3)="P2P",IFERROR(INDEX(Mapping!$E$3:$E$6,MATCH($G671,Mapping!$D$3:$D$6,0)),IFERROR(INDEX(Mapping!$B$3:$B$13,MATCH($J671,Mapping!$A$3:$A$13,0)),"(unmapped)")),IFERROR(INDEX(Mapping!$B$17:$B$22,MATCH($F671,Mapping!$A$17:$A$22,0)),$F671)&amp;" "&amp;IF($G671="Banking","Banking",IFERROR(INDEX(Mapping!$E$17:$E$28,MATCH($J671,Mapping!$D$17:$D$28,0)),"(unmapped)")))))</f>
        <v/>
      </c>
    </row>
    <row r="672" spans="11:11" x14ac:dyDescent="0.3">
      <c r="K672" t="str">
        <f>IF($D672="","",IFERROR(INDEX(Mapping!$H$3:$H$32,MATCH($B672,Mapping!$G$3:$G$32,0)),IF(LEFT($F672,3)="P2P",IFERROR(INDEX(Mapping!$E$3:$E$6,MATCH($G672,Mapping!$D$3:$D$6,0)),IFERROR(INDEX(Mapping!$B$3:$B$13,MATCH($J672,Mapping!$A$3:$A$13,0)),"(unmapped)")),IFERROR(INDEX(Mapping!$B$17:$B$22,MATCH($F672,Mapping!$A$17:$A$22,0)),$F672)&amp;" "&amp;IF($G672="Banking","Banking",IFERROR(INDEX(Mapping!$E$17:$E$28,MATCH($J672,Mapping!$D$17:$D$28,0)),"(unmapped)")))))</f>
        <v/>
      </c>
    </row>
    <row r="673" spans="11:11" x14ac:dyDescent="0.3">
      <c r="K673" t="str">
        <f>IF($D673="","",IFERROR(INDEX(Mapping!$H$3:$H$32,MATCH($B673,Mapping!$G$3:$G$32,0)),IF(LEFT($F673,3)="P2P",IFERROR(INDEX(Mapping!$E$3:$E$6,MATCH($G673,Mapping!$D$3:$D$6,0)),IFERROR(INDEX(Mapping!$B$3:$B$13,MATCH($J673,Mapping!$A$3:$A$13,0)),"(unmapped)")),IFERROR(INDEX(Mapping!$B$17:$B$22,MATCH($F673,Mapping!$A$17:$A$22,0)),$F673)&amp;" "&amp;IF($G673="Banking","Banking",IFERROR(INDEX(Mapping!$E$17:$E$28,MATCH($J673,Mapping!$D$17:$D$28,0)),"(unmapped)")))))</f>
        <v/>
      </c>
    </row>
    <row r="674" spans="11:11" x14ac:dyDescent="0.3">
      <c r="K674" t="str">
        <f>IF($D674="","",IFERROR(INDEX(Mapping!$H$3:$H$32,MATCH($B674,Mapping!$G$3:$G$32,0)),IF(LEFT($F674,3)="P2P",IFERROR(INDEX(Mapping!$E$3:$E$6,MATCH($G674,Mapping!$D$3:$D$6,0)),IFERROR(INDEX(Mapping!$B$3:$B$13,MATCH($J674,Mapping!$A$3:$A$13,0)),"(unmapped)")),IFERROR(INDEX(Mapping!$B$17:$B$22,MATCH($F674,Mapping!$A$17:$A$22,0)),$F674)&amp;" "&amp;IF($G674="Banking","Banking",IFERROR(INDEX(Mapping!$E$17:$E$28,MATCH($J674,Mapping!$D$17:$D$28,0)),"(unmapped)")))))</f>
        <v/>
      </c>
    </row>
    <row r="675" spans="11:11" x14ac:dyDescent="0.3">
      <c r="K675" t="str">
        <f>IF($D675="","",IFERROR(INDEX(Mapping!$H$3:$H$32,MATCH($B675,Mapping!$G$3:$G$32,0)),IF(LEFT($F675,3)="P2P",IFERROR(INDEX(Mapping!$E$3:$E$6,MATCH($G675,Mapping!$D$3:$D$6,0)),IFERROR(INDEX(Mapping!$B$3:$B$13,MATCH($J675,Mapping!$A$3:$A$13,0)),"(unmapped)")),IFERROR(INDEX(Mapping!$B$17:$B$22,MATCH($F675,Mapping!$A$17:$A$22,0)),$F675)&amp;" "&amp;IF($G675="Banking","Banking",IFERROR(INDEX(Mapping!$E$17:$E$28,MATCH($J675,Mapping!$D$17:$D$28,0)),"(unmapped)")))))</f>
        <v/>
      </c>
    </row>
    <row r="676" spans="11:11" x14ac:dyDescent="0.3">
      <c r="K676" t="str">
        <f>IF($D676="","",IFERROR(INDEX(Mapping!$H$3:$H$32,MATCH($B676,Mapping!$G$3:$G$32,0)),IF(LEFT($F676,3)="P2P",IFERROR(INDEX(Mapping!$E$3:$E$6,MATCH($G676,Mapping!$D$3:$D$6,0)),IFERROR(INDEX(Mapping!$B$3:$B$13,MATCH($J676,Mapping!$A$3:$A$13,0)),"(unmapped)")),IFERROR(INDEX(Mapping!$B$17:$B$22,MATCH($F676,Mapping!$A$17:$A$22,0)),$F676)&amp;" "&amp;IF($G676="Banking","Banking",IFERROR(INDEX(Mapping!$E$17:$E$28,MATCH($J676,Mapping!$D$17:$D$28,0)),"(unmapped)")))))</f>
        <v/>
      </c>
    </row>
    <row r="677" spans="11:11" x14ac:dyDescent="0.3">
      <c r="K677" t="str">
        <f>IF($D677="","",IFERROR(INDEX(Mapping!$H$3:$H$32,MATCH($B677,Mapping!$G$3:$G$32,0)),IF(LEFT($F677,3)="P2P",IFERROR(INDEX(Mapping!$E$3:$E$6,MATCH($G677,Mapping!$D$3:$D$6,0)),IFERROR(INDEX(Mapping!$B$3:$B$13,MATCH($J677,Mapping!$A$3:$A$13,0)),"(unmapped)")),IFERROR(INDEX(Mapping!$B$17:$B$22,MATCH($F677,Mapping!$A$17:$A$22,0)),$F677)&amp;" "&amp;IF($G677="Banking","Banking",IFERROR(INDEX(Mapping!$E$17:$E$28,MATCH($J677,Mapping!$D$17:$D$28,0)),"(unmapped)")))))</f>
        <v/>
      </c>
    </row>
    <row r="678" spans="11:11" x14ac:dyDescent="0.3">
      <c r="K678" t="str">
        <f>IF($D678="","",IFERROR(INDEX(Mapping!$H$3:$H$32,MATCH($B678,Mapping!$G$3:$G$32,0)),IF(LEFT($F678,3)="P2P",IFERROR(INDEX(Mapping!$E$3:$E$6,MATCH($G678,Mapping!$D$3:$D$6,0)),IFERROR(INDEX(Mapping!$B$3:$B$13,MATCH($J678,Mapping!$A$3:$A$13,0)),"(unmapped)")),IFERROR(INDEX(Mapping!$B$17:$B$22,MATCH($F678,Mapping!$A$17:$A$22,0)),$F678)&amp;" "&amp;IF($G678="Banking","Banking",IFERROR(INDEX(Mapping!$E$17:$E$28,MATCH($J678,Mapping!$D$17:$D$28,0)),"(unmapped)")))))</f>
        <v/>
      </c>
    </row>
    <row r="679" spans="11:11" x14ac:dyDescent="0.3">
      <c r="K679" t="str">
        <f>IF($D679="","",IFERROR(INDEX(Mapping!$H$3:$H$32,MATCH($B679,Mapping!$G$3:$G$32,0)),IF(LEFT($F679,3)="P2P",IFERROR(INDEX(Mapping!$E$3:$E$6,MATCH($G679,Mapping!$D$3:$D$6,0)),IFERROR(INDEX(Mapping!$B$3:$B$13,MATCH($J679,Mapping!$A$3:$A$13,0)),"(unmapped)")),IFERROR(INDEX(Mapping!$B$17:$B$22,MATCH($F679,Mapping!$A$17:$A$22,0)),$F679)&amp;" "&amp;IF($G679="Banking","Banking",IFERROR(INDEX(Mapping!$E$17:$E$28,MATCH($J679,Mapping!$D$17:$D$28,0)),"(unmapped)")))))</f>
        <v/>
      </c>
    </row>
    <row r="680" spans="11:11" x14ac:dyDescent="0.3">
      <c r="K680" t="str">
        <f>IF($D680="","",IFERROR(INDEX(Mapping!$H$3:$H$32,MATCH($B680,Mapping!$G$3:$G$32,0)),IF(LEFT($F680,3)="P2P",IFERROR(INDEX(Mapping!$E$3:$E$6,MATCH($G680,Mapping!$D$3:$D$6,0)),IFERROR(INDEX(Mapping!$B$3:$B$13,MATCH($J680,Mapping!$A$3:$A$13,0)),"(unmapped)")),IFERROR(INDEX(Mapping!$B$17:$B$22,MATCH($F680,Mapping!$A$17:$A$22,0)),$F680)&amp;" "&amp;IF($G680="Banking","Banking",IFERROR(INDEX(Mapping!$E$17:$E$28,MATCH($J680,Mapping!$D$17:$D$28,0)),"(unmapped)")))))</f>
        <v/>
      </c>
    </row>
    <row r="681" spans="11:11" x14ac:dyDescent="0.3">
      <c r="K681" t="str">
        <f>IF($D681="","",IFERROR(INDEX(Mapping!$H$3:$H$32,MATCH($B681,Mapping!$G$3:$G$32,0)),IF(LEFT($F681,3)="P2P",IFERROR(INDEX(Mapping!$E$3:$E$6,MATCH($G681,Mapping!$D$3:$D$6,0)),IFERROR(INDEX(Mapping!$B$3:$B$13,MATCH($J681,Mapping!$A$3:$A$13,0)),"(unmapped)")),IFERROR(INDEX(Mapping!$B$17:$B$22,MATCH($F681,Mapping!$A$17:$A$22,0)),$F681)&amp;" "&amp;IF($G681="Banking","Banking",IFERROR(INDEX(Mapping!$E$17:$E$28,MATCH($J681,Mapping!$D$17:$D$28,0)),"(unmapped)")))))</f>
        <v/>
      </c>
    </row>
    <row r="682" spans="11:11" x14ac:dyDescent="0.3">
      <c r="K682" t="str">
        <f>IF($D682="","",IFERROR(INDEX(Mapping!$H$3:$H$32,MATCH($B682,Mapping!$G$3:$G$32,0)),IF(LEFT($F682,3)="P2P",IFERROR(INDEX(Mapping!$E$3:$E$6,MATCH($G682,Mapping!$D$3:$D$6,0)),IFERROR(INDEX(Mapping!$B$3:$B$13,MATCH($J682,Mapping!$A$3:$A$13,0)),"(unmapped)")),IFERROR(INDEX(Mapping!$B$17:$B$22,MATCH($F682,Mapping!$A$17:$A$22,0)),$F682)&amp;" "&amp;IF($G682="Banking","Banking",IFERROR(INDEX(Mapping!$E$17:$E$28,MATCH($J682,Mapping!$D$17:$D$28,0)),"(unmapped)")))))</f>
        <v/>
      </c>
    </row>
    <row r="683" spans="11:11" x14ac:dyDescent="0.3">
      <c r="K683" t="str">
        <f>IF($D683="","",IFERROR(INDEX(Mapping!$H$3:$H$32,MATCH($B683,Mapping!$G$3:$G$32,0)),IF(LEFT($F683,3)="P2P",IFERROR(INDEX(Mapping!$E$3:$E$6,MATCH($G683,Mapping!$D$3:$D$6,0)),IFERROR(INDEX(Mapping!$B$3:$B$13,MATCH($J683,Mapping!$A$3:$A$13,0)),"(unmapped)")),IFERROR(INDEX(Mapping!$B$17:$B$22,MATCH($F683,Mapping!$A$17:$A$22,0)),$F683)&amp;" "&amp;IF($G683="Banking","Banking",IFERROR(INDEX(Mapping!$E$17:$E$28,MATCH($J683,Mapping!$D$17:$D$28,0)),"(unmapped)")))))</f>
        <v/>
      </c>
    </row>
    <row r="684" spans="11:11" x14ac:dyDescent="0.3">
      <c r="K684" t="str">
        <f>IF($D684="","",IFERROR(INDEX(Mapping!$H$3:$H$32,MATCH($B684,Mapping!$G$3:$G$32,0)),IF(LEFT($F684,3)="P2P",IFERROR(INDEX(Mapping!$E$3:$E$6,MATCH($G684,Mapping!$D$3:$D$6,0)),IFERROR(INDEX(Mapping!$B$3:$B$13,MATCH($J684,Mapping!$A$3:$A$13,0)),"(unmapped)")),IFERROR(INDEX(Mapping!$B$17:$B$22,MATCH($F684,Mapping!$A$17:$A$22,0)),$F684)&amp;" "&amp;IF($G684="Banking","Banking",IFERROR(INDEX(Mapping!$E$17:$E$28,MATCH($J684,Mapping!$D$17:$D$28,0)),"(unmapped)")))))</f>
        <v/>
      </c>
    </row>
    <row r="685" spans="11:11" x14ac:dyDescent="0.3">
      <c r="K685" t="str">
        <f>IF($D685="","",IFERROR(INDEX(Mapping!$H$3:$H$32,MATCH($B685,Mapping!$G$3:$G$32,0)),IF(LEFT($F685,3)="P2P",IFERROR(INDEX(Mapping!$E$3:$E$6,MATCH($G685,Mapping!$D$3:$D$6,0)),IFERROR(INDEX(Mapping!$B$3:$B$13,MATCH($J685,Mapping!$A$3:$A$13,0)),"(unmapped)")),IFERROR(INDEX(Mapping!$B$17:$B$22,MATCH($F685,Mapping!$A$17:$A$22,0)),$F685)&amp;" "&amp;IF($G685="Banking","Banking",IFERROR(INDEX(Mapping!$E$17:$E$28,MATCH($J685,Mapping!$D$17:$D$28,0)),"(unmapped)")))))</f>
        <v/>
      </c>
    </row>
    <row r="686" spans="11:11" x14ac:dyDescent="0.3">
      <c r="K686" t="str">
        <f>IF($D686="","",IFERROR(INDEX(Mapping!$H$3:$H$32,MATCH($B686,Mapping!$G$3:$G$32,0)),IF(LEFT($F686,3)="P2P",IFERROR(INDEX(Mapping!$E$3:$E$6,MATCH($G686,Mapping!$D$3:$D$6,0)),IFERROR(INDEX(Mapping!$B$3:$B$13,MATCH($J686,Mapping!$A$3:$A$13,0)),"(unmapped)")),IFERROR(INDEX(Mapping!$B$17:$B$22,MATCH($F686,Mapping!$A$17:$A$22,0)),$F686)&amp;" "&amp;IF($G686="Banking","Banking",IFERROR(INDEX(Mapping!$E$17:$E$28,MATCH($J686,Mapping!$D$17:$D$28,0)),"(unmapped)")))))</f>
        <v/>
      </c>
    </row>
    <row r="687" spans="11:11" x14ac:dyDescent="0.3">
      <c r="K687" t="str">
        <f>IF($D687="","",IFERROR(INDEX(Mapping!$H$3:$H$32,MATCH($B687,Mapping!$G$3:$G$32,0)),IF(LEFT($F687,3)="P2P",IFERROR(INDEX(Mapping!$E$3:$E$6,MATCH($G687,Mapping!$D$3:$D$6,0)),IFERROR(INDEX(Mapping!$B$3:$B$13,MATCH($J687,Mapping!$A$3:$A$13,0)),"(unmapped)")),IFERROR(INDEX(Mapping!$B$17:$B$22,MATCH($F687,Mapping!$A$17:$A$22,0)),$F687)&amp;" "&amp;IF($G687="Banking","Banking",IFERROR(INDEX(Mapping!$E$17:$E$28,MATCH($J687,Mapping!$D$17:$D$28,0)),"(unmapped)")))))</f>
        <v/>
      </c>
    </row>
    <row r="688" spans="11:11" x14ac:dyDescent="0.3">
      <c r="K688" t="str">
        <f>IF($D688="","",IFERROR(INDEX(Mapping!$H$3:$H$32,MATCH($B688,Mapping!$G$3:$G$32,0)),IF(LEFT($F688,3)="P2P",IFERROR(INDEX(Mapping!$E$3:$E$6,MATCH($G688,Mapping!$D$3:$D$6,0)),IFERROR(INDEX(Mapping!$B$3:$B$13,MATCH($J688,Mapping!$A$3:$A$13,0)),"(unmapped)")),IFERROR(INDEX(Mapping!$B$17:$B$22,MATCH($F688,Mapping!$A$17:$A$22,0)),$F688)&amp;" "&amp;IF($G688="Banking","Banking",IFERROR(INDEX(Mapping!$E$17:$E$28,MATCH($J688,Mapping!$D$17:$D$28,0)),"(unmapped)")))))</f>
        <v/>
      </c>
    </row>
    <row r="689" spans="11:11" x14ac:dyDescent="0.3">
      <c r="K689" t="str">
        <f>IF($D689="","",IFERROR(INDEX(Mapping!$H$3:$H$32,MATCH($B689,Mapping!$G$3:$G$32,0)),IF(LEFT($F689,3)="P2P",IFERROR(INDEX(Mapping!$E$3:$E$6,MATCH($G689,Mapping!$D$3:$D$6,0)),IFERROR(INDEX(Mapping!$B$3:$B$13,MATCH($J689,Mapping!$A$3:$A$13,0)),"(unmapped)")),IFERROR(INDEX(Mapping!$B$17:$B$22,MATCH($F689,Mapping!$A$17:$A$22,0)),$F689)&amp;" "&amp;IF($G689="Banking","Banking",IFERROR(INDEX(Mapping!$E$17:$E$28,MATCH($J689,Mapping!$D$17:$D$28,0)),"(unmapped)")))))</f>
        <v/>
      </c>
    </row>
    <row r="690" spans="11:11" x14ac:dyDescent="0.3">
      <c r="K690" t="str">
        <f>IF($D690="","",IFERROR(INDEX(Mapping!$H$3:$H$32,MATCH($B690,Mapping!$G$3:$G$32,0)),IF(LEFT($F690,3)="P2P",IFERROR(INDEX(Mapping!$E$3:$E$6,MATCH($G690,Mapping!$D$3:$D$6,0)),IFERROR(INDEX(Mapping!$B$3:$B$13,MATCH($J690,Mapping!$A$3:$A$13,0)),"(unmapped)")),IFERROR(INDEX(Mapping!$B$17:$B$22,MATCH($F690,Mapping!$A$17:$A$22,0)),$F690)&amp;" "&amp;IF($G690="Banking","Banking",IFERROR(INDEX(Mapping!$E$17:$E$28,MATCH($J690,Mapping!$D$17:$D$28,0)),"(unmapped)")))))</f>
        <v/>
      </c>
    </row>
    <row r="691" spans="11:11" x14ac:dyDescent="0.3">
      <c r="K691" t="str">
        <f>IF($D691="","",IFERROR(INDEX(Mapping!$H$3:$H$32,MATCH($B691,Mapping!$G$3:$G$32,0)),IF(LEFT($F691,3)="P2P",IFERROR(INDEX(Mapping!$E$3:$E$6,MATCH($G691,Mapping!$D$3:$D$6,0)),IFERROR(INDEX(Mapping!$B$3:$B$13,MATCH($J691,Mapping!$A$3:$A$13,0)),"(unmapped)")),IFERROR(INDEX(Mapping!$B$17:$B$22,MATCH($F691,Mapping!$A$17:$A$22,0)),$F691)&amp;" "&amp;IF($G691="Banking","Banking",IFERROR(INDEX(Mapping!$E$17:$E$28,MATCH($J691,Mapping!$D$17:$D$28,0)),"(unmapped)")))))</f>
        <v/>
      </c>
    </row>
    <row r="692" spans="11:11" x14ac:dyDescent="0.3">
      <c r="K692" t="str">
        <f>IF($D692="","",IFERROR(INDEX(Mapping!$H$3:$H$32,MATCH($B692,Mapping!$G$3:$G$32,0)),IF(LEFT($F692,3)="P2P",IFERROR(INDEX(Mapping!$E$3:$E$6,MATCH($G692,Mapping!$D$3:$D$6,0)),IFERROR(INDEX(Mapping!$B$3:$B$13,MATCH($J692,Mapping!$A$3:$A$13,0)),"(unmapped)")),IFERROR(INDEX(Mapping!$B$17:$B$22,MATCH($F692,Mapping!$A$17:$A$22,0)),$F692)&amp;" "&amp;IF($G692="Banking","Banking",IFERROR(INDEX(Mapping!$E$17:$E$28,MATCH($J692,Mapping!$D$17:$D$28,0)),"(unmapped)")))))</f>
        <v/>
      </c>
    </row>
    <row r="693" spans="11:11" x14ac:dyDescent="0.3">
      <c r="K693" t="str">
        <f>IF($D693="","",IFERROR(INDEX(Mapping!$H$3:$H$32,MATCH($B693,Mapping!$G$3:$G$32,0)),IF(LEFT($F693,3)="P2P",IFERROR(INDEX(Mapping!$E$3:$E$6,MATCH($G693,Mapping!$D$3:$D$6,0)),IFERROR(INDEX(Mapping!$B$3:$B$13,MATCH($J693,Mapping!$A$3:$A$13,0)),"(unmapped)")),IFERROR(INDEX(Mapping!$B$17:$B$22,MATCH($F693,Mapping!$A$17:$A$22,0)),$F693)&amp;" "&amp;IF($G693="Banking","Banking",IFERROR(INDEX(Mapping!$E$17:$E$28,MATCH($J693,Mapping!$D$17:$D$28,0)),"(unmapped)")))))</f>
        <v/>
      </c>
    </row>
    <row r="694" spans="11:11" x14ac:dyDescent="0.3">
      <c r="K694" t="str">
        <f>IF($D694="","",IFERROR(INDEX(Mapping!$H$3:$H$32,MATCH($B694,Mapping!$G$3:$G$32,0)),IF(LEFT($F694,3)="P2P",IFERROR(INDEX(Mapping!$E$3:$E$6,MATCH($G694,Mapping!$D$3:$D$6,0)),IFERROR(INDEX(Mapping!$B$3:$B$13,MATCH($J694,Mapping!$A$3:$A$13,0)),"(unmapped)")),IFERROR(INDEX(Mapping!$B$17:$B$22,MATCH($F694,Mapping!$A$17:$A$22,0)),$F694)&amp;" "&amp;IF($G694="Banking","Banking",IFERROR(INDEX(Mapping!$E$17:$E$28,MATCH($J694,Mapping!$D$17:$D$28,0)),"(unmapped)")))))</f>
        <v/>
      </c>
    </row>
    <row r="695" spans="11:11" x14ac:dyDescent="0.3">
      <c r="K695" t="str">
        <f>IF($D695="","",IFERROR(INDEX(Mapping!$H$3:$H$32,MATCH($B695,Mapping!$G$3:$G$32,0)),IF(LEFT($F695,3)="P2P",IFERROR(INDEX(Mapping!$E$3:$E$6,MATCH($G695,Mapping!$D$3:$D$6,0)),IFERROR(INDEX(Mapping!$B$3:$B$13,MATCH($J695,Mapping!$A$3:$A$13,0)),"(unmapped)")),IFERROR(INDEX(Mapping!$B$17:$B$22,MATCH($F695,Mapping!$A$17:$A$22,0)),$F695)&amp;" "&amp;IF($G695="Banking","Banking",IFERROR(INDEX(Mapping!$E$17:$E$28,MATCH($J695,Mapping!$D$17:$D$28,0)),"(unmapped)")))))</f>
        <v/>
      </c>
    </row>
    <row r="696" spans="11:11" x14ac:dyDescent="0.3">
      <c r="K696" t="str">
        <f>IF($D696="","",IFERROR(INDEX(Mapping!$H$3:$H$32,MATCH($B696,Mapping!$G$3:$G$32,0)),IF(LEFT($F696,3)="P2P",IFERROR(INDEX(Mapping!$E$3:$E$6,MATCH($G696,Mapping!$D$3:$D$6,0)),IFERROR(INDEX(Mapping!$B$3:$B$13,MATCH($J696,Mapping!$A$3:$A$13,0)),"(unmapped)")),IFERROR(INDEX(Mapping!$B$17:$B$22,MATCH($F696,Mapping!$A$17:$A$22,0)),$F696)&amp;" "&amp;IF($G696="Banking","Banking",IFERROR(INDEX(Mapping!$E$17:$E$28,MATCH($J696,Mapping!$D$17:$D$28,0)),"(unmapped)")))))</f>
        <v/>
      </c>
    </row>
    <row r="697" spans="11:11" x14ac:dyDescent="0.3">
      <c r="K697" t="str">
        <f>IF($D697="","",IFERROR(INDEX(Mapping!$H$3:$H$32,MATCH($B697,Mapping!$G$3:$G$32,0)),IF(LEFT($F697,3)="P2P",IFERROR(INDEX(Mapping!$E$3:$E$6,MATCH($G697,Mapping!$D$3:$D$6,0)),IFERROR(INDEX(Mapping!$B$3:$B$13,MATCH($J697,Mapping!$A$3:$A$13,0)),"(unmapped)")),IFERROR(INDEX(Mapping!$B$17:$B$22,MATCH($F697,Mapping!$A$17:$A$22,0)),$F697)&amp;" "&amp;IF($G697="Banking","Banking",IFERROR(INDEX(Mapping!$E$17:$E$28,MATCH($J697,Mapping!$D$17:$D$28,0)),"(unmapped)")))))</f>
        <v/>
      </c>
    </row>
    <row r="698" spans="11:11" x14ac:dyDescent="0.3">
      <c r="K698" t="str">
        <f>IF($D698="","",IFERROR(INDEX(Mapping!$H$3:$H$32,MATCH($B698,Mapping!$G$3:$G$32,0)),IF(LEFT($F698,3)="P2P",IFERROR(INDEX(Mapping!$E$3:$E$6,MATCH($G698,Mapping!$D$3:$D$6,0)),IFERROR(INDEX(Mapping!$B$3:$B$13,MATCH($J698,Mapping!$A$3:$A$13,0)),"(unmapped)")),IFERROR(INDEX(Mapping!$B$17:$B$22,MATCH($F698,Mapping!$A$17:$A$22,0)),$F698)&amp;" "&amp;IF($G698="Banking","Banking",IFERROR(INDEX(Mapping!$E$17:$E$28,MATCH($J698,Mapping!$D$17:$D$28,0)),"(unmapped)")))))</f>
        <v/>
      </c>
    </row>
    <row r="699" spans="11:11" x14ac:dyDescent="0.3">
      <c r="K699" t="str">
        <f>IF($D699="","",IFERROR(INDEX(Mapping!$H$3:$H$32,MATCH($B699,Mapping!$G$3:$G$32,0)),IF(LEFT($F699,3)="P2P",IFERROR(INDEX(Mapping!$E$3:$E$6,MATCH($G699,Mapping!$D$3:$D$6,0)),IFERROR(INDEX(Mapping!$B$3:$B$13,MATCH($J699,Mapping!$A$3:$A$13,0)),"(unmapped)")),IFERROR(INDEX(Mapping!$B$17:$B$22,MATCH($F699,Mapping!$A$17:$A$22,0)),$F699)&amp;" "&amp;IF($G699="Banking","Banking",IFERROR(INDEX(Mapping!$E$17:$E$28,MATCH($J699,Mapping!$D$17:$D$28,0)),"(unmapped)")))))</f>
        <v/>
      </c>
    </row>
    <row r="700" spans="11:11" x14ac:dyDescent="0.3">
      <c r="K700" t="str">
        <f>IF($D700="","",IFERROR(INDEX(Mapping!$H$3:$H$32,MATCH($B700,Mapping!$G$3:$G$32,0)),IF(LEFT($F700,3)="P2P",IFERROR(INDEX(Mapping!$E$3:$E$6,MATCH($G700,Mapping!$D$3:$D$6,0)),IFERROR(INDEX(Mapping!$B$3:$B$13,MATCH($J700,Mapping!$A$3:$A$13,0)),"(unmapped)")),IFERROR(INDEX(Mapping!$B$17:$B$22,MATCH($F700,Mapping!$A$17:$A$22,0)),$F700)&amp;" "&amp;IF($G700="Banking","Banking",IFERROR(INDEX(Mapping!$E$17:$E$28,MATCH($J700,Mapping!$D$17:$D$28,0)),"(unmapped)")))))</f>
        <v/>
      </c>
    </row>
    <row r="701" spans="11:11" x14ac:dyDescent="0.3">
      <c r="K701" t="str">
        <f>IF($D701="","",IFERROR(INDEX(Mapping!$H$3:$H$32,MATCH($B701,Mapping!$G$3:$G$32,0)),IF(LEFT($F701,3)="P2P",IFERROR(INDEX(Mapping!$E$3:$E$6,MATCH($G701,Mapping!$D$3:$D$6,0)),IFERROR(INDEX(Mapping!$B$3:$B$13,MATCH($J701,Mapping!$A$3:$A$13,0)),"(unmapped)")),IFERROR(INDEX(Mapping!$B$17:$B$22,MATCH($F701,Mapping!$A$17:$A$22,0)),$F701)&amp;" "&amp;IF($G701="Banking","Banking",IFERROR(INDEX(Mapping!$E$17:$E$28,MATCH($J701,Mapping!$D$17:$D$28,0)),"(unmapped)")))))</f>
        <v/>
      </c>
    </row>
    <row r="702" spans="11:11" x14ac:dyDescent="0.3">
      <c r="K702" t="str">
        <f>IF($D702="","",IFERROR(INDEX(Mapping!$H$3:$H$32,MATCH($B702,Mapping!$G$3:$G$32,0)),IF(LEFT($F702,3)="P2P",IFERROR(INDEX(Mapping!$E$3:$E$6,MATCH($G702,Mapping!$D$3:$D$6,0)),IFERROR(INDEX(Mapping!$B$3:$B$13,MATCH($J702,Mapping!$A$3:$A$13,0)),"(unmapped)")),IFERROR(INDEX(Mapping!$B$17:$B$22,MATCH($F702,Mapping!$A$17:$A$22,0)),$F702)&amp;" "&amp;IF($G702="Banking","Banking",IFERROR(INDEX(Mapping!$E$17:$E$28,MATCH($J702,Mapping!$D$17:$D$28,0)),"(unmapped)")))))</f>
        <v/>
      </c>
    </row>
    <row r="703" spans="11:11" x14ac:dyDescent="0.3">
      <c r="K703" t="str">
        <f>IF($D703="","",IFERROR(INDEX(Mapping!$H$3:$H$32,MATCH($B703,Mapping!$G$3:$G$32,0)),IF(LEFT($F703,3)="P2P",IFERROR(INDEX(Mapping!$E$3:$E$6,MATCH($G703,Mapping!$D$3:$D$6,0)),IFERROR(INDEX(Mapping!$B$3:$B$13,MATCH($J703,Mapping!$A$3:$A$13,0)),"(unmapped)")),IFERROR(INDEX(Mapping!$B$17:$B$22,MATCH($F703,Mapping!$A$17:$A$22,0)),$F703)&amp;" "&amp;IF($G703="Banking","Banking",IFERROR(INDEX(Mapping!$E$17:$E$28,MATCH($J703,Mapping!$D$17:$D$28,0)),"(unmapped)")))))</f>
        <v/>
      </c>
    </row>
    <row r="704" spans="11:11" x14ac:dyDescent="0.3">
      <c r="K704" t="str">
        <f>IF($D704="","",IFERROR(INDEX(Mapping!$H$3:$H$32,MATCH($B704,Mapping!$G$3:$G$32,0)),IF(LEFT($F704,3)="P2P",IFERROR(INDEX(Mapping!$E$3:$E$6,MATCH($G704,Mapping!$D$3:$D$6,0)),IFERROR(INDEX(Mapping!$B$3:$B$13,MATCH($J704,Mapping!$A$3:$A$13,0)),"(unmapped)")),IFERROR(INDEX(Mapping!$B$17:$B$22,MATCH($F704,Mapping!$A$17:$A$22,0)),$F704)&amp;" "&amp;IF($G704="Banking","Banking",IFERROR(INDEX(Mapping!$E$17:$E$28,MATCH($J704,Mapping!$D$17:$D$28,0)),"(unmapped)")))))</f>
        <v/>
      </c>
    </row>
    <row r="705" spans="11:11" x14ac:dyDescent="0.3">
      <c r="K705" t="str">
        <f>IF($D705="","",IFERROR(INDEX(Mapping!$H$3:$H$32,MATCH($B705,Mapping!$G$3:$G$32,0)),IF(LEFT($F705,3)="P2P",IFERROR(INDEX(Mapping!$E$3:$E$6,MATCH($G705,Mapping!$D$3:$D$6,0)),IFERROR(INDEX(Mapping!$B$3:$B$13,MATCH($J705,Mapping!$A$3:$A$13,0)),"(unmapped)")),IFERROR(INDEX(Mapping!$B$17:$B$22,MATCH($F705,Mapping!$A$17:$A$22,0)),$F705)&amp;" "&amp;IF($G705="Banking","Banking",IFERROR(INDEX(Mapping!$E$17:$E$28,MATCH($J705,Mapping!$D$17:$D$28,0)),"(unmapped)")))))</f>
        <v/>
      </c>
    </row>
    <row r="706" spans="11:11" x14ac:dyDescent="0.3">
      <c r="K706" t="str">
        <f>IF($D706="","",IFERROR(INDEX(Mapping!$H$3:$H$32,MATCH($B706,Mapping!$G$3:$G$32,0)),IF(LEFT($F706,3)="P2P",IFERROR(INDEX(Mapping!$E$3:$E$6,MATCH($G706,Mapping!$D$3:$D$6,0)),IFERROR(INDEX(Mapping!$B$3:$B$13,MATCH($J706,Mapping!$A$3:$A$13,0)),"(unmapped)")),IFERROR(INDEX(Mapping!$B$17:$B$22,MATCH($F706,Mapping!$A$17:$A$22,0)),$F706)&amp;" "&amp;IF($G706="Banking","Banking",IFERROR(INDEX(Mapping!$E$17:$E$28,MATCH($J706,Mapping!$D$17:$D$28,0)),"(unmapped)")))))</f>
        <v/>
      </c>
    </row>
    <row r="707" spans="11:11" x14ac:dyDescent="0.3">
      <c r="K707" t="str">
        <f>IF($D707="","",IFERROR(INDEX(Mapping!$H$3:$H$32,MATCH($B707,Mapping!$G$3:$G$32,0)),IF(LEFT($F707,3)="P2P",IFERROR(INDEX(Mapping!$E$3:$E$6,MATCH($G707,Mapping!$D$3:$D$6,0)),IFERROR(INDEX(Mapping!$B$3:$B$13,MATCH($J707,Mapping!$A$3:$A$13,0)),"(unmapped)")),IFERROR(INDEX(Mapping!$B$17:$B$22,MATCH($F707,Mapping!$A$17:$A$22,0)),$F707)&amp;" "&amp;IF($G707="Banking","Banking",IFERROR(INDEX(Mapping!$E$17:$E$28,MATCH($J707,Mapping!$D$17:$D$28,0)),"(unmapped)")))))</f>
        <v/>
      </c>
    </row>
    <row r="708" spans="11:11" x14ac:dyDescent="0.3">
      <c r="K708" t="str">
        <f>IF($D708="","",IFERROR(INDEX(Mapping!$H$3:$H$32,MATCH($B708,Mapping!$G$3:$G$32,0)),IF(LEFT($F708,3)="P2P",IFERROR(INDEX(Mapping!$E$3:$E$6,MATCH($G708,Mapping!$D$3:$D$6,0)),IFERROR(INDEX(Mapping!$B$3:$B$13,MATCH($J708,Mapping!$A$3:$A$13,0)),"(unmapped)")),IFERROR(INDEX(Mapping!$B$17:$B$22,MATCH($F708,Mapping!$A$17:$A$22,0)),$F708)&amp;" "&amp;IF($G708="Banking","Banking",IFERROR(INDEX(Mapping!$E$17:$E$28,MATCH($J708,Mapping!$D$17:$D$28,0)),"(unmapped)")))))</f>
        <v/>
      </c>
    </row>
    <row r="709" spans="11:11" x14ac:dyDescent="0.3">
      <c r="K709" t="str">
        <f>IF($D709="","",IFERROR(INDEX(Mapping!$H$3:$H$32,MATCH($B709,Mapping!$G$3:$G$32,0)),IF(LEFT($F709,3)="P2P",IFERROR(INDEX(Mapping!$E$3:$E$6,MATCH($G709,Mapping!$D$3:$D$6,0)),IFERROR(INDEX(Mapping!$B$3:$B$13,MATCH($J709,Mapping!$A$3:$A$13,0)),"(unmapped)")),IFERROR(INDEX(Mapping!$B$17:$B$22,MATCH($F709,Mapping!$A$17:$A$22,0)),$F709)&amp;" "&amp;IF($G709="Banking","Banking",IFERROR(INDEX(Mapping!$E$17:$E$28,MATCH($J709,Mapping!$D$17:$D$28,0)),"(unmapped)")))))</f>
        <v/>
      </c>
    </row>
    <row r="710" spans="11:11" x14ac:dyDescent="0.3">
      <c r="K710" t="str">
        <f>IF($D710="","",IFERROR(INDEX(Mapping!$H$3:$H$32,MATCH($B710,Mapping!$G$3:$G$32,0)),IF(LEFT($F710,3)="P2P",IFERROR(INDEX(Mapping!$E$3:$E$6,MATCH($G710,Mapping!$D$3:$D$6,0)),IFERROR(INDEX(Mapping!$B$3:$B$13,MATCH($J710,Mapping!$A$3:$A$13,0)),"(unmapped)")),IFERROR(INDEX(Mapping!$B$17:$B$22,MATCH($F710,Mapping!$A$17:$A$22,0)),$F710)&amp;" "&amp;IF($G710="Banking","Banking",IFERROR(INDEX(Mapping!$E$17:$E$28,MATCH($J710,Mapping!$D$17:$D$28,0)),"(unmapped)")))))</f>
        <v/>
      </c>
    </row>
    <row r="711" spans="11:11" x14ac:dyDescent="0.3">
      <c r="K711" t="str">
        <f>IF($D711="","",IFERROR(INDEX(Mapping!$H$3:$H$32,MATCH($B711,Mapping!$G$3:$G$32,0)),IF(LEFT($F711,3)="P2P",IFERROR(INDEX(Mapping!$E$3:$E$6,MATCH($G711,Mapping!$D$3:$D$6,0)),IFERROR(INDEX(Mapping!$B$3:$B$13,MATCH($J711,Mapping!$A$3:$A$13,0)),"(unmapped)")),IFERROR(INDEX(Mapping!$B$17:$B$22,MATCH($F711,Mapping!$A$17:$A$22,0)),$F711)&amp;" "&amp;IF($G711="Banking","Banking",IFERROR(INDEX(Mapping!$E$17:$E$28,MATCH($J711,Mapping!$D$17:$D$28,0)),"(unmapped)")))))</f>
        <v/>
      </c>
    </row>
    <row r="712" spans="11:11" x14ac:dyDescent="0.3">
      <c r="K712" t="str">
        <f>IF($D712="","",IFERROR(INDEX(Mapping!$H$3:$H$32,MATCH($B712,Mapping!$G$3:$G$32,0)),IF(LEFT($F712,3)="P2P",IFERROR(INDEX(Mapping!$E$3:$E$6,MATCH($G712,Mapping!$D$3:$D$6,0)),IFERROR(INDEX(Mapping!$B$3:$B$13,MATCH($J712,Mapping!$A$3:$A$13,0)),"(unmapped)")),IFERROR(INDEX(Mapping!$B$17:$B$22,MATCH($F712,Mapping!$A$17:$A$22,0)),$F712)&amp;" "&amp;IF($G712="Banking","Banking",IFERROR(INDEX(Mapping!$E$17:$E$28,MATCH($J712,Mapping!$D$17:$D$28,0)),"(unmapped)")))))</f>
        <v/>
      </c>
    </row>
    <row r="713" spans="11:11" x14ac:dyDescent="0.3">
      <c r="K713" t="str">
        <f>IF($D713="","",IFERROR(INDEX(Mapping!$H$3:$H$32,MATCH($B713,Mapping!$G$3:$G$32,0)),IF(LEFT($F713,3)="P2P",IFERROR(INDEX(Mapping!$E$3:$E$6,MATCH($G713,Mapping!$D$3:$D$6,0)),IFERROR(INDEX(Mapping!$B$3:$B$13,MATCH($J713,Mapping!$A$3:$A$13,0)),"(unmapped)")),IFERROR(INDEX(Mapping!$B$17:$B$22,MATCH($F713,Mapping!$A$17:$A$22,0)),$F713)&amp;" "&amp;IF($G713="Banking","Banking",IFERROR(INDEX(Mapping!$E$17:$E$28,MATCH($J713,Mapping!$D$17:$D$28,0)),"(unmapped)")))))</f>
        <v/>
      </c>
    </row>
    <row r="714" spans="11:11" x14ac:dyDescent="0.3">
      <c r="K714" t="str">
        <f>IF($D714="","",IFERROR(INDEX(Mapping!$H$3:$H$32,MATCH($B714,Mapping!$G$3:$G$32,0)),IF(LEFT($F714,3)="P2P",IFERROR(INDEX(Mapping!$E$3:$E$6,MATCH($G714,Mapping!$D$3:$D$6,0)),IFERROR(INDEX(Mapping!$B$3:$B$13,MATCH($J714,Mapping!$A$3:$A$13,0)),"(unmapped)")),IFERROR(INDEX(Mapping!$B$17:$B$22,MATCH($F714,Mapping!$A$17:$A$22,0)),$F714)&amp;" "&amp;IF($G714="Banking","Banking",IFERROR(INDEX(Mapping!$E$17:$E$28,MATCH($J714,Mapping!$D$17:$D$28,0)),"(unmapped)")))))</f>
        <v/>
      </c>
    </row>
    <row r="715" spans="11:11" x14ac:dyDescent="0.3">
      <c r="K715" t="str">
        <f>IF($D715="","",IFERROR(INDEX(Mapping!$H$3:$H$32,MATCH($B715,Mapping!$G$3:$G$32,0)),IF(LEFT($F715,3)="P2P",IFERROR(INDEX(Mapping!$E$3:$E$6,MATCH($G715,Mapping!$D$3:$D$6,0)),IFERROR(INDEX(Mapping!$B$3:$B$13,MATCH($J715,Mapping!$A$3:$A$13,0)),"(unmapped)")),IFERROR(INDEX(Mapping!$B$17:$B$22,MATCH($F715,Mapping!$A$17:$A$22,0)),$F715)&amp;" "&amp;IF($G715="Banking","Banking",IFERROR(INDEX(Mapping!$E$17:$E$28,MATCH($J715,Mapping!$D$17:$D$28,0)),"(unmapped)")))))</f>
        <v/>
      </c>
    </row>
    <row r="716" spans="11:11" x14ac:dyDescent="0.3">
      <c r="K716" t="str">
        <f>IF($D716="","",IFERROR(INDEX(Mapping!$H$3:$H$32,MATCH($B716,Mapping!$G$3:$G$32,0)),IF(LEFT($F716,3)="P2P",IFERROR(INDEX(Mapping!$E$3:$E$6,MATCH($G716,Mapping!$D$3:$D$6,0)),IFERROR(INDEX(Mapping!$B$3:$B$13,MATCH($J716,Mapping!$A$3:$A$13,0)),"(unmapped)")),IFERROR(INDEX(Mapping!$B$17:$B$22,MATCH($F716,Mapping!$A$17:$A$22,0)),$F716)&amp;" "&amp;IF($G716="Banking","Banking",IFERROR(INDEX(Mapping!$E$17:$E$28,MATCH($J716,Mapping!$D$17:$D$28,0)),"(unmapped)")))))</f>
        <v/>
      </c>
    </row>
    <row r="717" spans="11:11" x14ac:dyDescent="0.3">
      <c r="K717" t="str">
        <f>IF($D717="","",IFERROR(INDEX(Mapping!$H$3:$H$32,MATCH($B717,Mapping!$G$3:$G$32,0)),IF(LEFT($F717,3)="P2P",IFERROR(INDEX(Mapping!$E$3:$E$6,MATCH($G717,Mapping!$D$3:$D$6,0)),IFERROR(INDEX(Mapping!$B$3:$B$13,MATCH($J717,Mapping!$A$3:$A$13,0)),"(unmapped)")),IFERROR(INDEX(Mapping!$B$17:$B$22,MATCH($F717,Mapping!$A$17:$A$22,0)),$F717)&amp;" "&amp;IF($G717="Banking","Banking",IFERROR(INDEX(Mapping!$E$17:$E$28,MATCH($J717,Mapping!$D$17:$D$28,0)),"(unmapped)")))))</f>
        <v/>
      </c>
    </row>
    <row r="718" spans="11:11" x14ac:dyDescent="0.3">
      <c r="K718" t="str">
        <f>IF($D718="","",IFERROR(INDEX(Mapping!$H$3:$H$32,MATCH($B718,Mapping!$G$3:$G$32,0)),IF(LEFT($F718,3)="P2P",IFERROR(INDEX(Mapping!$E$3:$E$6,MATCH($G718,Mapping!$D$3:$D$6,0)),IFERROR(INDEX(Mapping!$B$3:$B$13,MATCH($J718,Mapping!$A$3:$A$13,0)),"(unmapped)")),IFERROR(INDEX(Mapping!$B$17:$B$22,MATCH($F718,Mapping!$A$17:$A$22,0)),$F718)&amp;" "&amp;IF($G718="Banking","Banking",IFERROR(INDEX(Mapping!$E$17:$E$28,MATCH($J718,Mapping!$D$17:$D$28,0)),"(unmapped)")))))</f>
        <v/>
      </c>
    </row>
    <row r="719" spans="11:11" x14ac:dyDescent="0.3">
      <c r="K719" t="str">
        <f>IF($D719="","",IFERROR(INDEX(Mapping!$H$3:$H$32,MATCH($B719,Mapping!$G$3:$G$32,0)),IF(LEFT($F719,3)="P2P",IFERROR(INDEX(Mapping!$E$3:$E$6,MATCH($G719,Mapping!$D$3:$D$6,0)),IFERROR(INDEX(Mapping!$B$3:$B$13,MATCH($J719,Mapping!$A$3:$A$13,0)),"(unmapped)")),IFERROR(INDEX(Mapping!$B$17:$B$22,MATCH($F719,Mapping!$A$17:$A$22,0)),$F719)&amp;" "&amp;IF($G719="Banking","Banking",IFERROR(INDEX(Mapping!$E$17:$E$28,MATCH($J719,Mapping!$D$17:$D$28,0)),"(unmapped)")))))</f>
        <v/>
      </c>
    </row>
    <row r="720" spans="11:11" x14ac:dyDescent="0.3">
      <c r="K720" t="str">
        <f>IF($D720="","",IFERROR(INDEX(Mapping!$H$3:$H$32,MATCH($B720,Mapping!$G$3:$G$32,0)),IF(LEFT($F720,3)="P2P",IFERROR(INDEX(Mapping!$E$3:$E$6,MATCH($G720,Mapping!$D$3:$D$6,0)),IFERROR(INDEX(Mapping!$B$3:$B$13,MATCH($J720,Mapping!$A$3:$A$13,0)),"(unmapped)")),IFERROR(INDEX(Mapping!$B$17:$B$22,MATCH($F720,Mapping!$A$17:$A$22,0)),$F720)&amp;" "&amp;IF($G720="Banking","Banking",IFERROR(INDEX(Mapping!$E$17:$E$28,MATCH($J720,Mapping!$D$17:$D$28,0)),"(unmapped)")))))</f>
        <v/>
      </c>
    </row>
    <row r="721" spans="11:11" x14ac:dyDescent="0.3">
      <c r="K721" t="str">
        <f>IF($D721="","",IFERROR(INDEX(Mapping!$H$3:$H$32,MATCH($B721,Mapping!$G$3:$G$32,0)),IF(LEFT($F721,3)="P2P",IFERROR(INDEX(Mapping!$E$3:$E$6,MATCH($G721,Mapping!$D$3:$D$6,0)),IFERROR(INDEX(Mapping!$B$3:$B$13,MATCH($J721,Mapping!$A$3:$A$13,0)),"(unmapped)")),IFERROR(INDEX(Mapping!$B$17:$B$22,MATCH($F721,Mapping!$A$17:$A$22,0)),$F721)&amp;" "&amp;IF($G721="Banking","Banking",IFERROR(INDEX(Mapping!$E$17:$E$28,MATCH($J721,Mapping!$D$17:$D$28,0)),"(unmapped)")))))</f>
        <v/>
      </c>
    </row>
    <row r="722" spans="11:11" x14ac:dyDescent="0.3">
      <c r="K722" t="str">
        <f>IF($D722="","",IFERROR(INDEX(Mapping!$H$3:$H$32,MATCH($B722,Mapping!$G$3:$G$32,0)),IF(LEFT($F722,3)="P2P",IFERROR(INDEX(Mapping!$E$3:$E$6,MATCH($G722,Mapping!$D$3:$D$6,0)),IFERROR(INDEX(Mapping!$B$3:$B$13,MATCH($J722,Mapping!$A$3:$A$13,0)),"(unmapped)")),IFERROR(INDEX(Mapping!$B$17:$B$22,MATCH($F722,Mapping!$A$17:$A$22,0)),$F722)&amp;" "&amp;IF($G722="Banking","Banking",IFERROR(INDEX(Mapping!$E$17:$E$28,MATCH($J722,Mapping!$D$17:$D$28,0)),"(unmapped)")))))</f>
        <v/>
      </c>
    </row>
    <row r="723" spans="11:11" x14ac:dyDescent="0.3">
      <c r="K723" t="str">
        <f>IF($D723="","",IFERROR(INDEX(Mapping!$H$3:$H$32,MATCH($B723,Mapping!$G$3:$G$32,0)),IF(LEFT($F723,3)="P2P",IFERROR(INDEX(Mapping!$E$3:$E$6,MATCH($G723,Mapping!$D$3:$D$6,0)),IFERROR(INDEX(Mapping!$B$3:$B$13,MATCH($J723,Mapping!$A$3:$A$13,0)),"(unmapped)")),IFERROR(INDEX(Mapping!$B$17:$B$22,MATCH($F723,Mapping!$A$17:$A$22,0)),$F723)&amp;" "&amp;IF($G723="Banking","Banking",IFERROR(INDEX(Mapping!$E$17:$E$28,MATCH($J723,Mapping!$D$17:$D$28,0)),"(unmapped)")))))</f>
        <v/>
      </c>
    </row>
    <row r="724" spans="11:11" x14ac:dyDescent="0.3">
      <c r="K724" t="str">
        <f>IF($D724="","",IFERROR(INDEX(Mapping!$H$3:$H$32,MATCH($B724,Mapping!$G$3:$G$32,0)),IF(LEFT($F724,3)="P2P",IFERROR(INDEX(Mapping!$E$3:$E$6,MATCH($G724,Mapping!$D$3:$D$6,0)),IFERROR(INDEX(Mapping!$B$3:$B$13,MATCH($J724,Mapping!$A$3:$A$13,0)),"(unmapped)")),IFERROR(INDEX(Mapping!$B$17:$B$22,MATCH($F724,Mapping!$A$17:$A$22,0)),$F724)&amp;" "&amp;IF($G724="Banking","Banking",IFERROR(INDEX(Mapping!$E$17:$E$28,MATCH($J724,Mapping!$D$17:$D$28,0)),"(unmapped)")))))</f>
        <v/>
      </c>
    </row>
    <row r="725" spans="11:11" x14ac:dyDescent="0.3">
      <c r="K725" t="str">
        <f>IF($D725="","",IFERROR(INDEX(Mapping!$H$3:$H$32,MATCH($B725,Mapping!$G$3:$G$32,0)),IF(LEFT($F725,3)="P2P",IFERROR(INDEX(Mapping!$E$3:$E$6,MATCH($G725,Mapping!$D$3:$D$6,0)),IFERROR(INDEX(Mapping!$B$3:$B$13,MATCH($J725,Mapping!$A$3:$A$13,0)),"(unmapped)")),IFERROR(INDEX(Mapping!$B$17:$B$22,MATCH($F725,Mapping!$A$17:$A$22,0)),$F725)&amp;" "&amp;IF($G725="Banking","Banking",IFERROR(INDEX(Mapping!$E$17:$E$28,MATCH($J725,Mapping!$D$17:$D$28,0)),"(unmapped)")))))</f>
        <v/>
      </c>
    </row>
    <row r="726" spans="11:11" x14ac:dyDescent="0.3">
      <c r="K726" t="str">
        <f>IF($D726="","",IFERROR(INDEX(Mapping!$H$3:$H$32,MATCH($B726,Mapping!$G$3:$G$32,0)),IF(LEFT($F726,3)="P2P",IFERROR(INDEX(Mapping!$E$3:$E$6,MATCH($G726,Mapping!$D$3:$D$6,0)),IFERROR(INDEX(Mapping!$B$3:$B$13,MATCH($J726,Mapping!$A$3:$A$13,0)),"(unmapped)")),IFERROR(INDEX(Mapping!$B$17:$B$22,MATCH($F726,Mapping!$A$17:$A$22,0)),$F726)&amp;" "&amp;IF($G726="Banking","Banking",IFERROR(INDEX(Mapping!$E$17:$E$28,MATCH($J726,Mapping!$D$17:$D$28,0)),"(unmapped)")))))</f>
        <v/>
      </c>
    </row>
    <row r="727" spans="11:11" x14ac:dyDescent="0.3">
      <c r="K727" t="str">
        <f>IF($D727="","",IFERROR(INDEX(Mapping!$H$3:$H$32,MATCH($B727,Mapping!$G$3:$G$32,0)),IF(LEFT($F727,3)="P2P",IFERROR(INDEX(Mapping!$E$3:$E$6,MATCH($G727,Mapping!$D$3:$D$6,0)),IFERROR(INDEX(Mapping!$B$3:$B$13,MATCH($J727,Mapping!$A$3:$A$13,0)),"(unmapped)")),IFERROR(INDEX(Mapping!$B$17:$B$22,MATCH($F727,Mapping!$A$17:$A$22,0)),$F727)&amp;" "&amp;IF($G727="Banking","Banking",IFERROR(INDEX(Mapping!$E$17:$E$28,MATCH($J727,Mapping!$D$17:$D$28,0)),"(unmapped)")))))</f>
        <v/>
      </c>
    </row>
    <row r="728" spans="11:11" x14ac:dyDescent="0.3">
      <c r="K728" t="str">
        <f>IF($D728="","",IFERROR(INDEX(Mapping!$H$3:$H$32,MATCH($B728,Mapping!$G$3:$G$32,0)),IF(LEFT($F728,3)="P2P",IFERROR(INDEX(Mapping!$E$3:$E$6,MATCH($G728,Mapping!$D$3:$D$6,0)),IFERROR(INDEX(Mapping!$B$3:$B$13,MATCH($J728,Mapping!$A$3:$A$13,0)),"(unmapped)")),IFERROR(INDEX(Mapping!$B$17:$B$22,MATCH($F728,Mapping!$A$17:$A$22,0)),$F728)&amp;" "&amp;IF($G728="Banking","Banking",IFERROR(INDEX(Mapping!$E$17:$E$28,MATCH($J728,Mapping!$D$17:$D$28,0)),"(unmapped)")))))</f>
        <v/>
      </c>
    </row>
    <row r="729" spans="11:11" x14ac:dyDescent="0.3">
      <c r="K729" t="str">
        <f>IF($D729="","",IFERROR(INDEX(Mapping!$H$3:$H$32,MATCH($B729,Mapping!$G$3:$G$32,0)),IF(LEFT($F729,3)="P2P",IFERROR(INDEX(Mapping!$E$3:$E$6,MATCH($G729,Mapping!$D$3:$D$6,0)),IFERROR(INDEX(Mapping!$B$3:$B$13,MATCH($J729,Mapping!$A$3:$A$13,0)),"(unmapped)")),IFERROR(INDEX(Mapping!$B$17:$B$22,MATCH($F729,Mapping!$A$17:$A$22,0)),$F729)&amp;" "&amp;IF($G729="Banking","Banking",IFERROR(INDEX(Mapping!$E$17:$E$28,MATCH($J729,Mapping!$D$17:$D$28,0)),"(unmapped)")))))</f>
        <v/>
      </c>
    </row>
    <row r="730" spans="11:11" x14ac:dyDescent="0.3">
      <c r="K730" t="str">
        <f>IF($D730="","",IFERROR(INDEX(Mapping!$H$3:$H$32,MATCH($B730,Mapping!$G$3:$G$32,0)),IF(LEFT($F730,3)="P2P",IFERROR(INDEX(Mapping!$E$3:$E$6,MATCH($G730,Mapping!$D$3:$D$6,0)),IFERROR(INDEX(Mapping!$B$3:$B$13,MATCH($J730,Mapping!$A$3:$A$13,0)),"(unmapped)")),IFERROR(INDEX(Mapping!$B$17:$B$22,MATCH($F730,Mapping!$A$17:$A$22,0)),$F730)&amp;" "&amp;IF($G730="Banking","Banking",IFERROR(INDEX(Mapping!$E$17:$E$28,MATCH($J730,Mapping!$D$17:$D$28,0)),"(unmapped)")))))</f>
        <v/>
      </c>
    </row>
    <row r="731" spans="11:11" x14ac:dyDescent="0.3">
      <c r="K731" t="str">
        <f>IF($D731="","",IFERROR(INDEX(Mapping!$H$3:$H$32,MATCH($B731,Mapping!$G$3:$G$32,0)),IF(LEFT($F731,3)="P2P",IFERROR(INDEX(Mapping!$E$3:$E$6,MATCH($G731,Mapping!$D$3:$D$6,0)),IFERROR(INDEX(Mapping!$B$3:$B$13,MATCH($J731,Mapping!$A$3:$A$13,0)),"(unmapped)")),IFERROR(INDEX(Mapping!$B$17:$B$22,MATCH($F731,Mapping!$A$17:$A$22,0)),$F731)&amp;" "&amp;IF($G731="Banking","Banking",IFERROR(INDEX(Mapping!$E$17:$E$28,MATCH($J731,Mapping!$D$17:$D$28,0)),"(unmapped)")))))</f>
        <v/>
      </c>
    </row>
    <row r="732" spans="11:11" x14ac:dyDescent="0.3">
      <c r="K732" t="str">
        <f>IF($D732="","",IFERROR(INDEX(Mapping!$H$3:$H$32,MATCH($B732,Mapping!$G$3:$G$32,0)),IF(LEFT($F732,3)="P2P",IFERROR(INDEX(Mapping!$E$3:$E$6,MATCH($G732,Mapping!$D$3:$D$6,0)),IFERROR(INDEX(Mapping!$B$3:$B$13,MATCH($J732,Mapping!$A$3:$A$13,0)),"(unmapped)")),IFERROR(INDEX(Mapping!$B$17:$B$22,MATCH($F732,Mapping!$A$17:$A$22,0)),$F732)&amp;" "&amp;IF($G732="Banking","Banking",IFERROR(INDEX(Mapping!$E$17:$E$28,MATCH($J732,Mapping!$D$17:$D$28,0)),"(unmapped)")))))</f>
        <v/>
      </c>
    </row>
    <row r="733" spans="11:11" x14ac:dyDescent="0.3">
      <c r="K733" t="str">
        <f>IF($D733="","",IFERROR(INDEX(Mapping!$H$3:$H$32,MATCH($B733,Mapping!$G$3:$G$32,0)),IF(LEFT($F733,3)="P2P",IFERROR(INDEX(Mapping!$E$3:$E$6,MATCH($G733,Mapping!$D$3:$D$6,0)),IFERROR(INDEX(Mapping!$B$3:$B$13,MATCH($J733,Mapping!$A$3:$A$13,0)),"(unmapped)")),IFERROR(INDEX(Mapping!$B$17:$B$22,MATCH($F733,Mapping!$A$17:$A$22,0)),$F733)&amp;" "&amp;IF($G733="Banking","Banking",IFERROR(INDEX(Mapping!$E$17:$E$28,MATCH($J733,Mapping!$D$17:$D$28,0)),"(unmapped)")))))</f>
        <v/>
      </c>
    </row>
    <row r="734" spans="11:11" x14ac:dyDescent="0.3">
      <c r="K734" t="str">
        <f>IF($D734="","",IFERROR(INDEX(Mapping!$H$3:$H$32,MATCH($B734,Mapping!$G$3:$G$32,0)),IF(LEFT($F734,3)="P2P",IFERROR(INDEX(Mapping!$E$3:$E$6,MATCH($G734,Mapping!$D$3:$D$6,0)),IFERROR(INDEX(Mapping!$B$3:$B$13,MATCH($J734,Mapping!$A$3:$A$13,0)),"(unmapped)")),IFERROR(INDEX(Mapping!$B$17:$B$22,MATCH($F734,Mapping!$A$17:$A$22,0)),$F734)&amp;" "&amp;IF($G734="Banking","Banking",IFERROR(INDEX(Mapping!$E$17:$E$28,MATCH($J734,Mapping!$D$17:$D$28,0)),"(unmapped)")))))</f>
        <v/>
      </c>
    </row>
    <row r="735" spans="11:11" x14ac:dyDescent="0.3">
      <c r="K735" t="str">
        <f>IF($D735="","",IFERROR(INDEX(Mapping!$H$3:$H$32,MATCH($B735,Mapping!$G$3:$G$32,0)),IF(LEFT($F735,3)="P2P",IFERROR(INDEX(Mapping!$E$3:$E$6,MATCH($G735,Mapping!$D$3:$D$6,0)),IFERROR(INDEX(Mapping!$B$3:$B$13,MATCH($J735,Mapping!$A$3:$A$13,0)),"(unmapped)")),IFERROR(INDEX(Mapping!$B$17:$B$22,MATCH($F735,Mapping!$A$17:$A$22,0)),$F735)&amp;" "&amp;IF($G735="Banking","Banking",IFERROR(INDEX(Mapping!$E$17:$E$28,MATCH($J735,Mapping!$D$17:$D$28,0)),"(unmapped)")))))</f>
        <v/>
      </c>
    </row>
    <row r="736" spans="11:11" x14ac:dyDescent="0.3">
      <c r="K736" t="str">
        <f>IF($D736="","",IFERROR(INDEX(Mapping!$H$3:$H$32,MATCH($B736,Mapping!$G$3:$G$32,0)),IF(LEFT($F736,3)="P2P",IFERROR(INDEX(Mapping!$E$3:$E$6,MATCH($G736,Mapping!$D$3:$D$6,0)),IFERROR(INDEX(Mapping!$B$3:$B$13,MATCH($J736,Mapping!$A$3:$A$13,0)),"(unmapped)")),IFERROR(INDEX(Mapping!$B$17:$B$22,MATCH($F736,Mapping!$A$17:$A$22,0)),$F736)&amp;" "&amp;IF($G736="Banking","Banking",IFERROR(INDEX(Mapping!$E$17:$E$28,MATCH($J736,Mapping!$D$17:$D$28,0)),"(unmapped)")))))</f>
        <v/>
      </c>
    </row>
    <row r="737" spans="11:11" x14ac:dyDescent="0.3">
      <c r="K737" t="str">
        <f>IF($D737="","",IFERROR(INDEX(Mapping!$H$3:$H$32,MATCH($B737,Mapping!$G$3:$G$32,0)),IF(LEFT($F737,3)="P2P",IFERROR(INDEX(Mapping!$E$3:$E$6,MATCH($G737,Mapping!$D$3:$D$6,0)),IFERROR(INDEX(Mapping!$B$3:$B$13,MATCH($J737,Mapping!$A$3:$A$13,0)),"(unmapped)")),IFERROR(INDEX(Mapping!$B$17:$B$22,MATCH($F737,Mapping!$A$17:$A$22,0)),$F737)&amp;" "&amp;IF($G737="Banking","Banking",IFERROR(INDEX(Mapping!$E$17:$E$28,MATCH($J737,Mapping!$D$17:$D$28,0)),"(unmapped)")))))</f>
        <v/>
      </c>
    </row>
    <row r="738" spans="11:11" x14ac:dyDescent="0.3">
      <c r="K738" t="str">
        <f>IF($D738="","",IFERROR(INDEX(Mapping!$H$3:$H$32,MATCH($B738,Mapping!$G$3:$G$32,0)),IF(LEFT($F738,3)="P2P",IFERROR(INDEX(Mapping!$E$3:$E$6,MATCH($G738,Mapping!$D$3:$D$6,0)),IFERROR(INDEX(Mapping!$B$3:$B$13,MATCH($J738,Mapping!$A$3:$A$13,0)),"(unmapped)")),IFERROR(INDEX(Mapping!$B$17:$B$22,MATCH($F738,Mapping!$A$17:$A$22,0)),$F738)&amp;" "&amp;IF($G738="Banking","Banking",IFERROR(INDEX(Mapping!$E$17:$E$28,MATCH($J738,Mapping!$D$17:$D$28,0)),"(unmapped)")))))</f>
        <v/>
      </c>
    </row>
    <row r="739" spans="11:11" x14ac:dyDescent="0.3">
      <c r="K739" t="str">
        <f>IF($D739="","",IFERROR(INDEX(Mapping!$H$3:$H$32,MATCH($B739,Mapping!$G$3:$G$32,0)),IF(LEFT($F739,3)="P2P",IFERROR(INDEX(Mapping!$E$3:$E$6,MATCH($G739,Mapping!$D$3:$D$6,0)),IFERROR(INDEX(Mapping!$B$3:$B$13,MATCH($J739,Mapping!$A$3:$A$13,0)),"(unmapped)")),IFERROR(INDEX(Mapping!$B$17:$B$22,MATCH($F739,Mapping!$A$17:$A$22,0)),$F739)&amp;" "&amp;IF($G739="Banking","Banking",IFERROR(INDEX(Mapping!$E$17:$E$28,MATCH($J739,Mapping!$D$17:$D$28,0)),"(unmapped)")))))</f>
        <v/>
      </c>
    </row>
    <row r="740" spans="11:11" x14ac:dyDescent="0.3">
      <c r="K740" t="str">
        <f>IF($D740="","",IFERROR(INDEX(Mapping!$H$3:$H$32,MATCH($B740,Mapping!$G$3:$G$32,0)),IF(LEFT($F740,3)="P2P",IFERROR(INDEX(Mapping!$E$3:$E$6,MATCH($G740,Mapping!$D$3:$D$6,0)),IFERROR(INDEX(Mapping!$B$3:$B$13,MATCH($J740,Mapping!$A$3:$A$13,0)),"(unmapped)")),IFERROR(INDEX(Mapping!$B$17:$B$22,MATCH($F740,Mapping!$A$17:$A$22,0)),$F740)&amp;" "&amp;IF($G740="Banking","Banking",IFERROR(INDEX(Mapping!$E$17:$E$28,MATCH($J740,Mapping!$D$17:$D$28,0)),"(unmapped)")))))</f>
        <v/>
      </c>
    </row>
    <row r="741" spans="11:11" x14ac:dyDescent="0.3">
      <c r="K741" t="str">
        <f>IF($D741="","",IFERROR(INDEX(Mapping!$H$3:$H$32,MATCH($B741,Mapping!$G$3:$G$32,0)),IF(LEFT($F741,3)="P2P",IFERROR(INDEX(Mapping!$E$3:$E$6,MATCH($G741,Mapping!$D$3:$D$6,0)),IFERROR(INDEX(Mapping!$B$3:$B$13,MATCH($J741,Mapping!$A$3:$A$13,0)),"(unmapped)")),IFERROR(INDEX(Mapping!$B$17:$B$22,MATCH($F741,Mapping!$A$17:$A$22,0)),$F741)&amp;" "&amp;IF($G741="Banking","Banking",IFERROR(INDEX(Mapping!$E$17:$E$28,MATCH($J741,Mapping!$D$17:$D$28,0)),"(unmapped)")))))</f>
        <v/>
      </c>
    </row>
    <row r="742" spans="11:11" x14ac:dyDescent="0.3">
      <c r="K742" t="str">
        <f>IF($D742="","",IFERROR(INDEX(Mapping!$H$3:$H$32,MATCH($B742,Mapping!$G$3:$G$32,0)),IF(LEFT($F742,3)="P2P",IFERROR(INDEX(Mapping!$E$3:$E$6,MATCH($G742,Mapping!$D$3:$D$6,0)),IFERROR(INDEX(Mapping!$B$3:$B$13,MATCH($J742,Mapping!$A$3:$A$13,0)),"(unmapped)")),IFERROR(INDEX(Mapping!$B$17:$B$22,MATCH($F742,Mapping!$A$17:$A$22,0)),$F742)&amp;" "&amp;IF($G742="Banking","Banking",IFERROR(INDEX(Mapping!$E$17:$E$28,MATCH($J742,Mapping!$D$17:$D$28,0)),"(unmapped)")))))</f>
        <v/>
      </c>
    </row>
    <row r="743" spans="11:11" x14ac:dyDescent="0.3">
      <c r="K743" t="str">
        <f>IF($D743="","",IFERROR(INDEX(Mapping!$H$3:$H$32,MATCH($B743,Mapping!$G$3:$G$32,0)),IF(LEFT($F743,3)="P2P",IFERROR(INDEX(Mapping!$E$3:$E$6,MATCH($G743,Mapping!$D$3:$D$6,0)),IFERROR(INDEX(Mapping!$B$3:$B$13,MATCH($J743,Mapping!$A$3:$A$13,0)),"(unmapped)")),IFERROR(INDEX(Mapping!$B$17:$B$22,MATCH($F743,Mapping!$A$17:$A$22,0)),$F743)&amp;" "&amp;IF($G743="Banking","Banking",IFERROR(INDEX(Mapping!$E$17:$E$28,MATCH($J743,Mapping!$D$17:$D$28,0)),"(unmapped)")))))</f>
        <v/>
      </c>
    </row>
    <row r="744" spans="11:11" x14ac:dyDescent="0.3">
      <c r="K744" t="str">
        <f>IF($D744="","",IFERROR(INDEX(Mapping!$H$3:$H$32,MATCH($B744,Mapping!$G$3:$G$32,0)),IF(LEFT($F744,3)="P2P",IFERROR(INDEX(Mapping!$E$3:$E$6,MATCH($G744,Mapping!$D$3:$D$6,0)),IFERROR(INDEX(Mapping!$B$3:$B$13,MATCH($J744,Mapping!$A$3:$A$13,0)),"(unmapped)")),IFERROR(INDEX(Mapping!$B$17:$B$22,MATCH($F744,Mapping!$A$17:$A$22,0)),$F744)&amp;" "&amp;IF($G744="Banking","Banking",IFERROR(INDEX(Mapping!$E$17:$E$28,MATCH($J744,Mapping!$D$17:$D$28,0)),"(unmapped)")))))</f>
        <v/>
      </c>
    </row>
    <row r="745" spans="11:11" x14ac:dyDescent="0.3">
      <c r="K745" t="str">
        <f>IF($D745="","",IFERROR(INDEX(Mapping!$H$3:$H$32,MATCH($B745,Mapping!$G$3:$G$32,0)),IF(LEFT($F745,3)="P2P",IFERROR(INDEX(Mapping!$E$3:$E$6,MATCH($G745,Mapping!$D$3:$D$6,0)),IFERROR(INDEX(Mapping!$B$3:$B$13,MATCH($J745,Mapping!$A$3:$A$13,0)),"(unmapped)")),IFERROR(INDEX(Mapping!$B$17:$B$22,MATCH($F745,Mapping!$A$17:$A$22,0)),$F745)&amp;" "&amp;IF($G745="Banking","Banking",IFERROR(INDEX(Mapping!$E$17:$E$28,MATCH($J745,Mapping!$D$17:$D$28,0)),"(unmapped)")))))</f>
        <v/>
      </c>
    </row>
    <row r="746" spans="11:11" x14ac:dyDescent="0.3">
      <c r="K746" t="str">
        <f>IF($D746="","",IFERROR(INDEX(Mapping!$H$3:$H$32,MATCH($B746,Mapping!$G$3:$G$32,0)),IF(LEFT($F746,3)="P2P",IFERROR(INDEX(Mapping!$E$3:$E$6,MATCH($G746,Mapping!$D$3:$D$6,0)),IFERROR(INDEX(Mapping!$B$3:$B$13,MATCH($J746,Mapping!$A$3:$A$13,0)),"(unmapped)")),IFERROR(INDEX(Mapping!$B$17:$B$22,MATCH($F746,Mapping!$A$17:$A$22,0)),$F746)&amp;" "&amp;IF($G746="Banking","Banking",IFERROR(INDEX(Mapping!$E$17:$E$28,MATCH($J746,Mapping!$D$17:$D$28,0)),"(unmapped)")))))</f>
        <v/>
      </c>
    </row>
    <row r="747" spans="11:11" x14ac:dyDescent="0.3">
      <c r="K747" t="str">
        <f>IF($D747="","",IFERROR(INDEX(Mapping!$H$3:$H$32,MATCH($B747,Mapping!$G$3:$G$32,0)),IF(LEFT($F747,3)="P2P",IFERROR(INDEX(Mapping!$E$3:$E$6,MATCH($G747,Mapping!$D$3:$D$6,0)),IFERROR(INDEX(Mapping!$B$3:$B$13,MATCH($J747,Mapping!$A$3:$A$13,0)),"(unmapped)")),IFERROR(INDEX(Mapping!$B$17:$B$22,MATCH($F747,Mapping!$A$17:$A$22,0)),$F747)&amp;" "&amp;IF($G747="Banking","Banking",IFERROR(INDEX(Mapping!$E$17:$E$28,MATCH($J747,Mapping!$D$17:$D$28,0)),"(unmapped)")))))</f>
        <v/>
      </c>
    </row>
    <row r="748" spans="11:11" x14ac:dyDescent="0.3">
      <c r="K748" t="str">
        <f>IF($D748="","",IFERROR(INDEX(Mapping!$H$3:$H$32,MATCH($B748,Mapping!$G$3:$G$32,0)),IF(LEFT($F748,3)="P2P",IFERROR(INDEX(Mapping!$E$3:$E$6,MATCH($G748,Mapping!$D$3:$D$6,0)),IFERROR(INDEX(Mapping!$B$3:$B$13,MATCH($J748,Mapping!$A$3:$A$13,0)),"(unmapped)")),IFERROR(INDEX(Mapping!$B$17:$B$22,MATCH($F748,Mapping!$A$17:$A$22,0)),$F748)&amp;" "&amp;IF($G748="Banking","Banking",IFERROR(INDEX(Mapping!$E$17:$E$28,MATCH($J748,Mapping!$D$17:$D$28,0)),"(unmapped)")))))</f>
        <v/>
      </c>
    </row>
    <row r="749" spans="11:11" x14ac:dyDescent="0.3">
      <c r="K749" t="str">
        <f>IF($D749="","",IFERROR(INDEX(Mapping!$H$3:$H$32,MATCH($B749,Mapping!$G$3:$G$32,0)),IF(LEFT($F749,3)="P2P",IFERROR(INDEX(Mapping!$E$3:$E$6,MATCH($G749,Mapping!$D$3:$D$6,0)),IFERROR(INDEX(Mapping!$B$3:$B$13,MATCH($J749,Mapping!$A$3:$A$13,0)),"(unmapped)")),IFERROR(INDEX(Mapping!$B$17:$B$22,MATCH($F749,Mapping!$A$17:$A$22,0)),$F749)&amp;" "&amp;IF($G749="Banking","Banking",IFERROR(INDEX(Mapping!$E$17:$E$28,MATCH($J749,Mapping!$D$17:$D$28,0)),"(unmapped)")))))</f>
        <v/>
      </c>
    </row>
    <row r="750" spans="11:11" x14ac:dyDescent="0.3">
      <c r="K750" t="str">
        <f>IF($D750="","",IFERROR(INDEX(Mapping!$H$3:$H$32,MATCH($B750,Mapping!$G$3:$G$32,0)),IF(LEFT($F750,3)="P2P",IFERROR(INDEX(Mapping!$E$3:$E$6,MATCH($G750,Mapping!$D$3:$D$6,0)),IFERROR(INDEX(Mapping!$B$3:$B$13,MATCH($J750,Mapping!$A$3:$A$13,0)),"(unmapped)")),IFERROR(INDEX(Mapping!$B$17:$B$22,MATCH($F750,Mapping!$A$17:$A$22,0)),$F750)&amp;" "&amp;IF($G750="Banking","Banking",IFERROR(INDEX(Mapping!$E$17:$E$28,MATCH($J750,Mapping!$D$17:$D$28,0)),"(unmapped)")))))</f>
        <v/>
      </c>
    </row>
    <row r="751" spans="11:11" x14ac:dyDescent="0.3">
      <c r="K751" t="str">
        <f>IF($D751="","",IFERROR(INDEX(Mapping!$H$3:$H$32,MATCH($B751,Mapping!$G$3:$G$32,0)),IF(LEFT($F751,3)="P2P",IFERROR(INDEX(Mapping!$E$3:$E$6,MATCH($G751,Mapping!$D$3:$D$6,0)),IFERROR(INDEX(Mapping!$B$3:$B$13,MATCH($J751,Mapping!$A$3:$A$13,0)),"(unmapped)")),IFERROR(INDEX(Mapping!$B$17:$B$22,MATCH($F751,Mapping!$A$17:$A$22,0)),$F751)&amp;" "&amp;IF($G751="Banking","Banking",IFERROR(INDEX(Mapping!$E$17:$E$28,MATCH($J751,Mapping!$D$17:$D$28,0)),"(unmapped)")))))</f>
        <v/>
      </c>
    </row>
    <row r="752" spans="11:11" x14ac:dyDescent="0.3">
      <c r="K752" t="str">
        <f>IF($D752="","",IFERROR(INDEX(Mapping!$H$3:$H$32,MATCH($B752,Mapping!$G$3:$G$32,0)),IF(LEFT($F752,3)="P2P",IFERROR(INDEX(Mapping!$E$3:$E$6,MATCH($G752,Mapping!$D$3:$D$6,0)),IFERROR(INDEX(Mapping!$B$3:$B$13,MATCH($J752,Mapping!$A$3:$A$13,0)),"(unmapped)")),IFERROR(INDEX(Mapping!$B$17:$B$22,MATCH($F752,Mapping!$A$17:$A$22,0)),$F752)&amp;" "&amp;IF($G752="Banking","Banking",IFERROR(INDEX(Mapping!$E$17:$E$28,MATCH($J752,Mapping!$D$17:$D$28,0)),"(unmapped)")))))</f>
        <v/>
      </c>
    </row>
    <row r="753" spans="11:11" x14ac:dyDescent="0.3">
      <c r="K753" t="str">
        <f>IF($D753="","",IFERROR(INDEX(Mapping!$H$3:$H$32,MATCH($B753,Mapping!$G$3:$G$32,0)),IF(LEFT($F753,3)="P2P",IFERROR(INDEX(Mapping!$E$3:$E$6,MATCH($G753,Mapping!$D$3:$D$6,0)),IFERROR(INDEX(Mapping!$B$3:$B$13,MATCH($J753,Mapping!$A$3:$A$13,0)),"(unmapped)")),IFERROR(INDEX(Mapping!$B$17:$B$22,MATCH($F753,Mapping!$A$17:$A$22,0)),$F753)&amp;" "&amp;IF($G753="Banking","Banking",IFERROR(INDEX(Mapping!$E$17:$E$28,MATCH($J753,Mapping!$D$17:$D$28,0)),"(unmapped)")))))</f>
        <v/>
      </c>
    </row>
    <row r="754" spans="11:11" x14ac:dyDescent="0.3">
      <c r="K754" t="str">
        <f>IF($D754="","",IFERROR(INDEX(Mapping!$H$3:$H$32,MATCH($B754,Mapping!$G$3:$G$32,0)),IF(LEFT($F754,3)="P2P",IFERROR(INDEX(Mapping!$E$3:$E$6,MATCH($G754,Mapping!$D$3:$D$6,0)),IFERROR(INDEX(Mapping!$B$3:$B$13,MATCH($J754,Mapping!$A$3:$A$13,0)),"(unmapped)")),IFERROR(INDEX(Mapping!$B$17:$B$22,MATCH($F754,Mapping!$A$17:$A$22,0)),$F754)&amp;" "&amp;IF($G754="Banking","Banking",IFERROR(INDEX(Mapping!$E$17:$E$28,MATCH($J754,Mapping!$D$17:$D$28,0)),"(unmapped)")))))</f>
        <v/>
      </c>
    </row>
    <row r="755" spans="11:11" x14ac:dyDescent="0.3">
      <c r="K755" t="str">
        <f>IF($D755="","",IFERROR(INDEX(Mapping!$H$3:$H$32,MATCH($B755,Mapping!$G$3:$G$32,0)),IF(LEFT($F755,3)="P2P",IFERROR(INDEX(Mapping!$E$3:$E$6,MATCH($G755,Mapping!$D$3:$D$6,0)),IFERROR(INDEX(Mapping!$B$3:$B$13,MATCH($J755,Mapping!$A$3:$A$13,0)),"(unmapped)")),IFERROR(INDEX(Mapping!$B$17:$B$22,MATCH($F755,Mapping!$A$17:$A$22,0)),$F755)&amp;" "&amp;IF($G755="Banking","Banking",IFERROR(INDEX(Mapping!$E$17:$E$28,MATCH($J755,Mapping!$D$17:$D$28,0)),"(unmapped)")))))</f>
        <v/>
      </c>
    </row>
    <row r="756" spans="11:11" x14ac:dyDescent="0.3">
      <c r="K756" t="str">
        <f>IF($D756="","",IFERROR(INDEX(Mapping!$H$3:$H$32,MATCH($B756,Mapping!$G$3:$G$32,0)),IF(LEFT($F756,3)="P2P",IFERROR(INDEX(Mapping!$E$3:$E$6,MATCH($G756,Mapping!$D$3:$D$6,0)),IFERROR(INDEX(Mapping!$B$3:$B$13,MATCH($J756,Mapping!$A$3:$A$13,0)),"(unmapped)")),IFERROR(INDEX(Mapping!$B$17:$B$22,MATCH($F756,Mapping!$A$17:$A$22,0)),$F756)&amp;" "&amp;IF($G756="Banking","Banking",IFERROR(INDEX(Mapping!$E$17:$E$28,MATCH($J756,Mapping!$D$17:$D$28,0)),"(unmapped)")))))</f>
        <v/>
      </c>
    </row>
    <row r="757" spans="11:11" x14ac:dyDescent="0.3">
      <c r="K757" t="str">
        <f>IF($D757="","",IFERROR(INDEX(Mapping!$H$3:$H$32,MATCH($B757,Mapping!$G$3:$G$32,0)),IF(LEFT($F757,3)="P2P",IFERROR(INDEX(Mapping!$E$3:$E$6,MATCH($G757,Mapping!$D$3:$D$6,0)),IFERROR(INDEX(Mapping!$B$3:$B$13,MATCH($J757,Mapping!$A$3:$A$13,0)),"(unmapped)")),IFERROR(INDEX(Mapping!$B$17:$B$22,MATCH($F757,Mapping!$A$17:$A$22,0)),$F757)&amp;" "&amp;IF($G757="Banking","Banking",IFERROR(INDEX(Mapping!$E$17:$E$28,MATCH($J757,Mapping!$D$17:$D$28,0)),"(unmapped)")))))</f>
        <v/>
      </c>
    </row>
    <row r="758" spans="11:11" x14ac:dyDescent="0.3">
      <c r="K758" t="str">
        <f>IF($D758="","",IFERROR(INDEX(Mapping!$H$3:$H$32,MATCH($B758,Mapping!$G$3:$G$32,0)),IF(LEFT($F758,3)="P2P",IFERROR(INDEX(Mapping!$E$3:$E$6,MATCH($G758,Mapping!$D$3:$D$6,0)),IFERROR(INDEX(Mapping!$B$3:$B$13,MATCH($J758,Mapping!$A$3:$A$13,0)),"(unmapped)")),IFERROR(INDEX(Mapping!$B$17:$B$22,MATCH($F758,Mapping!$A$17:$A$22,0)),$F758)&amp;" "&amp;IF($G758="Banking","Banking",IFERROR(INDEX(Mapping!$E$17:$E$28,MATCH($J758,Mapping!$D$17:$D$28,0)),"(unmapped)")))))</f>
        <v/>
      </c>
    </row>
    <row r="759" spans="11:11" x14ac:dyDescent="0.3">
      <c r="K759" t="str">
        <f>IF($D759="","",IFERROR(INDEX(Mapping!$H$3:$H$32,MATCH($B759,Mapping!$G$3:$G$32,0)),IF(LEFT($F759,3)="P2P",IFERROR(INDEX(Mapping!$E$3:$E$6,MATCH($G759,Mapping!$D$3:$D$6,0)),IFERROR(INDEX(Mapping!$B$3:$B$13,MATCH($J759,Mapping!$A$3:$A$13,0)),"(unmapped)")),IFERROR(INDEX(Mapping!$B$17:$B$22,MATCH($F759,Mapping!$A$17:$A$22,0)),$F759)&amp;" "&amp;IF($G759="Banking","Banking",IFERROR(INDEX(Mapping!$E$17:$E$28,MATCH($J759,Mapping!$D$17:$D$28,0)),"(unmapped)")))))</f>
        <v/>
      </c>
    </row>
    <row r="760" spans="11:11" x14ac:dyDescent="0.3">
      <c r="K760" t="str">
        <f>IF($D760="","",IFERROR(INDEX(Mapping!$H$3:$H$32,MATCH($B760,Mapping!$G$3:$G$32,0)),IF(LEFT($F760,3)="P2P",IFERROR(INDEX(Mapping!$E$3:$E$6,MATCH($G760,Mapping!$D$3:$D$6,0)),IFERROR(INDEX(Mapping!$B$3:$B$13,MATCH($J760,Mapping!$A$3:$A$13,0)),"(unmapped)")),IFERROR(INDEX(Mapping!$B$17:$B$22,MATCH($F760,Mapping!$A$17:$A$22,0)),$F760)&amp;" "&amp;IF($G760="Banking","Banking",IFERROR(INDEX(Mapping!$E$17:$E$28,MATCH($J760,Mapping!$D$17:$D$28,0)),"(unmapped)")))))</f>
        <v/>
      </c>
    </row>
    <row r="761" spans="11:11" x14ac:dyDescent="0.3">
      <c r="K761" t="str">
        <f>IF($D761="","",IFERROR(INDEX(Mapping!$H$3:$H$32,MATCH($B761,Mapping!$G$3:$G$32,0)),IF(LEFT($F761,3)="P2P",IFERROR(INDEX(Mapping!$E$3:$E$6,MATCH($G761,Mapping!$D$3:$D$6,0)),IFERROR(INDEX(Mapping!$B$3:$B$13,MATCH($J761,Mapping!$A$3:$A$13,0)),"(unmapped)")),IFERROR(INDEX(Mapping!$B$17:$B$22,MATCH($F761,Mapping!$A$17:$A$22,0)),$F761)&amp;" "&amp;IF($G761="Banking","Banking",IFERROR(INDEX(Mapping!$E$17:$E$28,MATCH($J761,Mapping!$D$17:$D$28,0)),"(unmapped)")))))</f>
        <v/>
      </c>
    </row>
    <row r="762" spans="11:11" x14ac:dyDescent="0.3">
      <c r="K762" t="str">
        <f>IF($D762="","",IFERROR(INDEX(Mapping!$H$3:$H$32,MATCH($B762,Mapping!$G$3:$G$32,0)),IF(LEFT($F762,3)="P2P",IFERROR(INDEX(Mapping!$E$3:$E$6,MATCH($G762,Mapping!$D$3:$D$6,0)),IFERROR(INDEX(Mapping!$B$3:$B$13,MATCH($J762,Mapping!$A$3:$A$13,0)),"(unmapped)")),IFERROR(INDEX(Mapping!$B$17:$B$22,MATCH($F762,Mapping!$A$17:$A$22,0)),$F762)&amp;" "&amp;IF($G762="Banking","Banking",IFERROR(INDEX(Mapping!$E$17:$E$28,MATCH($J762,Mapping!$D$17:$D$28,0)),"(unmapped)")))))</f>
        <v/>
      </c>
    </row>
    <row r="763" spans="11:11" x14ac:dyDescent="0.3">
      <c r="K763" t="str">
        <f>IF($D763="","",IFERROR(INDEX(Mapping!$H$3:$H$32,MATCH($B763,Mapping!$G$3:$G$32,0)),IF(LEFT($F763,3)="P2P",IFERROR(INDEX(Mapping!$E$3:$E$6,MATCH($G763,Mapping!$D$3:$D$6,0)),IFERROR(INDEX(Mapping!$B$3:$B$13,MATCH($J763,Mapping!$A$3:$A$13,0)),"(unmapped)")),IFERROR(INDEX(Mapping!$B$17:$B$22,MATCH($F763,Mapping!$A$17:$A$22,0)),$F763)&amp;" "&amp;IF($G763="Banking","Banking",IFERROR(INDEX(Mapping!$E$17:$E$28,MATCH($J763,Mapping!$D$17:$D$28,0)),"(unmapped)")))))</f>
        <v/>
      </c>
    </row>
    <row r="764" spans="11:11" x14ac:dyDescent="0.3">
      <c r="K764" t="str">
        <f>IF($D764="","",IFERROR(INDEX(Mapping!$H$3:$H$32,MATCH($B764,Mapping!$G$3:$G$32,0)),IF(LEFT($F764,3)="P2P",IFERROR(INDEX(Mapping!$E$3:$E$6,MATCH($G764,Mapping!$D$3:$D$6,0)),IFERROR(INDEX(Mapping!$B$3:$B$13,MATCH($J764,Mapping!$A$3:$A$13,0)),"(unmapped)")),IFERROR(INDEX(Mapping!$B$17:$B$22,MATCH($F764,Mapping!$A$17:$A$22,0)),$F764)&amp;" "&amp;IF($G764="Banking","Banking",IFERROR(INDEX(Mapping!$E$17:$E$28,MATCH($J764,Mapping!$D$17:$D$28,0)),"(unmapped)")))))</f>
        <v/>
      </c>
    </row>
    <row r="765" spans="11:11" x14ac:dyDescent="0.3">
      <c r="K765" t="str">
        <f>IF($D765="","",IFERROR(INDEX(Mapping!$H$3:$H$32,MATCH($B765,Mapping!$G$3:$G$32,0)),IF(LEFT($F765,3)="P2P",IFERROR(INDEX(Mapping!$E$3:$E$6,MATCH($G765,Mapping!$D$3:$D$6,0)),IFERROR(INDEX(Mapping!$B$3:$B$13,MATCH($J765,Mapping!$A$3:$A$13,0)),"(unmapped)")),IFERROR(INDEX(Mapping!$B$17:$B$22,MATCH($F765,Mapping!$A$17:$A$22,0)),$F765)&amp;" "&amp;IF($G765="Banking","Banking",IFERROR(INDEX(Mapping!$E$17:$E$28,MATCH($J765,Mapping!$D$17:$D$28,0)),"(unmapped)")))))</f>
        <v/>
      </c>
    </row>
    <row r="766" spans="11:11" x14ac:dyDescent="0.3">
      <c r="K766" t="str">
        <f>IF($D766="","",IFERROR(INDEX(Mapping!$H$3:$H$32,MATCH($B766,Mapping!$G$3:$G$32,0)),IF(LEFT($F766,3)="P2P",IFERROR(INDEX(Mapping!$E$3:$E$6,MATCH($G766,Mapping!$D$3:$D$6,0)),IFERROR(INDEX(Mapping!$B$3:$B$13,MATCH($J766,Mapping!$A$3:$A$13,0)),"(unmapped)")),IFERROR(INDEX(Mapping!$B$17:$B$22,MATCH($F766,Mapping!$A$17:$A$22,0)),$F766)&amp;" "&amp;IF($G766="Banking","Banking",IFERROR(INDEX(Mapping!$E$17:$E$28,MATCH($J766,Mapping!$D$17:$D$28,0)),"(unmapped)")))))</f>
        <v/>
      </c>
    </row>
    <row r="767" spans="11:11" x14ac:dyDescent="0.3">
      <c r="K767" t="str">
        <f>IF($D767="","",IFERROR(INDEX(Mapping!$H$3:$H$32,MATCH($B767,Mapping!$G$3:$G$32,0)),IF(LEFT($F767,3)="P2P",IFERROR(INDEX(Mapping!$E$3:$E$6,MATCH($G767,Mapping!$D$3:$D$6,0)),IFERROR(INDEX(Mapping!$B$3:$B$13,MATCH($J767,Mapping!$A$3:$A$13,0)),"(unmapped)")),IFERROR(INDEX(Mapping!$B$17:$B$22,MATCH($F767,Mapping!$A$17:$A$22,0)),$F767)&amp;" "&amp;IF($G767="Banking","Banking",IFERROR(INDEX(Mapping!$E$17:$E$28,MATCH($J767,Mapping!$D$17:$D$28,0)),"(unmapped)")))))</f>
        <v/>
      </c>
    </row>
    <row r="768" spans="11:11" x14ac:dyDescent="0.3">
      <c r="K768" t="str">
        <f>IF($D768="","",IFERROR(INDEX(Mapping!$H$3:$H$32,MATCH($B768,Mapping!$G$3:$G$32,0)),IF(LEFT($F768,3)="P2P",IFERROR(INDEX(Mapping!$E$3:$E$6,MATCH($G768,Mapping!$D$3:$D$6,0)),IFERROR(INDEX(Mapping!$B$3:$B$13,MATCH($J768,Mapping!$A$3:$A$13,0)),"(unmapped)")),IFERROR(INDEX(Mapping!$B$17:$B$22,MATCH($F768,Mapping!$A$17:$A$22,0)),$F768)&amp;" "&amp;IF($G768="Banking","Banking",IFERROR(INDEX(Mapping!$E$17:$E$28,MATCH($J768,Mapping!$D$17:$D$28,0)),"(unmapped)")))))</f>
        <v/>
      </c>
    </row>
    <row r="769" spans="11:11" x14ac:dyDescent="0.3">
      <c r="K769" t="str">
        <f>IF($D769="","",IFERROR(INDEX(Mapping!$H$3:$H$32,MATCH($B769,Mapping!$G$3:$G$32,0)),IF(LEFT($F769,3)="P2P",IFERROR(INDEX(Mapping!$E$3:$E$6,MATCH($G769,Mapping!$D$3:$D$6,0)),IFERROR(INDEX(Mapping!$B$3:$B$13,MATCH($J769,Mapping!$A$3:$A$13,0)),"(unmapped)")),IFERROR(INDEX(Mapping!$B$17:$B$22,MATCH($F769,Mapping!$A$17:$A$22,0)),$F769)&amp;" "&amp;IF($G769="Banking","Banking",IFERROR(INDEX(Mapping!$E$17:$E$28,MATCH($J769,Mapping!$D$17:$D$28,0)),"(unmapped)")))))</f>
        <v/>
      </c>
    </row>
    <row r="770" spans="11:11" x14ac:dyDescent="0.3">
      <c r="K770" t="str">
        <f>IF($D770="","",IFERROR(INDEX(Mapping!$H$3:$H$32,MATCH($B770,Mapping!$G$3:$G$32,0)),IF(LEFT($F770,3)="P2P",IFERROR(INDEX(Mapping!$E$3:$E$6,MATCH($G770,Mapping!$D$3:$D$6,0)),IFERROR(INDEX(Mapping!$B$3:$B$13,MATCH($J770,Mapping!$A$3:$A$13,0)),"(unmapped)")),IFERROR(INDEX(Mapping!$B$17:$B$22,MATCH($F770,Mapping!$A$17:$A$22,0)),$F770)&amp;" "&amp;IF($G770="Banking","Banking",IFERROR(INDEX(Mapping!$E$17:$E$28,MATCH($J770,Mapping!$D$17:$D$28,0)),"(unmapped)")))))</f>
        <v/>
      </c>
    </row>
    <row r="771" spans="11:11" x14ac:dyDescent="0.3">
      <c r="K771" t="str">
        <f>IF($D771="","",IFERROR(INDEX(Mapping!$H$3:$H$32,MATCH($B771,Mapping!$G$3:$G$32,0)),IF(LEFT($F771,3)="P2P",IFERROR(INDEX(Mapping!$E$3:$E$6,MATCH($G771,Mapping!$D$3:$D$6,0)),IFERROR(INDEX(Mapping!$B$3:$B$13,MATCH($J771,Mapping!$A$3:$A$13,0)),"(unmapped)")),IFERROR(INDEX(Mapping!$B$17:$B$22,MATCH($F771,Mapping!$A$17:$A$22,0)),$F771)&amp;" "&amp;IF($G771="Banking","Banking",IFERROR(INDEX(Mapping!$E$17:$E$28,MATCH($J771,Mapping!$D$17:$D$28,0)),"(unmapped)")))))</f>
        <v/>
      </c>
    </row>
    <row r="772" spans="11:11" x14ac:dyDescent="0.3">
      <c r="K772" t="str">
        <f>IF($D772="","",IFERROR(INDEX(Mapping!$H$3:$H$32,MATCH($B772,Mapping!$G$3:$G$32,0)),IF(LEFT($F772,3)="P2P",IFERROR(INDEX(Mapping!$E$3:$E$6,MATCH($G772,Mapping!$D$3:$D$6,0)),IFERROR(INDEX(Mapping!$B$3:$B$13,MATCH($J772,Mapping!$A$3:$A$13,0)),"(unmapped)")),IFERROR(INDEX(Mapping!$B$17:$B$22,MATCH($F772,Mapping!$A$17:$A$22,0)),$F772)&amp;" "&amp;IF($G772="Banking","Banking",IFERROR(INDEX(Mapping!$E$17:$E$28,MATCH($J772,Mapping!$D$17:$D$28,0)),"(unmapped)")))))</f>
        <v/>
      </c>
    </row>
    <row r="773" spans="11:11" x14ac:dyDescent="0.3">
      <c r="K773" t="str">
        <f>IF($D773="","",IFERROR(INDEX(Mapping!$H$3:$H$32,MATCH($B773,Mapping!$G$3:$G$32,0)),IF(LEFT($F773,3)="P2P",IFERROR(INDEX(Mapping!$E$3:$E$6,MATCH($G773,Mapping!$D$3:$D$6,0)),IFERROR(INDEX(Mapping!$B$3:$B$13,MATCH($J773,Mapping!$A$3:$A$13,0)),"(unmapped)")),IFERROR(INDEX(Mapping!$B$17:$B$22,MATCH($F773,Mapping!$A$17:$A$22,0)),$F773)&amp;" "&amp;IF($G773="Banking","Banking",IFERROR(INDEX(Mapping!$E$17:$E$28,MATCH($J773,Mapping!$D$17:$D$28,0)),"(unmapped)")))))</f>
        <v/>
      </c>
    </row>
    <row r="774" spans="11:11" x14ac:dyDescent="0.3">
      <c r="K774" t="str">
        <f>IF($D774="","",IFERROR(INDEX(Mapping!$H$3:$H$32,MATCH($B774,Mapping!$G$3:$G$32,0)),IF(LEFT($F774,3)="P2P",IFERROR(INDEX(Mapping!$E$3:$E$6,MATCH($G774,Mapping!$D$3:$D$6,0)),IFERROR(INDEX(Mapping!$B$3:$B$13,MATCH($J774,Mapping!$A$3:$A$13,0)),"(unmapped)")),IFERROR(INDEX(Mapping!$B$17:$B$22,MATCH($F774,Mapping!$A$17:$A$22,0)),$F774)&amp;" "&amp;IF($G774="Banking","Banking",IFERROR(INDEX(Mapping!$E$17:$E$28,MATCH($J774,Mapping!$D$17:$D$28,0)),"(unmapped)")))))</f>
        <v/>
      </c>
    </row>
    <row r="775" spans="11:11" x14ac:dyDescent="0.3">
      <c r="K775" t="str">
        <f>IF($D775="","",IFERROR(INDEX(Mapping!$H$3:$H$32,MATCH($B775,Mapping!$G$3:$G$32,0)),IF(LEFT($F775,3)="P2P",IFERROR(INDEX(Mapping!$E$3:$E$6,MATCH($G775,Mapping!$D$3:$D$6,0)),IFERROR(INDEX(Mapping!$B$3:$B$13,MATCH($J775,Mapping!$A$3:$A$13,0)),"(unmapped)")),IFERROR(INDEX(Mapping!$B$17:$B$22,MATCH($F775,Mapping!$A$17:$A$22,0)),$F775)&amp;" "&amp;IF($G775="Banking","Banking",IFERROR(INDEX(Mapping!$E$17:$E$28,MATCH($J775,Mapping!$D$17:$D$28,0)),"(unmapped)")))))</f>
        <v/>
      </c>
    </row>
    <row r="776" spans="11:11" x14ac:dyDescent="0.3">
      <c r="K776" t="str">
        <f>IF($D776="","",IFERROR(INDEX(Mapping!$H$3:$H$32,MATCH($B776,Mapping!$G$3:$G$32,0)),IF(LEFT($F776,3)="P2P",IFERROR(INDEX(Mapping!$E$3:$E$6,MATCH($G776,Mapping!$D$3:$D$6,0)),IFERROR(INDEX(Mapping!$B$3:$B$13,MATCH($J776,Mapping!$A$3:$A$13,0)),"(unmapped)")),IFERROR(INDEX(Mapping!$B$17:$B$22,MATCH($F776,Mapping!$A$17:$A$22,0)),$F776)&amp;" "&amp;IF($G776="Banking","Banking",IFERROR(INDEX(Mapping!$E$17:$E$28,MATCH($J776,Mapping!$D$17:$D$28,0)),"(unmapped)")))))</f>
        <v/>
      </c>
    </row>
    <row r="777" spans="11:11" x14ac:dyDescent="0.3">
      <c r="K777" t="str">
        <f>IF($D777="","",IFERROR(INDEX(Mapping!$H$3:$H$32,MATCH($B777,Mapping!$G$3:$G$32,0)),IF(LEFT($F777,3)="P2P",IFERROR(INDEX(Mapping!$E$3:$E$6,MATCH($G777,Mapping!$D$3:$D$6,0)),IFERROR(INDEX(Mapping!$B$3:$B$13,MATCH($J777,Mapping!$A$3:$A$13,0)),"(unmapped)")),IFERROR(INDEX(Mapping!$B$17:$B$22,MATCH($F777,Mapping!$A$17:$A$22,0)),$F777)&amp;" "&amp;IF($G777="Banking","Banking",IFERROR(INDEX(Mapping!$E$17:$E$28,MATCH($J777,Mapping!$D$17:$D$28,0)),"(unmapped)")))))</f>
        <v/>
      </c>
    </row>
    <row r="778" spans="11:11" x14ac:dyDescent="0.3">
      <c r="K778" t="str">
        <f>IF($D778="","",IFERROR(INDEX(Mapping!$H$3:$H$32,MATCH($B778,Mapping!$G$3:$G$32,0)),IF(LEFT($F778,3)="P2P",IFERROR(INDEX(Mapping!$E$3:$E$6,MATCH($G778,Mapping!$D$3:$D$6,0)),IFERROR(INDEX(Mapping!$B$3:$B$13,MATCH($J778,Mapping!$A$3:$A$13,0)),"(unmapped)")),IFERROR(INDEX(Mapping!$B$17:$B$22,MATCH($F778,Mapping!$A$17:$A$22,0)),$F778)&amp;" "&amp;IF($G778="Banking","Banking",IFERROR(INDEX(Mapping!$E$17:$E$28,MATCH($J778,Mapping!$D$17:$D$28,0)),"(unmapped)")))))</f>
        <v/>
      </c>
    </row>
    <row r="779" spans="11:11" x14ac:dyDescent="0.3">
      <c r="K779" t="str">
        <f>IF($D779="","",IFERROR(INDEX(Mapping!$H$3:$H$32,MATCH($B779,Mapping!$G$3:$G$32,0)),IF(LEFT($F779,3)="P2P",IFERROR(INDEX(Mapping!$E$3:$E$6,MATCH($G779,Mapping!$D$3:$D$6,0)),IFERROR(INDEX(Mapping!$B$3:$B$13,MATCH($J779,Mapping!$A$3:$A$13,0)),"(unmapped)")),IFERROR(INDEX(Mapping!$B$17:$B$22,MATCH($F779,Mapping!$A$17:$A$22,0)),$F779)&amp;" "&amp;IF($G779="Banking","Banking",IFERROR(INDEX(Mapping!$E$17:$E$28,MATCH($J779,Mapping!$D$17:$D$28,0)),"(unmapped)")))))</f>
        <v/>
      </c>
    </row>
    <row r="780" spans="11:11" x14ac:dyDescent="0.3">
      <c r="K780" t="str">
        <f>IF($D780="","",IFERROR(INDEX(Mapping!$H$3:$H$32,MATCH($B780,Mapping!$G$3:$G$32,0)),IF(LEFT($F780,3)="P2P",IFERROR(INDEX(Mapping!$E$3:$E$6,MATCH($G780,Mapping!$D$3:$D$6,0)),IFERROR(INDEX(Mapping!$B$3:$B$13,MATCH($J780,Mapping!$A$3:$A$13,0)),"(unmapped)")),IFERROR(INDEX(Mapping!$B$17:$B$22,MATCH($F780,Mapping!$A$17:$A$22,0)),$F780)&amp;" "&amp;IF($G780="Banking","Banking",IFERROR(INDEX(Mapping!$E$17:$E$28,MATCH($J780,Mapping!$D$17:$D$28,0)),"(unmapped)")))))</f>
        <v/>
      </c>
    </row>
    <row r="781" spans="11:11" x14ac:dyDescent="0.3">
      <c r="K781" t="str">
        <f>IF($D781="","",IFERROR(INDEX(Mapping!$H$3:$H$32,MATCH($B781,Mapping!$G$3:$G$32,0)),IF(LEFT($F781,3)="P2P",IFERROR(INDEX(Mapping!$E$3:$E$6,MATCH($G781,Mapping!$D$3:$D$6,0)),IFERROR(INDEX(Mapping!$B$3:$B$13,MATCH($J781,Mapping!$A$3:$A$13,0)),"(unmapped)")),IFERROR(INDEX(Mapping!$B$17:$B$22,MATCH($F781,Mapping!$A$17:$A$22,0)),$F781)&amp;" "&amp;IF($G781="Banking","Banking",IFERROR(INDEX(Mapping!$E$17:$E$28,MATCH($J781,Mapping!$D$17:$D$28,0)),"(unmapped)")))))</f>
        <v/>
      </c>
    </row>
    <row r="782" spans="11:11" x14ac:dyDescent="0.3">
      <c r="K782" t="str">
        <f>IF($D782="","",IFERROR(INDEX(Mapping!$H$3:$H$32,MATCH($B782,Mapping!$G$3:$G$32,0)),IF(LEFT($F782,3)="P2P",IFERROR(INDEX(Mapping!$E$3:$E$6,MATCH($G782,Mapping!$D$3:$D$6,0)),IFERROR(INDEX(Mapping!$B$3:$B$13,MATCH($J782,Mapping!$A$3:$A$13,0)),"(unmapped)")),IFERROR(INDEX(Mapping!$B$17:$B$22,MATCH($F782,Mapping!$A$17:$A$22,0)),$F782)&amp;" "&amp;IF($G782="Banking","Banking",IFERROR(INDEX(Mapping!$E$17:$E$28,MATCH($J782,Mapping!$D$17:$D$28,0)),"(unmapped)")))))</f>
        <v/>
      </c>
    </row>
    <row r="783" spans="11:11" x14ac:dyDescent="0.3">
      <c r="K783" t="str">
        <f>IF($D783="","",IFERROR(INDEX(Mapping!$H$3:$H$32,MATCH($B783,Mapping!$G$3:$G$32,0)),IF(LEFT($F783,3)="P2P",IFERROR(INDEX(Mapping!$E$3:$E$6,MATCH($G783,Mapping!$D$3:$D$6,0)),IFERROR(INDEX(Mapping!$B$3:$B$13,MATCH($J783,Mapping!$A$3:$A$13,0)),"(unmapped)")),IFERROR(INDEX(Mapping!$B$17:$B$22,MATCH($F783,Mapping!$A$17:$A$22,0)),$F783)&amp;" "&amp;IF($G783="Banking","Banking",IFERROR(INDEX(Mapping!$E$17:$E$28,MATCH($J783,Mapping!$D$17:$D$28,0)),"(unmapped)")))))</f>
        <v/>
      </c>
    </row>
    <row r="784" spans="11:11" x14ac:dyDescent="0.3">
      <c r="K784" t="str">
        <f>IF($D784="","",IFERROR(INDEX(Mapping!$H$3:$H$32,MATCH($B784,Mapping!$G$3:$G$32,0)),IF(LEFT($F784,3)="P2P",IFERROR(INDEX(Mapping!$E$3:$E$6,MATCH($G784,Mapping!$D$3:$D$6,0)),IFERROR(INDEX(Mapping!$B$3:$B$13,MATCH($J784,Mapping!$A$3:$A$13,0)),"(unmapped)")),IFERROR(INDEX(Mapping!$B$17:$B$22,MATCH($F784,Mapping!$A$17:$A$22,0)),$F784)&amp;" "&amp;IF($G784="Banking","Banking",IFERROR(INDEX(Mapping!$E$17:$E$28,MATCH($J784,Mapping!$D$17:$D$28,0)),"(unmapped)")))))</f>
        <v/>
      </c>
    </row>
    <row r="785" spans="11:11" x14ac:dyDescent="0.3">
      <c r="K785" t="str">
        <f>IF($D785="","",IFERROR(INDEX(Mapping!$H$3:$H$32,MATCH($B785,Mapping!$G$3:$G$32,0)),IF(LEFT($F785,3)="P2P",IFERROR(INDEX(Mapping!$E$3:$E$6,MATCH($G785,Mapping!$D$3:$D$6,0)),IFERROR(INDEX(Mapping!$B$3:$B$13,MATCH($J785,Mapping!$A$3:$A$13,0)),"(unmapped)")),IFERROR(INDEX(Mapping!$B$17:$B$22,MATCH($F785,Mapping!$A$17:$A$22,0)),$F785)&amp;" "&amp;IF($G785="Banking","Banking",IFERROR(INDEX(Mapping!$E$17:$E$28,MATCH($J785,Mapping!$D$17:$D$28,0)),"(unmapped)")))))</f>
        <v/>
      </c>
    </row>
    <row r="786" spans="11:11" x14ac:dyDescent="0.3">
      <c r="K786" t="str">
        <f>IF($D786="","",IFERROR(INDEX(Mapping!$H$3:$H$32,MATCH($B786,Mapping!$G$3:$G$32,0)),IF(LEFT($F786,3)="P2P",IFERROR(INDEX(Mapping!$E$3:$E$6,MATCH($G786,Mapping!$D$3:$D$6,0)),IFERROR(INDEX(Mapping!$B$3:$B$13,MATCH($J786,Mapping!$A$3:$A$13,0)),"(unmapped)")),IFERROR(INDEX(Mapping!$B$17:$B$22,MATCH($F786,Mapping!$A$17:$A$22,0)),$F786)&amp;" "&amp;IF($G786="Banking","Banking",IFERROR(INDEX(Mapping!$E$17:$E$28,MATCH($J786,Mapping!$D$17:$D$28,0)),"(unmapped)")))))</f>
        <v/>
      </c>
    </row>
    <row r="787" spans="11:11" x14ac:dyDescent="0.3">
      <c r="K787" t="str">
        <f>IF($D787="","",IFERROR(INDEX(Mapping!$H$3:$H$32,MATCH($B787,Mapping!$G$3:$G$32,0)),IF(LEFT($F787,3)="P2P",IFERROR(INDEX(Mapping!$E$3:$E$6,MATCH($G787,Mapping!$D$3:$D$6,0)),IFERROR(INDEX(Mapping!$B$3:$B$13,MATCH($J787,Mapping!$A$3:$A$13,0)),"(unmapped)")),IFERROR(INDEX(Mapping!$B$17:$B$22,MATCH($F787,Mapping!$A$17:$A$22,0)),$F787)&amp;" "&amp;IF($G787="Banking","Banking",IFERROR(INDEX(Mapping!$E$17:$E$28,MATCH($J787,Mapping!$D$17:$D$28,0)),"(unmapped)")))))</f>
        <v/>
      </c>
    </row>
    <row r="788" spans="11:11" x14ac:dyDescent="0.3">
      <c r="K788" t="str">
        <f>IF($D788="","",IFERROR(INDEX(Mapping!$H$3:$H$32,MATCH($B788,Mapping!$G$3:$G$32,0)),IF(LEFT($F788,3)="P2P",IFERROR(INDEX(Mapping!$E$3:$E$6,MATCH($G788,Mapping!$D$3:$D$6,0)),IFERROR(INDEX(Mapping!$B$3:$B$13,MATCH($J788,Mapping!$A$3:$A$13,0)),"(unmapped)")),IFERROR(INDEX(Mapping!$B$17:$B$22,MATCH($F788,Mapping!$A$17:$A$22,0)),$F788)&amp;" "&amp;IF($G788="Banking","Banking",IFERROR(INDEX(Mapping!$E$17:$E$28,MATCH($J788,Mapping!$D$17:$D$28,0)),"(unmapped)")))))</f>
        <v/>
      </c>
    </row>
    <row r="789" spans="11:11" x14ac:dyDescent="0.3">
      <c r="K789" t="str">
        <f>IF($D789="","",IFERROR(INDEX(Mapping!$H$3:$H$32,MATCH($B789,Mapping!$G$3:$G$32,0)),IF(LEFT($F789,3)="P2P",IFERROR(INDEX(Mapping!$E$3:$E$6,MATCH($G789,Mapping!$D$3:$D$6,0)),IFERROR(INDEX(Mapping!$B$3:$B$13,MATCH($J789,Mapping!$A$3:$A$13,0)),"(unmapped)")),IFERROR(INDEX(Mapping!$B$17:$B$22,MATCH($F789,Mapping!$A$17:$A$22,0)),$F789)&amp;" "&amp;IF($G789="Banking","Banking",IFERROR(INDEX(Mapping!$E$17:$E$28,MATCH($J789,Mapping!$D$17:$D$28,0)),"(unmapped)")))))</f>
        <v/>
      </c>
    </row>
    <row r="790" spans="11:11" x14ac:dyDescent="0.3">
      <c r="K790" t="str">
        <f>IF($D790="","",IFERROR(INDEX(Mapping!$H$3:$H$32,MATCH($B790,Mapping!$G$3:$G$32,0)),IF(LEFT($F790,3)="P2P",IFERROR(INDEX(Mapping!$E$3:$E$6,MATCH($G790,Mapping!$D$3:$D$6,0)),IFERROR(INDEX(Mapping!$B$3:$B$13,MATCH($J790,Mapping!$A$3:$A$13,0)),"(unmapped)")),IFERROR(INDEX(Mapping!$B$17:$B$22,MATCH($F790,Mapping!$A$17:$A$22,0)),$F790)&amp;" "&amp;IF($G790="Banking","Banking",IFERROR(INDEX(Mapping!$E$17:$E$28,MATCH($J790,Mapping!$D$17:$D$28,0)),"(unmapped)")))))</f>
        <v/>
      </c>
    </row>
    <row r="791" spans="11:11" x14ac:dyDescent="0.3">
      <c r="K791" t="str">
        <f>IF($D791="","",IFERROR(INDEX(Mapping!$H$3:$H$32,MATCH($B791,Mapping!$G$3:$G$32,0)),IF(LEFT($F791,3)="P2P",IFERROR(INDEX(Mapping!$E$3:$E$6,MATCH($G791,Mapping!$D$3:$D$6,0)),IFERROR(INDEX(Mapping!$B$3:$B$13,MATCH($J791,Mapping!$A$3:$A$13,0)),"(unmapped)")),IFERROR(INDEX(Mapping!$B$17:$B$22,MATCH($F791,Mapping!$A$17:$A$22,0)),$F791)&amp;" "&amp;IF($G791="Banking","Banking",IFERROR(INDEX(Mapping!$E$17:$E$28,MATCH($J791,Mapping!$D$17:$D$28,0)),"(unmapped)")))))</f>
        <v/>
      </c>
    </row>
    <row r="792" spans="11:11" x14ac:dyDescent="0.3">
      <c r="K792" t="str">
        <f>IF($D792="","",IFERROR(INDEX(Mapping!$H$3:$H$32,MATCH($B792,Mapping!$G$3:$G$32,0)),IF(LEFT($F792,3)="P2P",IFERROR(INDEX(Mapping!$E$3:$E$6,MATCH($G792,Mapping!$D$3:$D$6,0)),IFERROR(INDEX(Mapping!$B$3:$B$13,MATCH($J792,Mapping!$A$3:$A$13,0)),"(unmapped)")),IFERROR(INDEX(Mapping!$B$17:$B$22,MATCH($F792,Mapping!$A$17:$A$22,0)),$F792)&amp;" "&amp;IF($G792="Banking","Banking",IFERROR(INDEX(Mapping!$E$17:$E$28,MATCH($J792,Mapping!$D$17:$D$28,0)),"(unmapped)")))))</f>
        <v/>
      </c>
    </row>
    <row r="793" spans="11:11" x14ac:dyDescent="0.3">
      <c r="K793" t="str">
        <f>IF($D793="","",IFERROR(INDEX(Mapping!$H$3:$H$32,MATCH($B793,Mapping!$G$3:$G$32,0)),IF(LEFT($F793,3)="P2P",IFERROR(INDEX(Mapping!$E$3:$E$6,MATCH($G793,Mapping!$D$3:$D$6,0)),IFERROR(INDEX(Mapping!$B$3:$B$13,MATCH($J793,Mapping!$A$3:$A$13,0)),"(unmapped)")),IFERROR(INDEX(Mapping!$B$17:$B$22,MATCH($F793,Mapping!$A$17:$A$22,0)),$F793)&amp;" "&amp;IF($G793="Banking","Banking",IFERROR(INDEX(Mapping!$E$17:$E$28,MATCH($J793,Mapping!$D$17:$D$28,0)),"(unmapped)")))))</f>
        <v/>
      </c>
    </row>
    <row r="794" spans="11:11" x14ac:dyDescent="0.3">
      <c r="K794" t="str">
        <f>IF($D794="","",IFERROR(INDEX(Mapping!$H$3:$H$32,MATCH($B794,Mapping!$G$3:$G$32,0)),IF(LEFT($F794,3)="P2P",IFERROR(INDEX(Mapping!$E$3:$E$6,MATCH($G794,Mapping!$D$3:$D$6,0)),IFERROR(INDEX(Mapping!$B$3:$B$13,MATCH($J794,Mapping!$A$3:$A$13,0)),"(unmapped)")),IFERROR(INDEX(Mapping!$B$17:$B$22,MATCH($F794,Mapping!$A$17:$A$22,0)),$F794)&amp;" "&amp;IF($G794="Banking","Banking",IFERROR(INDEX(Mapping!$E$17:$E$28,MATCH($J794,Mapping!$D$17:$D$28,0)),"(unmapped)")))))</f>
        <v/>
      </c>
    </row>
    <row r="795" spans="11:11" x14ac:dyDescent="0.3">
      <c r="K795" t="str">
        <f>IF($D795="","",IFERROR(INDEX(Mapping!$H$3:$H$32,MATCH($B795,Mapping!$G$3:$G$32,0)),IF(LEFT($F795,3)="P2P",IFERROR(INDEX(Mapping!$E$3:$E$6,MATCH($G795,Mapping!$D$3:$D$6,0)),IFERROR(INDEX(Mapping!$B$3:$B$13,MATCH($J795,Mapping!$A$3:$A$13,0)),"(unmapped)")),IFERROR(INDEX(Mapping!$B$17:$B$22,MATCH($F795,Mapping!$A$17:$A$22,0)),$F795)&amp;" "&amp;IF($G795="Banking","Banking",IFERROR(INDEX(Mapping!$E$17:$E$28,MATCH($J795,Mapping!$D$17:$D$28,0)),"(unmapped)")))))</f>
        <v/>
      </c>
    </row>
    <row r="796" spans="11:11" x14ac:dyDescent="0.3">
      <c r="K796" t="str">
        <f>IF($D796="","",IFERROR(INDEX(Mapping!$H$3:$H$32,MATCH($B796,Mapping!$G$3:$G$32,0)),IF(LEFT($F796,3)="P2P",IFERROR(INDEX(Mapping!$E$3:$E$6,MATCH($G796,Mapping!$D$3:$D$6,0)),IFERROR(INDEX(Mapping!$B$3:$B$13,MATCH($J796,Mapping!$A$3:$A$13,0)),"(unmapped)")),IFERROR(INDEX(Mapping!$B$17:$B$22,MATCH($F796,Mapping!$A$17:$A$22,0)),$F796)&amp;" "&amp;IF($G796="Banking","Banking",IFERROR(INDEX(Mapping!$E$17:$E$28,MATCH($J796,Mapping!$D$17:$D$28,0)),"(unmapped)")))))</f>
        <v/>
      </c>
    </row>
    <row r="797" spans="11:11" x14ac:dyDescent="0.3">
      <c r="K797" t="str">
        <f>IF($D797="","",IFERROR(INDEX(Mapping!$H$3:$H$32,MATCH($B797,Mapping!$G$3:$G$32,0)),IF(LEFT($F797,3)="P2P",IFERROR(INDEX(Mapping!$E$3:$E$6,MATCH($G797,Mapping!$D$3:$D$6,0)),IFERROR(INDEX(Mapping!$B$3:$B$13,MATCH($J797,Mapping!$A$3:$A$13,0)),"(unmapped)")),IFERROR(INDEX(Mapping!$B$17:$B$22,MATCH($F797,Mapping!$A$17:$A$22,0)),$F797)&amp;" "&amp;IF($G797="Banking","Banking",IFERROR(INDEX(Mapping!$E$17:$E$28,MATCH($J797,Mapping!$D$17:$D$28,0)),"(unmapped)")))))</f>
        <v/>
      </c>
    </row>
    <row r="798" spans="11:11" x14ac:dyDescent="0.3">
      <c r="K798" t="str">
        <f>IF($D798="","",IFERROR(INDEX(Mapping!$H$3:$H$32,MATCH($B798,Mapping!$G$3:$G$32,0)),IF(LEFT($F798,3)="P2P",IFERROR(INDEX(Mapping!$E$3:$E$6,MATCH($G798,Mapping!$D$3:$D$6,0)),IFERROR(INDEX(Mapping!$B$3:$B$13,MATCH($J798,Mapping!$A$3:$A$13,0)),"(unmapped)")),IFERROR(INDEX(Mapping!$B$17:$B$22,MATCH($F798,Mapping!$A$17:$A$22,0)),$F798)&amp;" "&amp;IF($G798="Banking","Banking",IFERROR(INDEX(Mapping!$E$17:$E$28,MATCH($J798,Mapping!$D$17:$D$28,0)),"(unmapped)")))))</f>
        <v/>
      </c>
    </row>
    <row r="799" spans="11:11" x14ac:dyDescent="0.3">
      <c r="K799" t="str">
        <f>IF($D799="","",IFERROR(INDEX(Mapping!$H$3:$H$32,MATCH($B799,Mapping!$G$3:$G$32,0)),IF(LEFT($F799,3)="P2P",IFERROR(INDEX(Mapping!$E$3:$E$6,MATCH($G799,Mapping!$D$3:$D$6,0)),IFERROR(INDEX(Mapping!$B$3:$B$13,MATCH($J799,Mapping!$A$3:$A$13,0)),"(unmapped)")),IFERROR(INDEX(Mapping!$B$17:$B$22,MATCH($F799,Mapping!$A$17:$A$22,0)),$F799)&amp;" "&amp;IF($G799="Banking","Banking",IFERROR(INDEX(Mapping!$E$17:$E$28,MATCH($J799,Mapping!$D$17:$D$28,0)),"(unmapped)")))))</f>
        <v/>
      </c>
    </row>
    <row r="800" spans="11:11" x14ac:dyDescent="0.3">
      <c r="K800" t="str">
        <f>IF($D800="","",IFERROR(INDEX(Mapping!$H$3:$H$32,MATCH($B800,Mapping!$G$3:$G$32,0)),IF(LEFT($F800,3)="P2P",IFERROR(INDEX(Mapping!$E$3:$E$6,MATCH($G800,Mapping!$D$3:$D$6,0)),IFERROR(INDEX(Mapping!$B$3:$B$13,MATCH($J800,Mapping!$A$3:$A$13,0)),"(unmapped)")),IFERROR(INDEX(Mapping!$B$17:$B$22,MATCH($F800,Mapping!$A$17:$A$22,0)),$F800)&amp;" "&amp;IF($G800="Banking","Banking",IFERROR(INDEX(Mapping!$E$17:$E$28,MATCH($J800,Mapping!$D$17:$D$28,0)),"(unmapped)")))))</f>
        <v/>
      </c>
    </row>
    <row r="801" spans="11:11" x14ac:dyDescent="0.3">
      <c r="K801" t="str">
        <f>IF($D801="","",IFERROR(INDEX(Mapping!$H$3:$H$32,MATCH($B801,Mapping!$G$3:$G$32,0)),IF(LEFT($F801,3)="P2P",IFERROR(INDEX(Mapping!$E$3:$E$6,MATCH($G801,Mapping!$D$3:$D$6,0)),IFERROR(INDEX(Mapping!$B$3:$B$13,MATCH($J801,Mapping!$A$3:$A$13,0)),"(unmapped)")),IFERROR(INDEX(Mapping!$B$17:$B$22,MATCH($F801,Mapping!$A$17:$A$22,0)),$F801)&amp;" "&amp;IF($G801="Banking","Banking",IFERROR(INDEX(Mapping!$E$17:$E$28,MATCH($J801,Mapping!$D$17:$D$28,0)),"(unmapped)")))))</f>
        <v/>
      </c>
    </row>
    <row r="802" spans="11:11" x14ac:dyDescent="0.3">
      <c r="K802" t="str">
        <f>IF($D802="","",IFERROR(INDEX(Mapping!$H$3:$H$32,MATCH($B802,Mapping!$G$3:$G$32,0)),IF(LEFT($F802,3)="P2P",IFERROR(INDEX(Mapping!$E$3:$E$6,MATCH($G802,Mapping!$D$3:$D$6,0)),IFERROR(INDEX(Mapping!$B$3:$B$13,MATCH($J802,Mapping!$A$3:$A$13,0)),"(unmapped)")),IFERROR(INDEX(Mapping!$B$17:$B$22,MATCH($F802,Mapping!$A$17:$A$22,0)),$F802)&amp;" "&amp;IF($G802="Banking","Banking",IFERROR(INDEX(Mapping!$E$17:$E$28,MATCH($J802,Mapping!$D$17:$D$28,0)),"(unmapped)")))))</f>
        <v/>
      </c>
    </row>
    <row r="803" spans="11:11" x14ac:dyDescent="0.3">
      <c r="K803" t="str">
        <f>IF($D803="","",IFERROR(INDEX(Mapping!$H$3:$H$32,MATCH($B803,Mapping!$G$3:$G$32,0)),IF(LEFT($F803,3)="P2P",IFERROR(INDEX(Mapping!$E$3:$E$6,MATCH($G803,Mapping!$D$3:$D$6,0)),IFERROR(INDEX(Mapping!$B$3:$B$13,MATCH($J803,Mapping!$A$3:$A$13,0)),"(unmapped)")),IFERROR(INDEX(Mapping!$B$17:$B$22,MATCH($F803,Mapping!$A$17:$A$22,0)),$F803)&amp;" "&amp;IF($G803="Banking","Banking",IFERROR(INDEX(Mapping!$E$17:$E$28,MATCH($J803,Mapping!$D$17:$D$28,0)),"(unmapped)")))))</f>
        <v/>
      </c>
    </row>
    <row r="804" spans="11:11" x14ac:dyDescent="0.3">
      <c r="K804" t="str">
        <f>IF($D804="","",IFERROR(INDEX(Mapping!$H$3:$H$32,MATCH($B804,Mapping!$G$3:$G$32,0)),IF(LEFT($F804,3)="P2P",IFERROR(INDEX(Mapping!$E$3:$E$6,MATCH($G804,Mapping!$D$3:$D$6,0)),IFERROR(INDEX(Mapping!$B$3:$B$13,MATCH($J804,Mapping!$A$3:$A$13,0)),"(unmapped)")),IFERROR(INDEX(Mapping!$B$17:$B$22,MATCH($F804,Mapping!$A$17:$A$22,0)),$F804)&amp;" "&amp;IF($G804="Banking","Banking",IFERROR(INDEX(Mapping!$E$17:$E$28,MATCH($J804,Mapping!$D$17:$D$28,0)),"(unmapped)")))))</f>
        <v/>
      </c>
    </row>
    <row r="805" spans="11:11" x14ac:dyDescent="0.3">
      <c r="K805" t="str">
        <f>IF($D805="","",IFERROR(INDEX(Mapping!$H$3:$H$32,MATCH($B805,Mapping!$G$3:$G$32,0)),IF(LEFT($F805,3)="P2P",IFERROR(INDEX(Mapping!$E$3:$E$6,MATCH($G805,Mapping!$D$3:$D$6,0)),IFERROR(INDEX(Mapping!$B$3:$B$13,MATCH($J805,Mapping!$A$3:$A$13,0)),"(unmapped)")),IFERROR(INDEX(Mapping!$B$17:$B$22,MATCH($F805,Mapping!$A$17:$A$22,0)),$F805)&amp;" "&amp;IF($G805="Banking","Banking",IFERROR(INDEX(Mapping!$E$17:$E$28,MATCH($J805,Mapping!$D$17:$D$28,0)),"(unmapped)")))))</f>
        <v/>
      </c>
    </row>
    <row r="806" spans="11:11" x14ac:dyDescent="0.3">
      <c r="K806" t="str">
        <f>IF($D806="","",IFERROR(INDEX(Mapping!$H$3:$H$32,MATCH($B806,Mapping!$G$3:$G$32,0)),IF(LEFT($F806,3)="P2P",IFERROR(INDEX(Mapping!$E$3:$E$6,MATCH($G806,Mapping!$D$3:$D$6,0)),IFERROR(INDEX(Mapping!$B$3:$B$13,MATCH($J806,Mapping!$A$3:$A$13,0)),"(unmapped)")),IFERROR(INDEX(Mapping!$B$17:$B$22,MATCH($F806,Mapping!$A$17:$A$22,0)),$F806)&amp;" "&amp;IF($G806="Banking","Banking",IFERROR(INDEX(Mapping!$E$17:$E$28,MATCH($J806,Mapping!$D$17:$D$28,0)),"(unmapped)")))))</f>
        <v/>
      </c>
    </row>
    <row r="807" spans="11:11" x14ac:dyDescent="0.3">
      <c r="K807" t="str">
        <f>IF($D807="","",IFERROR(INDEX(Mapping!$H$3:$H$32,MATCH($B807,Mapping!$G$3:$G$32,0)),IF(LEFT($F807,3)="P2P",IFERROR(INDEX(Mapping!$E$3:$E$6,MATCH($G807,Mapping!$D$3:$D$6,0)),IFERROR(INDEX(Mapping!$B$3:$B$13,MATCH($J807,Mapping!$A$3:$A$13,0)),"(unmapped)")),IFERROR(INDEX(Mapping!$B$17:$B$22,MATCH($F807,Mapping!$A$17:$A$22,0)),$F807)&amp;" "&amp;IF($G807="Banking","Banking",IFERROR(INDEX(Mapping!$E$17:$E$28,MATCH($J807,Mapping!$D$17:$D$28,0)),"(unmapped)")))))</f>
        <v/>
      </c>
    </row>
    <row r="808" spans="11:11" x14ac:dyDescent="0.3">
      <c r="K808" t="str">
        <f>IF($D808="","",IFERROR(INDEX(Mapping!$H$3:$H$32,MATCH($B808,Mapping!$G$3:$G$32,0)),IF(LEFT($F808,3)="P2P",IFERROR(INDEX(Mapping!$E$3:$E$6,MATCH($G808,Mapping!$D$3:$D$6,0)),IFERROR(INDEX(Mapping!$B$3:$B$13,MATCH($J808,Mapping!$A$3:$A$13,0)),"(unmapped)")),IFERROR(INDEX(Mapping!$B$17:$B$22,MATCH($F808,Mapping!$A$17:$A$22,0)),$F808)&amp;" "&amp;IF($G808="Banking","Banking",IFERROR(INDEX(Mapping!$E$17:$E$28,MATCH($J808,Mapping!$D$17:$D$28,0)),"(unmapped)")))))</f>
        <v/>
      </c>
    </row>
    <row r="809" spans="11:11" x14ac:dyDescent="0.3">
      <c r="K809" t="str">
        <f>IF($D809="","",IFERROR(INDEX(Mapping!$H$3:$H$32,MATCH($B809,Mapping!$G$3:$G$32,0)),IF(LEFT($F809,3)="P2P",IFERROR(INDEX(Mapping!$E$3:$E$6,MATCH($G809,Mapping!$D$3:$D$6,0)),IFERROR(INDEX(Mapping!$B$3:$B$13,MATCH($J809,Mapping!$A$3:$A$13,0)),"(unmapped)")),IFERROR(INDEX(Mapping!$B$17:$B$22,MATCH($F809,Mapping!$A$17:$A$22,0)),$F809)&amp;" "&amp;IF($G809="Banking","Banking",IFERROR(INDEX(Mapping!$E$17:$E$28,MATCH($J809,Mapping!$D$17:$D$28,0)),"(unmapped)")))))</f>
        <v/>
      </c>
    </row>
    <row r="810" spans="11:11" x14ac:dyDescent="0.3">
      <c r="K810" t="str">
        <f>IF($D810="","",IFERROR(INDEX(Mapping!$H$3:$H$32,MATCH($B810,Mapping!$G$3:$G$32,0)),IF(LEFT($F810,3)="P2P",IFERROR(INDEX(Mapping!$E$3:$E$6,MATCH($G810,Mapping!$D$3:$D$6,0)),IFERROR(INDEX(Mapping!$B$3:$B$13,MATCH($J810,Mapping!$A$3:$A$13,0)),"(unmapped)")),IFERROR(INDEX(Mapping!$B$17:$B$22,MATCH($F810,Mapping!$A$17:$A$22,0)),$F810)&amp;" "&amp;IF($G810="Banking","Banking",IFERROR(INDEX(Mapping!$E$17:$E$28,MATCH($J810,Mapping!$D$17:$D$28,0)),"(unmapped)")))))</f>
        <v/>
      </c>
    </row>
    <row r="811" spans="11:11" x14ac:dyDescent="0.3">
      <c r="K811" t="str">
        <f>IF($D811="","",IFERROR(INDEX(Mapping!$H$3:$H$32,MATCH($B811,Mapping!$G$3:$G$32,0)),IF(LEFT($F811,3)="P2P",IFERROR(INDEX(Mapping!$E$3:$E$6,MATCH($G811,Mapping!$D$3:$D$6,0)),IFERROR(INDEX(Mapping!$B$3:$B$13,MATCH($J811,Mapping!$A$3:$A$13,0)),"(unmapped)")),IFERROR(INDEX(Mapping!$B$17:$B$22,MATCH($F811,Mapping!$A$17:$A$22,0)),$F811)&amp;" "&amp;IF($G811="Banking","Banking",IFERROR(INDEX(Mapping!$E$17:$E$28,MATCH($J811,Mapping!$D$17:$D$28,0)),"(unmapped)")))))</f>
        <v/>
      </c>
    </row>
    <row r="812" spans="11:11" x14ac:dyDescent="0.3">
      <c r="K812" t="str">
        <f>IF($D812="","",IFERROR(INDEX(Mapping!$H$3:$H$32,MATCH($B812,Mapping!$G$3:$G$32,0)),IF(LEFT($F812,3)="P2P",IFERROR(INDEX(Mapping!$E$3:$E$6,MATCH($G812,Mapping!$D$3:$D$6,0)),IFERROR(INDEX(Mapping!$B$3:$B$13,MATCH($J812,Mapping!$A$3:$A$13,0)),"(unmapped)")),IFERROR(INDEX(Mapping!$B$17:$B$22,MATCH($F812,Mapping!$A$17:$A$22,0)),$F812)&amp;" "&amp;IF($G812="Banking","Banking",IFERROR(INDEX(Mapping!$E$17:$E$28,MATCH($J812,Mapping!$D$17:$D$28,0)),"(unmapped)")))))</f>
        <v/>
      </c>
    </row>
    <row r="813" spans="11:11" x14ac:dyDescent="0.3">
      <c r="K813" t="str">
        <f>IF($D813="","",IFERROR(INDEX(Mapping!$H$3:$H$32,MATCH($B813,Mapping!$G$3:$G$32,0)),IF(LEFT($F813,3)="P2P",IFERROR(INDEX(Mapping!$E$3:$E$6,MATCH($G813,Mapping!$D$3:$D$6,0)),IFERROR(INDEX(Mapping!$B$3:$B$13,MATCH($J813,Mapping!$A$3:$A$13,0)),"(unmapped)")),IFERROR(INDEX(Mapping!$B$17:$B$22,MATCH($F813,Mapping!$A$17:$A$22,0)),$F813)&amp;" "&amp;IF($G813="Banking","Banking",IFERROR(INDEX(Mapping!$E$17:$E$28,MATCH($J813,Mapping!$D$17:$D$28,0)),"(unmapped)")))))</f>
        <v/>
      </c>
    </row>
    <row r="814" spans="11:11" x14ac:dyDescent="0.3">
      <c r="K814" t="str">
        <f>IF($D814="","",IFERROR(INDEX(Mapping!$H$3:$H$32,MATCH($B814,Mapping!$G$3:$G$32,0)),IF(LEFT($F814,3)="P2P",IFERROR(INDEX(Mapping!$E$3:$E$6,MATCH($G814,Mapping!$D$3:$D$6,0)),IFERROR(INDEX(Mapping!$B$3:$B$13,MATCH($J814,Mapping!$A$3:$A$13,0)),"(unmapped)")),IFERROR(INDEX(Mapping!$B$17:$B$22,MATCH($F814,Mapping!$A$17:$A$22,0)),$F814)&amp;" "&amp;IF($G814="Banking","Banking",IFERROR(INDEX(Mapping!$E$17:$E$28,MATCH($J814,Mapping!$D$17:$D$28,0)),"(unmapped)")))))</f>
        <v/>
      </c>
    </row>
    <row r="815" spans="11:11" x14ac:dyDescent="0.3">
      <c r="K815" t="str">
        <f>IF($D815="","",IFERROR(INDEX(Mapping!$H$3:$H$32,MATCH($B815,Mapping!$G$3:$G$32,0)),IF(LEFT($F815,3)="P2P",IFERROR(INDEX(Mapping!$E$3:$E$6,MATCH($G815,Mapping!$D$3:$D$6,0)),IFERROR(INDEX(Mapping!$B$3:$B$13,MATCH($J815,Mapping!$A$3:$A$13,0)),"(unmapped)")),IFERROR(INDEX(Mapping!$B$17:$B$22,MATCH($F815,Mapping!$A$17:$A$22,0)),$F815)&amp;" "&amp;IF($G815="Banking","Banking",IFERROR(INDEX(Mapping!$E$17:$E$28,MATCH($J815,Mapping!$D$17:$D$28,0)),"(unmapped)")))))</f>
        <v/>
      </c>
    </row>
    <row r="816" spans="11:11" x14ac:dyDescent="0.3">
      <c r="K816" t="str">
        <f>IF($D816="","",IFERROR(INDEX(Mapping!$H$3:$H$32,MATCH($B816,Mapping!$G$3:$G$32,0)),IF(LEFT($F816,3)="P2P",IFERROR(INDEX(Mapping!$E$3:$E$6,MATCH($G816,Mapping!$D$3:$D$6,0)),IFERROR(INDEX(Mapping!$B$3:$B$13,MATCH($J816,Mapping!$A$3:$A$13,0)),"(unmapped)")),IFERROR(INDEX(Mapping!$B$17:$B$22,MATCH($F816,Mapping!$A$17:$A$22,0)),$F816)&amp;" "&amp;IF($G816="Banking","Banking",IFERROR(INDEX(Mapping!$E$17:$E$28,MATCH($J816,Mapping!$D$17:$D$28,0)),"(unmapped)")))))</f>
        <v/>
      </c>
    </row>
    <row r="817" spans="11:11" x14ac:dyDescent="0.3">
      <c r="K817" t="str">
        <f>IF($D817="","",IFERROR(INDEX(Mapping!$H$3:$H$32,MATCH($B817,Mapping!$G$3:$G$32,0)),IF(LEFT($F817,3)="P2P",IFERROR(INDEX(Mapping!$E$3:$E$6,MATCH($G817,Mapping!$D$3:$D$6,0)),IFERROR(INDEX(Mapping!$B$3:$B$13,MATCH($J817,Mapping!$A$3:$A$13,0)),"(unmapped)")),IFERROR(INDEX(Mapping!$B$17:$B$22,MATCH($F817,Mapping!$A$17:$A$22,0)),$F817)&amp;" "&amp;IF($G817="Banking","Banking",IFERROR(INDEX(Mapping!$E$17:$E$28,MATCH($J817,Mapping!$D$17:$D$28,0)),"(unmapped)")))))</f>
        <v/>
      </c>
    </row>
    <row r="818" spans="11:11" x14ac:dyDescent="0.3">
      <c r="K818" t="str">
        <f>IF($D818="","",IFERROR(INDEX(Mapping!$H$3:$H$32,MATCH($B818,Mapping!$G$3:$G$32,0)),IF(LEFT($F818,3)="P2P",IFERROR(INDEX(Mapping!$E$3:$E$6,MATCH($G818,Mapping!$D$3:$D$6,0)),IFERROR(INDEX(Mapping!$B$3:$B$13,MATCH($J818,Mapping!$A$3:$A$13,0)),"(unmapped)")),IFERROR(INDEX(Mapping!$B$17:$B$22,MATCH($F818,Mapping!$A$17:$A$22,0)),$F818)&amp;" "&amp;IF($G818="Banking","Banking",IFERROR(INDEX(Mapping!$E$17:$E$28,MATCH($J818,Mapping!$D$17:$D$28,0)),"(unmapped)")))))</f>
        <v/>
      </c>
    </row>
    <row r="819" spans="11:11" x14ac:dyDescent="0.3">
      <c r="K819" t="str">
        <f>IF($D819="","",IFERROR(INDEX(Mapping!$H$3:$H$32,MATCH($B819,Mapping!$G$3:$G$32,0)),IF(LEFT($F819,3)="P2P",IFERROR(INDEX(Mapping!$E$3:$E$6,MATCH($G819,Mapping!$D$3:$D$6,0)),IFERROR(INDEX(Mapping!$B$3:$B$13,MATCH($J819,Mapping!$A$3:$A$13,0)),"(unmapped)")),IFERROR(INDEX(Mapping!$B$17:$B$22,MATCH($F819,Mapping!$A$17:$A$22,0)),$F819)&amp;" "&amp;IF($G819="Banking","Banking",IFERROR(INDEX(Mapping!$E$17:$E$28,MATCH($J819,Mapping!$D$17:$D$28,0)),"(unmapped)")))))</f>
        <v/>
      </c>
    </row>
    <row r="820" spans="11:11" x14ac:dyDescent="0.3">
      <c r="K820" t="str">
        <f>IF($D820="","",IFERROR(INDEX(Mapping!$H$3:$H$32,MATCH($B820,Mapping!$G$3:$G$32,0)),IF(LEFT($F820,3)="P2P",IFERROR(INDEX(Mapping!$E$3:$E$6,MATCH($G820,Mapping!$D$3:$D$6,0)),IFERROR(INDEX(Mapping!$B$3:$B$13,MATCH($J820,Mapping!$A$3:$A$13,0)),"(unmapped)")),IFERROR(INDEX(Mapping!$B$17:$B$22,MATCH($F820,Mapping!$A$17:$A$22,0)),$F820)&amp;" "&amp;IF($G820="Banking","Banking",IFERROR(INDEX(Mapping!$E$17:$E$28,MATCH($J820,Mapping!$D$17:$D$28,0)),"(unmapped)")))))</f>
        <v/>
      </c>
    </row>
    <row r="821" spans="11:11" x14ac:dyDescent="0.3">
      <c r="K821" t="str">
        <f>IF($D821="","",IFERROR(INDEX(Mapping!$H$3:$H$32,MATCH($B821,Mapping!$G$3:$G$32,0)),IF(LEFT($F821,3)="P2P",IFERROR(INDEX(Mapping!$E$3:$E$6,MATCH($G821,Mapping!$D$3:$D$6,0)),IFERROR(INDEX(Mapping!$B$3:$B$13,MATCH($J821,Mapping!$A$3:$A$13,0)),"(unmapped)")),IFERROR(INDEX(Mapping!$B$17:$B$22,MATCH($F821,Mapping!$A$17:$A$22,0)),$F821)&amp;" "&amp;IF($G821="Banking","Banking",IFERROR(INDEX(Mapping!$E$17:$E$28,MATCH($J821,Mapping!$D$17:$D$28,0)),"(unmapped)")))))</f>
        <v/>
      </c>
    </row>
    <row r="822" spans="11:11" x14ac:dyDescent="0.3">
      <c r="K822" t="str">
        <f>IF($D822="","",IFERROR(INDEX(Mapping!$H$3:$H$32,MATCH($B822,Mapping!$G$3:$G$32,0)),IF(LEFT($F822,3)="P2P",IFERROR(INDEX(Mapping!$E$3:$E$6,MATCH($G822,Mapping!$D$3:$D$6,0)),IFERROR(INDEX(Mapping!$B$3:$B$13,MATCH($J822,Mapping!$A$3:$A$13,0)),"(unmapped)")),IFERROR(INDEX(Mapping!$B$17:$B$22,MATCH($F822,Mapping!$A$17:$A$22,0)),$F822)&amp;" "&amp;IF($G822="Banking","Banking",IFERROR(INDEX(Mapping!$E$17:$E$28,MATCH($J822,Mapping!$D$17:$D$28,0)),"(unmapped)")))))</f>
        <v/>
      </c>
    </row>
    <row r="823" spans="11:11" x14ac:dyDescent="0.3">
      <c r="K823" t="str">
        <f>IF($D823="","",IFERROR(INDEX(Mapping!$H$3:$H$32,MATCH($B823,Mapping!$G$3:$G$32,0)),IF(LEFT($F823,3)="P2P",IFERROR(INDEX(Mapping!$E$3:$E$6,MATCH($G823,Mapping!$D$3:$D$6,0)),IFERROR(INDEX(Mapping!$B$3:$B$13,MATCH($J823,Mapping!$A$3:$A$13,0)),"(unmapped)")),IFERROR(INDEX(Mapping!$B$17:$B$22,MATCH($F823,Mapping!$A$17:$A$22,0)),$F823)&amp;" "&amp;IF($G823="Banking","Banking",IFERROR(INDEX(Mapping!$E$17:$E$28,MATCH($J823,Mapping!$D$17:$D$28,0)),"(unmapped)")))))</f>
        <v/>
      </c>
    </row>
    <row r="824" spans="11:11" x14ac:dyDescent="0.3">
      <c r="K824" t="str">
        <f>IF($D824="","",IFERROR(INDEX(Mapping!$H$3:$H$32,MATCH($B824,Mapping!$G$3:$G$32,0)),IF(LEFT($F824,3)="P2P",IFERROR(INDEX(Mapping!$E$3:$E$6,MATCH($G824,Mapping!$D$3:$D$6,0)),IFERROR(INDEX(Mapping!$B$3:$B$13,MATCH($J824,Mapping!$A$3:$A$13,0)),"(unmapped)")),IFERROR(INDEX(Mapping!$B$17:$B$22,MATCH($F824,Mapping!$A$17:$A$22,0)),$F824)&amp;" "&amp;IF($G824="Banking","Banking",IFERROR(INDEX(Mapping!$E$17:$E$28,MATCH($J824,Mapping!$D$17:$D$28,0)),"(unmapped)")))))</f>
        <v/>
      </c>
    </row>
    <row r="825" spans="11:11" x14ac:dyDescent="0.3">
      <c r="K825" t="str">
        <f>IF($D825="","",IFERROR(INDEX(Mapping!$H$3:$H$32,MATCH($B825,Mapping!$G$3:$G$32,0)),IF(LEFT($F825,3)="P2P",IFERROR(INDEX(Mapping!$E$3:$E$6,MATCH($G825,Mapping!$D$3:$D$6,0)),IFERROR(INDEX(Mapping!$B$3:$B$13,MATCH($J825,Mapping!$A$3:$A$13,0)),"(unmapped)")),IFERROR(INDEX(Mapping!$B$17:$B$22,MATCH($F825,Mapping!$A$17:$A$22,0)),$F825)&amp;" "&amp;IF($G825="Banking","Banking",IFERROR(INDEX(Mapping!$E$17:$E$28,MATCH($J825,Mapping!$D$17:$D$28,0)),"(unmapped)")))))</f>
        <v/>
      </c>
    </row>
    <row r="826" spans="11:11" x14ac:dyDescent="0.3">
      <c r="K826" t="str">
        <f>IF($D826="","",IFERROR(INDEX(Mapping!$H$3:$H$32,MATCH($B826,Mapping!$G$3:$G$32,0)),IF(LEFT($F826,3)="P2P",IFERROR(INDEX(Mapping!$E$3:$E$6,MATCH($G826,Mapping!$D$3:$D$6,0)),IFERROR(INDEX(Mapping!$B$3:$B$13,MATCH($J826,Mapping!$A$3:$A$13,0)),"(unmapped)")),IFERROR(INDEX(Mapping!$B$17:$B$22,MATCH($F826,Mapping!$A$17:$A$22,0)),$F826)&amp;" "&amp;IF($G826="Banking","Banking",IFERROR(INDEX(Mapping!$E$17:$E$28,MATCH($J826,Mapping!$D$17:$D$28,0)),"(unmapped)")))))</f>
        <v/>
      </c>
    </row>
    <row r="827" spans="11:11" x14ac:dyDescent="0.3">
      <c r="K827" t="str">
        <f>IF($D827="","",IFERROR(INDEX(Mapping!$H$3:$H$32,MATCH($B827,Mapping!$G$3:$G$32,0)),IF(LEFT($F827,3)="P2P",IFERROR(INDEX(Mapping!$E$3:$E$6,MATCH($G827,Mapping!$D$3:$D$6,0)),IFERROR(INDEX(Mapping!$B$3:$B$13,MATCH($J827,Mapping!$A$3:$A$13,0)),"(unmapped)")),IFERROR(INDEX(Mapping!$B$17:$B$22,MATCH($F827,Mapping!$A$17:$A$22,0)),$F827)&amp;" "&amp;IF($G827="Banking","Banking",IFERROR(INDEX(Mapping!$E$17:$E$28,MATCH($J827,Mapping!$D$17:$D$28,0)),"(unmapped)")))))</f>
        <v/>
      </c>
    </row>
    <row r="828" spans="11:11" x14ac:dyDescent="0.3">
      <c r="K828" t="str">
        <f>IF($D828="","",IFERROR(INDEX(Mapping!$H$3:$H$32,MATCH($B828,Mapping!$G$3:$G$32,0)),IF(LEFT($F828,3)="P2P",IFERROR(INDEX(Mapping!$E$3:$E$6,MATCH($G828,Mapping!$D$3:$D$6,0)),IFERROR(INDEX(Mapping!$B$3:$B$13,MATCH($J828,Mapping!$A$3:$A$13,0)),"(unmapped)")),IFERROR(INDEX(Mapping!$B$17:$B$22,MATCH($F828,Mapping!$A$17:$A$22,0)),$F828)&amp;" "&amp;IF($G828="Banking","Banking",IFERROR(INDEX(Mapping!$E$17:$E$28,MATCH($J828,Mapping!$D$17:$D$28,0)),"(unmapped)")))))</f>
        <v/>
      </c>
    </row>
    <row r="829" spans="11:11" x14ac:dyDescent="0.3">
      <c r="K829" t="str">
        <f>IF($D829="","",IFERROR(INDEX(Mapping!$H$3:$H$32,MATCH($B829,Mapping!$G$3:$G$32,0)),IF(LEFT($F829,3)="P2P",IFERROR(INDEX(Mapping!$E$3:$E$6,MATCH($G829,Mapping!$D$3:$D$6,0)),IFERROR(INDEX(Mapping!$B$3:$B$13,MATCH($J829,Mapping!$A$3:$A$13,0)),"(unmapped)")),IFERROR(INDEX(Mapping!$B$17:$B$22,MATCH($F829,Mapping!$A$17:$A$22,0)),$F829)&amp;" "&amp;IF($G829="Banking","Banking",IFERROR(INDEX(Mapping!$E$17:$E$28,MATCH($J829,Mapping!$D$17:$D$28,0)),"(unmapped)")))))</f>
        <v/>
      </c>
    </row>
    <row r="830" spans="11:11" x14ac:dyDescent="0.3">
      <c r="K830" t="str">
        <f>IF($D830="","",IFERROR(INDEX(Mapping!$H$3:$H$32,MATCH($B830,Mapping!$G$3:$G$32,0)),IF(LEFT($F830,3)="P2P",IFERROR(INDEX(Mapping!$E$3:$E$6,MATCH($G830,Mapping!$D$3:$D$6,0)),IFERROR(INDEX(Mapping!$B$3:$B$13,MATCH($J830,Mapping!$A$3:$A$13,0)),"(unmapped)")),IFERROR(INDEX(Mapping!$B$17:$B$22,MATCH($F830,Mapping!$A$17:$A$22,0)),$F830)&amp;" "&amp;IF($G830="Banking","Banking",IFERROR(INDEX(Mapping!$E$17:$E$28,MATCH($J830,Mapping!$D$17:$D$28,0)),"(unmapped)")))))</f>
        <v/>
      </c>
    </row>
    <row r="831" spans="11:11" x14ac:dyDescent="0.3">
      <c r="K831" t="str">
        <f>IF($D831="","",IFERROR(INDEX(Mapping!$H$3:$H$32,MATCH($B831,Mapping!$G$3:$G$32,0)),IF(LEFT($F831,3)="P2P",IFERROR(INDEX(Mapping!$E$3:$E$6,MATCH($G831,Mapping!$D$3:$D$6,0)),IFERROR(INDEX(Mapping!$B$3:$B$13,MATCH($J831,Mapping!$A$3:$A$13,0)),"(unmapped)")),IFERROR(INDEX(Mapping!$B$17:$B$22,MATCH($F831,Mapping!$A$17:$A$22,0)),$F831)&amp;" "&amp;IF($G831="Banking","Banking",IFERROR(INDEX(Mapping!$E$17:$E$28,MATCH($J831,Mapping!$D$17:$D$28,0)),"(unmapped)")))))</f>
        <v/>
      </c>
    </row>
    <row r="832" spans="11:11" x14ac:dyDescent="0.3">
      <c r="K832" t="str">
        <f>IF($D832="","",IFERROR(INDEX(Mapping!$H$3:$H$32,MATCH($B832,Mapping!$G$3:$G$32,0)),IF(LEFT($F832,3)="P2P",IFERROR(INDEX(Mapping!$E$3:$E$6,MATCH($G832,Mapping!$D$3:$D$6,0)),IFERROR(INDEX(Mapping!$B$3:$B$13,MATCH($J832,Mapping!$A$3:$A$13,0)),"(unmapped)")),IFERROR(INDEX(Mapping!$B$17:$B$22,MATCH($F832,Mapping!$A$17:$A$22,0)),$F832)&amp;" "&amp;IF($G832="Banking","Banking",IFERROR(INDEX(Mapping!$E$17:$E$28,MATCH($J832,Mapping!$D$17:$D$28,0)),"(unmapped)")))))</f>
        <v/>
      </c>
    </row>
    <row r="833" spans="11:11" x14ac:dyDescent="0.3">
      <c r="K833" t="str">
        <f>IF($D833="","",IFERROR(INDEX(Mapping!$H$3:$H$32,MATCH($B833,Mapping!$G$3:$G$32,0)),IF(LEFT($F833,3)="P2P",IFERROR(INDEX(Mapping!$E$3:$E$6,MATCH($G833,Mapping!$D$3:$D$6,0)),IFERROR(INDEX(Mapping!$B$3:$B$13,MATCH($J833,Mapping!$A$3:$A$13,0)),"(unmapped)")),IFERROR(INDEX(Mapping!$B$17:$B$22,MATCH($F833,Mapping!$A$17:$A$22,0)),$F833)&amp;" "&amp;IF($G833="Banking","Banking",IFERROR(INDEX(Mapping!$E$17:$E$28,MATCH($J833,Mapping!$D$17:$D$28,0)),"(unmapped)")))))</f>
        <v/>
      </c>
    </row>
    <row r="834" spans="11:11" x14ac:dyDescent="0.3">
      <c r="K834" t="str">
        <f>IF($D834="","",IFERROR(INDEX(Mapping!$H$3:$H$32,MATCH($B834,Mapping!$G$3:$G$32,0)),IF(LEFT($F834,3)="P2P",IFERROR(INDEX(Mapping!$E$3:$E$6,MATCH($G834,Mapping!$D$3:$D$6,0)),IFERROR(INDEX(Mapping!$B$3:$B$13,MATCH($J834,Mapping!$A$3:$A$13,0)),"(unmapped)")),IFERROR(INDEX(Mapping!$B$17:$B$22,MATCH($F834,Mapping!$A$17:$A$22,0)),$F834)&amp;" "&amp;IF($G834="Banking","Banking",IFERROR(INDEX(Mapping!$E$17:$E$28,MATCH($J834,Mapping!$D$17:$D$28,0)),"(unmapped)")))))</f>
        <v/>
      </c>
    </row>
    <row r="835" spans="11:11" x14ac:dyDescent="0.3">
      <c r="K835" t="str">
        <f>IF($D835="","",IFERROR(INDEX(Mapping!$H$3:$H$32,MATCH($B835,Mapping!$G$3:$G$32,0)),IF(LEFT($F835,3)="P2P",IFERROR(INDEX(Mapping!$E$3:$E$6,MATCH($G835,Mapping!$D$3:$D$6,0)),IFERROR(INDEX(Mapping!$B$3:$B$13,MATCH($J835,Mapping!$A$3:$A$13,0)),"(unmapped)")),IFERROR(INDEX(Mapping!$B$17:$B$22,MATCH($F835,Mapping!$A$17:$A$22,0)),$F835)&amp;" "&amp;IF($G835="Banking","Banking",IFERROR(INDEX(Mapping!$E$17:$E$28,MATCH($J835,Mapping!$D$17:$D$28,0)),"(unmapped)")))))</f>
        <v/>
      </c>
    </row>
    <row r="836" spans="11:11" x14ac:dyDescent="0.3">
      <c r="K836" t="str">
        <f>IF($D836="","",IFERROR(INDEX(Mapping!$H$3:$H$32,MATCH($B836,Mapping!$G$3:$G$32,0)),IF(LEFT($F836,3)="P2P",IFERROR(INDEX(Mapping!$E$3:$E$6,MATCH($G836,Mapping!$D$3:$D$6,0)),IFERROR(INDEX(Mapping!$B$3:$B$13,MATCH($J836,Mapping!$A$3:$A$13,0)),"(unmapped)")),IFERROR(INDEX(Mapping!$B$17:$B$22,MATCH($F836,Mapping!$A$17:$A$22,0)),$F836)&amp;" "&amp;IF($G836="Banking","Banking",IFERROR(INDEX(Mapping!$E$17:$E$28,MATCH($J836,Mapping!$D$17:$D$28,0)),"(unmapped)")))))</f>
        <v/>
      </c>
    </row>
    <row r="837" spans="11:11" x14ac:dyDescent="0.3">
      <c r="K837" t="str">
        <f>IF($D837="","",IFERROR(INDEX(Mapping!$H$3:$H$32,MATCH($B837,Mapping!$G$3:$G$32,0)),IF(LEFT($F837,3)="P2P",IFERROR(INDEX(Mapping!$E$3:$E$6,MATCH($G837,Mapping!$D$3:$D$6,0)),IFERROR(INDEX(Mapping!$B$3:$B$13,MATCH($J837,Mapping!$A$3:$A$13,0)),"(unmapped)")),IFERROR(INDEX(Mapping!$B$17:$B$22,MATCH($F837,Mapping!$A$17:$A$22,0)),$F837)&amp;" "&amp;IF($G837="Banking","Banking",IFERROR(INDEX(Mapping!$E$17:$E$28,MATCH($J837,Mapping!$D$17:$D$28,0)),"(unmapped)")))))</f>
        <v/>
      </c>
    </row>
    <row r="838" spans="11:11" x14ac:dyDescent="0.3">
      <c r="K838" t="str">
        <f>IF($D838="","",IFERROR(INDEX(Mapping!$H$3:$H$32,MATCH($B838,Mapping!$G$3:$G$32,0)),IF(LEFT($F838,3)="P2P",IFERROR(INDEX(Mapping!$E$3:$E$6,MATCH($G838,Mapping!$D$3:$D$6,0)),IFERROR(INDEX(Mapping!$B$3:$B$13,MATCH($J838,Mapping!$A$3:$A$13,0)),"(unmapped)")),IFERROR(INDEX(Mapping!$B$17:$B$22,MATCH($F838,Mapping!$A$17:$A$22,0)),$F838)&amp;" "&amp;IF($G838="Banking","Banking",IFERROR(INDEX(Mapping!$E$17:$E$28,MATCH($J838,Mapping!$D$17:$D$28,0)),"(unmapped)")))))</f>
        <v/>
      </c>
    </row>
    <row r="839" spans="11:11" x14ac:dyDescent="0.3">
      <c r="K839" t="str">
        <f>IF($D839="","",IFERROR(INDEX(Mapping!$H$3:$H$32,MATCH($B839,Mapping!$G$3:$G$32,0)),IF(LEFT($F839,3)="P2P",IFERROR(INDEX(Mapping!$E$3:$E$6,MATCH($G839,Mapping!$D$3:$D$6,0)),IFERROR(INDEX(Mapping!$B$3:$B$13,MATCH($J839,Mapping!$A$3:$A$13,0)),"(unmapped)")),IFERROR(INDEX(Mapping!$B$17:$B$22,MATCH($F839,Mapping!$A$17:$A$22,0)),$F839)&amp;" "&amp;IF($G839="Banking","Banking",IFERROR(INDEX(Mapping!$E$17:$E$28,MATCH($J839,Mapping!$D$17:$D$28,0)),"(unmapped)")))))</f>
        <v/>
      </c>
    </row>
    <row r="840" spans="11:11" x14ac:dyDescent="0.3">
      <c r="K840" t="str">
        <f>IF($D840="","",IFERROR(INDEX(Mapping!$H$3:$H$32,MATCH($B840,Mapping!$G$3:$G$32,0)),IF(LEFT($F840,3)="P2P",IFERROR(INDEX(Mapping!$E$3:$E$6,MATCH($G840,Mapping!$D$3:$D$6,0)),IFERROR(INDEX(Mapping!$B$3:$B$13,MATCH($J840,Mapping!$A$3:$A$13,0)),"(unmapped)")),IFERROR(INDEX(Mapping!$B$17:$B$22,MATCH($F840,Mapping!$A$17:$A$22,0)),$F840)&amp;" "&amp;IF($G840="Banking","Banking",IFERROR(INDEX(Mapping!$E$17:$E$28,MATCH($J840,Mapping!$D$17:$D$28,0)),"(unmapped)")))))</f>
        <v/>
      </c>
    </row>
    <row r="841" spans="11:11" x14ac:dyDescent="0.3">
      <c r="K841" t="str">
        <f>IF($D841="","",IFERROR(INDEX(Mapping!$H$3:$H$32,MATCH($B841,Mapping!$G$3:$G$32,0)),IF(LEFT($F841,3)="P2P",IFERROR(INDEX(Mapping!$E$3:$E$6,MATCH($G841,Mapping!$D$3:$D$6,0)),IFERROR(INDEX(Mapping!$B$3:$B$13,MATCH($J841,Mapping!$A$3:$A$13,0)),"(unmapped)")),IFERROR(INDEX(Mapping!$B$17:$B$22,MATCH($F841,Mapping!$A$17:$A$22,0)),$F841)&amp;" "&amp;IF($G841="Banking","Banking",IFERROR(INDEX(Mapping!$E$17:$E$28,MATCH($J841,Mapping!$D$17:$D$28,0)),"(unmapped)")))))</f>
        <v/>
      </c>
    </row>
    <row r="842" spans="11:11" x14ac:dyDescent="0.3">
      <c r="K842" t="str">
        <f>IF($D842="","",IFERROR(INDEX(Mapping!$H$3:$H$32,MATCH($B842,Mapping!$G$3:$G$32,0)),IF(LEFT($F842,3)="P2P",IFERROR(INDEX(Mapping!$E$3:$E$6,MATCH($G842,Mapping!$D$3:$D$6,0)),IFERROR(INDEX(Mapping!$B$3:$B$13,MATCH($J842,Mapping!$A$3:$A$13,0)),"(unmapped)")),IFERROR(INDEX(Mapping!$B$17:$B$22,MATCH($F842,Mapping!$A$17:$A$22,0)),$F842)&amp;" "&amp;IF($G842="Banking","Banking",IFERROR(INDEX(Mapping!$E$17:$E$28,MATCH($J842,Mapping!$D$17:$D$28,0)),"(unmapped)")))))</f>
        <v/>
      </c>
    </row>
    <row r="843" spans="11:11" x14ac:dyDescent="0.3">
      <c r="K843" t="str">
        <f>IF($D843="","",IFERROR(INDEX(Mapping!$H$3:$H$32,MATCH($B843,Mapping!$G$3:$G$32,0)),IF(LEFT($F843,3)="P2P",IFERROR(INDEX(Mapping!$E$3:$E$6,MATCH($G843,Mapping!$D$3:$D$6,0)),IFERROR(INDEX(Mapping!$B$3:$B$13,MATCH($J843,Mapping!$A$3:$A$13,0)),"(unmapped)")),IFERROR(INDEX(Mapping!$B$17:$B$22,MATCH($F843,Mapping!$A$17:$A$22,0)),$F843)&amp;" "&amp;IF($G843="Banking","Banking",IFERROR(INDEX(Mapping!$E$17:$E$28,MATCH($J843,Mapping!$D$17:$D$28,0)),"(unmapped)")))))</f>
        <v/>
      </c>
    </row>
    <row r="844" spans="11:11" x14ac:dyDescent="0.3">
      <c r="K844" t="str">
        <f>IF($D844="","",IFERROR(INDEX(Mapping!$H$3:$H$32,MATCH($B844,Mapping!$G$3:$G$32,0)),IF(LEFT($F844,3)="P2P",IFERROR(INDEX(Mapping!$E$3:$E$6,MATCH($G844,Mapping!$D$3:$D$6,0)),IFERROR(INDEX(Mapping!$B$3:$B$13,MATCH($J844,Mapping!$A$3:$A$13,0)),"(unmapped)")),IFERROR(INDEX(Mapping!$B$17:$B$22,MATCH($F844,Mapping!$A$17:$A$22,0)),$F844)&amp;" "&amp;IF($G844="Banking","Banking",IFERROR(INDEX(Mapping!$E$17:$E$28,MATCH($J844,Mapping!$D$17:$D$28,0)),"(unmapped)")))))</f>
        <v/>
      </c>
    </row>
    <row r="845" spans="11:11" x14ac:dyDescent="0.3">
      <c r="K845" t="str">
        <f>IF($D845="","",IFERROR(INDEX(Mapping!$H$3:$H$32,MATCH($B845,Mapping!$G$3:$G$32,0)),IF(LEFT($F845,3)="P2P",IFERROR(INDEX(Mapping!$E$3:$E$6,MATCH($G845,Mapping!$D$3:$D$6,0)),IFERROR(INDEX(Mapping!$B$3:$B$13,MATCH($J845,Mapping!$A$3:$A$13,0)),"(unmapped)")),IFERROR(INDEX(Mapping!$B$17:$B$22,MATCH($F845,Mapping!$A$17:$A$22,0)),$F845)&amp;" "&amp;IF($G845="Banking","Banking",IFERROR(INDEX(Mapping!$E$17:$E$28,MATCH($J845,Mapping!$D$17:$D$28,0)),"(unmapped)")))))</f>
        <v/>
      </c>
    </row>
    <row r="846" spans="11:11" x14ac:dyDescent="0.3">
      <c r="K846" t="str">
        <f>IF($D846="","",IFERROR(INDEX(Mapping!$H$3:$H$32,MATCH($B846,Mapping!$G$3:$G$32,0)),IF(LEFT($F846,3)="P2P",IFERROR(INDEX(Mapping!$E$3:$E$6,MATCH($G846,Mapping!$D$3:$D$6,0)),IFERROR(INDEX(Mapping!$B$3:$B$13,MATCH($J846,Mapping!$A$3:$A$13,0)),"(unmapped)")),IFERROR(INDEX(Mapping!$B$17:$B$22,MATCH($F846,Mapping!$A$17:$A$22,0)),$F846)&amp;" "&amp;IF($G846="Banking","Banking",IFERROR(INDEX(Mapping!$E$17:$E$28,MATCH($J846,Mapping!$D$17:$D$28,0)),"(unmapped)")))))</f>
        <v/>
      </c>
    </row>
    <row r="847" spans="11:11" x14ac:dyDescent="0.3">
      <c r="K847" t="str">
        <f>IF($D847="","",IFERROR(INDEX(Mapping!$H$3:$H$32,MATCH($B847,Mapping!$G$3:$G$32,0)),IF(LEFT($F847,3)="P2P",IFERROR(INDEX(Mapping!$E$3:$E$6,MATCH($G847,Mapping!$D$3:$D$6,0)),IFERROR(INDEX(Mapping!$B$3:$B$13,MATCH($J847,Mapping!$A$3:$A$13,0)),"(unmapped)")),IFERROR(INDEX(Mapping!$B$17:$B$22,MATCH($F847,Mapping!$A$17:$A$22,0)),$F847)&amp;" "&amp;IF($G847="Banking","Banking",IFERROR(INDEX(Mapping!$E$17:$E$28,MATCH($J847,Mapping!$D$17:$D$28,0)),"(unmapped)")))))</f>
        <v/>
      </c>
    </row>
    <row r="848" spans="11:11" x14ac:dyDescent="0.3">
      <c r="K848" t="str">
        <f>IF($D848="","",IFERROR(INDEX(Mapping!$H$3:$H$32,MATCH($B848,Mapping!$G$3:$G$32,0)),IF(LEFT($F848,3)="P2P",IFERROR(INDEX(Mapping!$E$3:$E$6,MATCH($G848,Mapping!$D$3:$D$6,0)),IFERROR(INDEX(Mapping!$B$3:$B$13,MATCH($J848,Mapping!$A$3:$A$13,0)),"(unmapped)")),IFERROR(INDEX(Mapping!$B$17:$B$22,MATCH($F848,Mapping!$A$17:$A$22,0)),$F848)&amp;" "&amp;IF($G848="Banking","Banking",IFERROR(INDEX(Mapping!$E$17:$E$28,MATCH($J848,Mapping!$D$17:$D$28,0)),"(unmapped)")))))</f>
        <v/>
      </c>
    </row>
    <row r="849" spans="11:11" x14ac:dyDescent="0.3">
      <c r="K849" t="str">
        <f>IF($D849="","",IFERROR(INDEX(Mapping!$H$3:$H$32,MATCH($B849,Mapping!$G$3:$G$32,0)),IF(LEFT($F849,3)="P2P",IFERROR(INDEX(Mapping!$E$3:$E$6,MATCH($G849,Mapping!$D$3:$D$6,0)),IFERROR(INDEX(Mapping!$B$3:$B$13,MATCH($J849,Mapping!$A$3:$A$13,0)),"(unmapped)")),IFERROR(INDEX(Mapping!$B$17:$B$22,MATCH($F849,Mapping!$A$17:$A$22,0)),$F849)&amp;" "&amp;IF($G849="Banking","Banking",IFERROR(INDEX(Mapping!$E$17:$E$28,MATCH($J849,Mapping!$D$17:$D$28,0)),"(unmapped)")))))</f>
        <v/>
      </c>
    </row>
    <row r="850" spans="11:11" x14ac:dyDescent="0.3">
      <c r="K850" t="str">
        <f>IF($D850="","",IFERROR(INDEX(Mapping!$H$3:$H$32,MATCH($B850,Mapping!$G$3:$G$32,0)),IF(LEFT($F850,3)="P2P",IFERROR(INDEX(Mapping!$E$3:$E$6,MATCH($G850,Mapping!$D$3:$D$6,0)),IFERROR(INDEX(Mapping!$B$3:$B$13,MATCH($J850,Mapping!$A$3:$A$13,0)),"(unmapped)")),IFERROR(INDEX(Mapping!$B$17:$B$22,MATCH($F850,Mapping!$A$17:$A$22,0)),$F850)&amp;" "&amp;IF($G850="Banking","Banking",IFERROR(INDEX(Mapping!$E$17:$E$28,MATCH($J850,Mapping!$D$17:$D$28,0)),"(unmapped)")))))</f>
        <v/>
      </c>
    </row>
    <row r="851" spans="11:11" x14ac:dyDescent="0.3">
      <c r="K851" t="str">
        <f>IF($D851="","",IFERROR(INDEX(Mapping!$H$3:$H$32,MATCH($B851,Mapping!$G$3:$G$32,0)),IF(LEFT($F851,3)="P2P",IFERROR(INDEX(Mapping!$E$3:$E$6,MATCH($G851,Mapping!$D$3:$D$6,0)),IFERROR(INDEX(Mapping!$B$3:$B$13,MATCH($J851,Mapping!$A$3:$A$13,0)),"(unmapped)")),IFERROR(INDEX(Mapping!$B$17:$B$22,MATCH($F851,Mapping!$A$17:$A$22,0)),$F851)&amp;" "&amp;IF($G851="Banking","Banking",IFERROR(INDEX(Mapping!$E$17:$E$28,MATCH($J851,Mapping!$D$17:$D$28,0)),"(unmapped)")))))</f>
        <v/>
      </c>
    </row>
    <row r="852" spans="11:11" x14ac:dyDescent="0.3">
      <c r="K852" t="str">
        <f>IF($D852="","",IFERROR(INDEX(Mapping!$H$3:$H$32,MATCH($B852,Mapping!$G$3:$G$32,0)),IF(LEFT($F852,3)="P2P",IFERROR(INDEX(Mapping!$E$3:$E$6,MATCH($G852,Mapping!$D$3:$D$6,0)),IFERROR(INDEX(Mapping!$B$3:$B$13,MATCH($J852,Mapping!$A$3:$A$13,0)),"(unmapped)")),IFERROR(INDEX(Mapping!$B$17:$B$22,MATCH($F852,Mapping!$A$17:$A$22,0)),$F852)&amp;" "&amp;IF($G852="Banking","Banking",IFERROR(INDEX(Mapping!$E$17:$E$28,MATCH($J852,Mapping!$D$17:$D$28,0)),"(unmapped)")))))</f>
        <v/>
      </c>
    </row>
    <row r="853" spans="11:11" x14ac:dyDescent="0.3">
      <c r="K853" t="str">
        <f>IF($D853="","",IFERROR(INDEX(Mapping!$H$3:$H$32,MATCH($B853,Mapping!$G$3:$G$32,0)),IF(LEFT($F853,3)="P2P",IFERROR(INDEX(Mapping!$E$3:$E$6,MATCH($G853,Mapping!$D$3:$D$6,0)),IFERROR(INDEX(Mapping!$B$3:$B$13,MATCH($J853,Mapping!$A$3:$A$13,0)),"(unmapped)")),IFERROR(INDEX(Mapping!$B$17:$B$22,MATCH($F853,Mapping!$A$17:$A$22,0)),$F853)&amp;" "&amp;IF($G853="Banking","Banking",IFERROR(INDEX(Mapping!$E$17:$E$28,MATCH($J853,Mapping!$D$17:$D$28,0)),"(unmapped)")))))</f>
        <v/>
      </c>
    </row>
    <row r="854" spans="11:11" x14ac:dyDescent="0.3">
      <c r="K854" t="str">
        <f>IF($D854="","",IFERROR(INDEX(Mapping!$H$3:$H$32,MATCH($B854,Mapping!$G$3:$G$32,0)),IF(LEFT($F854,3)="P2P",IFERROR(INDEX(Mapping!$E$3:$E$6,MATCH($G854,Mapping!$D$3:$D$6,0)),IFERROR(INDEX(Mapping!$B$3:$B$13,MATCH($J854,Mapping!$A$3:$A$13,0)),"(unmapped)")),IFERROR(INDEX(Mapping!$B$17:$B$22,MATCH($F854,Mapping!$A$17:$A$22,0)),$F854)&amp;" "&amp;IF($G854="Banking","Banking",IFERROR(INDEX(Mapping!$E$17:$E$28,MATCH($J854,Mapping!$D$17:$D$28,0)),"(unmapped)")))))</f>
        <v/>
      </c>
    </row>
    <row r="855" spans="11:11" x14ac:dyDescent="0.3">
      <c r="K855" t="str">
        <f>IF($D855="","",IFERROR(INDEX(Mapping!$H$3:$H$32,MATCH($B855,Mapping!$G$3:$G$32,0)),IF(LEFT($F855,3)="P2P",IFERROR(INDEX(Mapping!$E$3:$E$6,MATCH($G855,Mapping!$D$3:$D$6,0)),IFERROR(INDEX(Mapping!$B$3:$B$13,MATCH($J855,Mapping!$A$3:$A$13,0)),"(unmapped)")),IFERROR(INDEX(Mapping!$B$17:$B$22,MATCH($F855,Mapping!$A$17:$A$22,0)),$F855)&amp;" "&amp;IF($G855="Banking","Banking",IFERROR(INDEX(Mapping!$E$17:$E$28,MATCH($J855,Mapping!$D$17:$D$28,0)),"(unmapped)")))))</f>
        <v/>
      </c>
    </row>
    <row r="856" spans="11:11" x14ac:dyDescent="0.3">
      <c r="K856" t="str">
        <f>IF($D856="","",IFERROR(INDEX(Mapping!$H$3:$H$32,MATCH($B856,Mapping!$G$3:$G$32,0)),IF(LEFT($F856,3)="P2P",IFERROR(INDEX(Mapping!$E$3:$E$6,MATCH($G856,Mapping!$D$3:$D$6,0)),IFERROR(INDEX(Mapping!$B$3:$B$13,MATCH($J856,Mapping!$A$3:$A$13,0)),"(unmapped)")),IFERROR(INDEX(Mapping!$B$17:$B$22,MATCH($F856,Mapping!$A$17:$A$22,0)),$F856)&amp;" "&amp;IF($G856="Banking","Banking",IFERROR(INDEX(Mapping!$E$17:$E$28,MATCH($J856,Mapping!$D$17:$D$28,0)),"(unmapped)")))))</f>
        <v/>
      </c>
    </row>
    <row r="857" spans="11:11" x14ac:dyDescent="0.3">
      <c r="K857" t="str">
        <f>IF($D857="","",IFERROR(INDEX(Mapping!$H$3:$H$32,MATCH($B857,Mapping!$G$3:$G$32,0)),IF(LEFT($F857,3)="P2P",IFERROR(INDEX(Mapping!$E$3:$E$6,MATCH($G857,Mapping!$D$3:$D$6,0)),IFERROR(INDEX(Mapping!$B$3:$B$13,MATCH($J857,Mapping!$A$3:$A$13,0)),"(unmapped)")),IFERROR(INDEX(Mapping!$B$17:$B$22,MATCH($F857,Mapping!$A$17:$A$22,0)),$F857)&amp;" "&amp;IF($G857="Banking","Banking",IFERROR(INDEX(Mapping!$E$17:$E$28,MATCH($J857,Mapping!$D$17:$D$28,0)),"(unmapped)")))))</f>
        <v/>
      </c>
    </row>
    <row r="858" spans="11:11" x14ac:dyDescent="0.3">
      <c r="K858" t="str">
        <f>IF($D858="","",IFERROR(INDEX(Mapping!$H$3:$H$32,MATCH($B858,Mapping!$G$3:$G$32,0)),IF(LEFT($F858,3)="P2P",IFERROR(INDEX(Mapping!$E$3:$E$6,MATCH($G858,Mapping!$D$3:$D$6,0)),IFERROR(INDEX(Mapping!$B$3:$B$13,MATCH($J858,Mapping!$A$3:$A$13,0)),"(unmapped)")),IFERROR(INDEX(Mapping!$B$17:$B$22,MATCH($F858,Mapping!$A$17:$A$22,0)),$F858)&amp;" "&amp;IF($G858="Banking","Banking",IFERROR(INDEX(Mapping!$E$17:$E$28,MATCH($J858,Mapping!$D$17:$D$28,0)),"(unmapped)")))))</f>
        <v/>
      </c>
    </row>
    <row r="859" spans="11:11" x14ac:dyDescent="0.3">
      <c r="K859" t="str">
        <f>IF($D859="","",IFERROR(INDEX(Mapping!$H$3:$H$32,MATCH($B859,Mapping!$G$3:$G$32,0)),IF(LEFT($F859,3)="P2P",IFERROR(INDEX(Mapping!$E$3:$E$6,MATCH($G859,Mapping!$D$3:$D$6,0)),IFERROR(INDEX(Mapping!$B$3:$B$13,MATCH($J859,Mapping!$A$3:$A$13,0)),"(unmapped)")),IFERROR(INDEX(Mapping!$B$17:$B$22,MATCH($F859,Mapping!$A$17:$A$22,0)),$F859)&amp;" "&amp;IF($G859="Banking","Banking",IFERROR(INDEX(Mapping!$E$17:$E$28,MATCH($J859,Mapping!$D$17:$D$28,0)),"(unmapped)")))))</f>
        <v/>
      </c>
    </row>
    <row r="860" spans="11:11" x14ac:dyDescent="0.3">
      <c r="K860" t="str">
        <f>IF($D860="","",IFERROR(INDEX(Mapping!$H$3:$H$32,MATCH($B860,Mapping!$G$3:$G$32,0)),IF(LEFT($F860,3)="P2P",IFERROR(INDEX(Mapping!$E$3:$E$6,MATCH($G860,Mapping!$D$3:$D$6,0)),IFERROR(INDEX(Mapping!$B$3:$B$13,MATCH($J860,Mapping!$A$3:$A$13,0)),"(unmapped)")),IFERROR(INDEX(Mapping!$B$17:$B$22,MATCH($F860,Mapping!$A$17:$A$22,0)),$F860)&amp;" "&amp;IF($G860="Banking","Banking",IFERROR(INDEX(Mapping!$E$17:$E$28,MATCH($J860,Mapping!$D$17:$D$28,0)),"(unmapped)")))))</f>
        <v/>
      </c>
    </row>
    <row r="861" spans="11:11" x14ac:dyDescent="0.3">
      <c r="K861" t="str">
        <f>IF($D861="","",IFERROR(INDEX(Mapping!$H$3:$H$32,MATCH($B861,Mapping!$G$3:$G$32,0)),IF(LEFT($F861,3)="P2P",IFERROR(INDEX(Mapping!$E$3:$E$6,MATCH($G861,Mapping!$D$3:$D$6,0)),IFERROR(INDEX(Mapping!$B$3:$B$13,MATCH($J861,Mapping!$A$3:$A$13,0)),"(unmapped)")),IFERROR(INDEX(Mapping!$B$17:$B$22,MATCH($F861,Mapping!$A$17:$A$22,0)),$F861)&amp;" "&amp;IF($G861="Banking","Banking",IFERROR(INDEX(Mapping!$E$17:$E$28,MATCH($J861,Mapping!$D$17:$D$28,0)),"(unmapped)")))))</f>
        <v/>
      </c>
    </row>
    <row r="862" spans="11:11" x14ac:dyDescent="0.3">
      <c r="K862" t="str">
        <f>IF($D862="","",IFERROR(INDEX(Mapping!$H$3:$H$32,MATCH($B862,Mapping!$G$3:$G$32,0)),IF(LEFT($F862,3)="P2P",IFERROR(INDEX(Mapping!$E$3:$E$6,MATCH($G862,Mapping!$D$3:$D$6,0)),IFERROR(INDEX(Mapping!$B$3:$B$13,MATCH($J862,Mapping!$A$3:$A$13,0)),"(unmapped)")),IFERROR(INDEX(Mapping!$B$17:$B$22,MATCH($F862,Mapping!$A$17:$A$22,0)),$F862)&amp;" "&amp;IF($G862="Banking","Banking",IFERROR(INDEX(Mapping!$E$17:$E$28,MATCH($J862,Mapping!$D$17:$D$28,0)),"(unmapped)")))))</f>
        <v/>
      </c>
    </row>
    <row r="863" spans="11:11" x14ac:dyDescent="0.3">
      <c r="K863" t="str">
        <f>IF($D863="","",IFERROR(INDEX(Mapping!$H$3:$H$32,MATCH($B863,Mapping!$G$3:$G$32,0)),IF(LEFT($F863,3)="P2P",IFERROR(INDEX(Mapping!$E$3:$E$6,MATCH($G863,Mapping!$D$3:$D$6,0)),IFERROR(INDEX(Mapping!$B$3:$B$13,MATCH($J863,Mapping!$A$3:$A$13,0)),"(unmapped)")),IFERROR(INDEX(Mapping!$B$17:$B$22,MATCH($F863,Mapping!$A$17:$A$22,0)),$F863)&amp;" "&amp;IF($G863="Banking","Banking",IFERROR(INDEX(Mapping!$E$17:$E$28,MATCH($J863,Mapping!$D$17:$D$28,0)),"(unmapped)")))))</f>
        <v/>
      </c>
    </row>
    <row r="864" spans="11:11" x14ac:dyDescent="0.3">
      <c r="K864" t="str">
        <f>IF($D864="","",IFERROR(INDEX(Mapping!$H$3:$H$32,MATCH($B864,Mapping!$G$3:$G$32,0)),IF(LEFT($F864,3)="P2P",IFERROR(INDEX(Mapping!$E$3:$E$6,MATCH($G864,Mapping!$D$3:$D$6,0)),IFERROR(INDEX(Mapping!$B$3:$B$13,MATCH($J864,Mapping!$A$3:$A$13,0)),"(unmapped)")),IFERROR(INDEX(Mapping!$B$17:$B$22,MATCH($F864,Mapping!$A$17:$A$22,0)),$F864)&amp;" "&amp;IF($G864="Banking","Banking",IFERROR(INDEX(Mapping!$E$17:$E$28,MATCH($J864,Mapping!$D$17:$D$28,0)),"(unmapped)")))))</f>
        <v/>
      </c>
    </row>
    <row r="865" spans="11:11" x14ac:dyDescent="0.3">
      <c r="K865" t="str">
        <f>IF($D865="","",IFERROR(INDEX(Mapping!$H$3:$H$32,MATCH($B865,Mapping!$G$3:$G$32,0)),IF(LEFT($F865,3)="P2P",IFERROR(INDEX(Mapping!$E$3:$E$6,MATCH($G865,Mapping!$D$3:$D$6,0)),IFERROR(INDEX(Mapping!$B$3:$B$13,MATCH($J865,Mapping!$A$3:$A$13,0)),"(unmapped)")),IFERROR(INDEX(Mapping!$B$17:$B$22,MATCH($F865,Mapping!$A$17:$A$22,0)),$F865)&amp;" "&amp;IF($G865="Banking","Banking",IFERROR(INDEX(Mapping!$E$17:$E$28,MATCH($J865,Mapping!$D$17:$D$28,0)),"(unmapped)")))))</f>
        <v/>
      </c>
    </row>
    <row r="866" spans="11:11" x14ac:dyDescent="0.3">
      <c r="K866" t="str">
        <f>IF($D866="","",IFERROR(INDEX(Mapping!$H$3:$H$32,MATCH($B866,Mapping!$G$3:$G$32,0)),IF(LEFT($F866,3)="P2P",IFERROR(INDEX(Mapping!$E$3:$E$6,MATCH($G866,Mapping!$D$3:$D$6,0)),IFERROR(INDEX(Mapping!$B$3:$B$13,MATCH($J866,Mapping!$A$3:$A$13,0)),"(unmapped)")),IFERROR(INDEX(Mapping!$B$17:$B$22,MATCH($F866,Mapping!$A$17:$A$22,0)),$F866)&amp;" "&amp;IF($G866="Banking","Banking",IFERROR(INDEX(Mapping!$E$17:$E$28,MATCH($J866,Mapping!$D$17:$D$28,0)),"(unmapped)")))))</f>
        <v/>
      </c>
    </row>
    <row r="867" spans="11:11" x14ac:dyDescent="0.3">
      <c r="K867" t="str">
        <f>IF($D867="","",IFERROR(INDEX(Mapping!$H$3:$H$32,MATCH($B867,Mapping!$G$3:$G$32,0)),IF(LEFT($F867,3)="P2P",IFERROR(INDEX(Mapping!$E$3:$E$6,MATCH($G867,Mapping!$D$3:$D$6,0)),IFERROR(INDEX(Mapping!$B$3:$B$13,MATCH($J867,Mapping!$A$3:$A$13,0)),"(unmapped)")),IFERROR(INDEX(Mapping!$B$17:$B$22,MATCH($F867,Mapping!$A$17:$A$22,0)),$F867)&amp;" "&amp;IF($G867="Banking","Banking",IFERROR(INDEX(Mapping!$E$17:$E$28,MATCH($J867,Mapping!$D$17:$D$28,0)),"(unmapped)")))))</f>
        <v/>
      </c>
    </row>
    <row r="868" spans="11:11" x14ac:dyDescent="0.3">
      <c r="K868" t="str">
        <f>IF($D868="","",IFERROR(INDEX(Mapping!$H$3:$H$32,MATCH($B868,Mapping!$G$3:$G$32,0)),IF(LEFT($F868,3)="P2P",IFERROR(INDEX(Mapping!$E$3:$E$6,MATCH($G868,Mapping!$D$3:$D$6,0)),IFERROR(INDEX(Mapping!$B$3:$B$13,MATCH($J868,Mapping!$A$3:$A$13,0)),"(unmapped)")),IFERROR(INDEX(Mapping!$B$17:$B$22,MATCH($F868,Mapping!$A$17:$A$22,0)),$F868)&amp;" "&amp;IF($G868="Banking","Banking",IFERROR(INDEX(Mapping!$E$17:$E$28,MATCH($J868,Mapping!$D$17:$D$28,0)),"(unmapped)")))))</f>
        <v/>
      </c>
    </row>
    <row r="869" spans="11:11" x14ac:dyDescent="0.3">
      <c r="K869" t="str">
        <f>IF($D869="","",IFERROR(INDEX(Mapping!$H$3:$H$32,MATCH($B869,Mapping!$G$3:$G$32,0)),IF(LEFT($F869,3)="P2P",IFERROR(INDEX(Mapping!$E$3:$E$6,MATCH($G869,Mapping!$D$3:$D$6,0)),IFERROR(INDEX(Mapping!$B$3:$B$13,MATCH($J869,Mapping!$A$3:$A$13,0)),"(unmapped)")),IFERROR(INDEX(Mapping!$B$17:$B$22,MATCH($F869,Mapping!$A$17:$A$22,0)),$F869)&amp;" "&amp;IF($G869="Banking","Banking",IFERROR(INDEX(Mapping!$E$17:$E$28,MATCH($J869,Mapping!$D$17:$D$28,0)),"(unmapped)")))))</f>
        <v/>
      </c>
    </row>
    <row r="870" spans="11:11" x14ac:dyDescent="0.3">
      <c r="K870" t="str">
        <f>IF($D870="","",IFERROR(INDEX(Mapping!$H$3:$H$32,MATCH($B870,Mapping!$G$3:$G$32,0)),IF(LEFT($F870,3)="P2P",IFERROR(INDEX(Mapping!$E$3:$E$6,MATCH($G870,Mapping!$D$3:$D$6,0)),IFERROR(INDEX(Mapping!$B$3:$B$13,MATCH($J870,Mapping!$A$3:$A$13,0)),"(unmapped)")),IFERROR(INDEX(Mapping!$B$17:$B$22,MATCH($F870,Mapping!$A$17:$A$22,0)),$F870)&amp;" "&amp;IF($G870="Banking","Banking",IFERROR(INDEX(Mapping!$E$17:$E$28,MATCH($J870,Mapping!$D$17:$D$28,0)),"(unmapped)")))))</f>
        <v/>
      </c>
    </row>
    <row r="871" spans="11:11" x14ac:dyDescent="0.3">
      <c r="K871" t="str">
        <f>IF($D871="","",IFERROR(INDEX(Mapping!$H$3:$H$32,MATCH($B871,Mapping!$G$3:$G$32,0)),IF(LEFT($F871,3)="P2P",IFERROR(INDEX(Mapping!$E$3:$E$6,MATCH($G871,Mapping!$D$3:$D$6,0)),IFERROR(INDEX(Mapping!$B$3:$B$13,MATCH($J871,Mapping!$A$3:$A$13,0)),"(unmapped)")),IFERROR(INDEX(Mapping!$B$17:$B$22,MATCH($F871,Mapping!$A$17:$A$22,0)),$F871)&amp;" "&amp;IF($G871="Banking","Banking",IFERROR(INDEX(Mapping!$E$17:$E$28,MATCH($J871,Mapping!$D$17:$D$28,0)),"(unmapped)")))))</f>
        <v/>
      </c>
    </row>
    <row r="872" spans="11:11" x14ac:dyDescent="0.3">
      <c r="K872" t="str">
        <f>IF($D872="","",IFERROR(INDEX(Mapping!$H$3:$H$32,MATCH($B872,Mapping!$G$3:$G$32,0)),IF(LEFT($F872,3)="P2P",IFERROR(INDEX(Mapping!$E$3:$E$6,MATCH($G872,Mapping!$D$3:$D$6,0)),IFERROR(INDEX(Mapping!$B$3:$B$13,MATCH($J872,Mapping!$A$3:$A$13,0)),"(unmapped)")),IFERROR(INDEX(Mapping!$B$17:$B$22,MATCH($F872,Mapping!$A$17:$A$22,0)),$F872)&amp;" "&amp;IF($G872="Banking","Banking",IFERROR(INDEX(Mapping!$E$17:$E$28,MATCH($J872,Mapping!$D$17:$D$28,0)),"(unmapped)")))))</f>
        <v/>
      </c>
    </row>
    <row r="873" spans="11:11" x14ac:dyDescent="0.3">
      <c r="K873" t="str">
        <f>IF($D873="","",IFERROR(INDEX(Mapping!$H$3:$H$32,MATCH($B873,Mapping!$G$3:$G$32,0)),IF(LEFT($F873,3)="P2P",IFERROR(INDEX(Mapping!$E$3:$E$6,MATCH($G873,Mapping!$D$3:$D$6,0)),IFERROR(INDEX(Mapping!$B$3:$B$13,MATCH($J873,Mapping!$A$3:$A$13,0)),"(unmapped)")),IFERROR(INDEX(Mapping!$B$17:$B$22,MATCH($F873,Mapping!$A$17:$A$22,0)),$F873)&amp;" "&amp;IF($G873="Banking","Banking",IFERROR(INDEX(Mapping!$E$17:$E$28,MATCH($J873,Mapping!$D$17:$D$28,0)),"(unmapped)")))))</f>
        <v/>
      </c>
    </row>
    <row r="874" spans="11:11" x14ac:dyDescent="0.3">
      <c r="K874" t="str">
        <f>IF($D874="","",IFERROR(INDEX(Mapping!$H$3:$H$32,MATCH($B874,Mapping!$G$3:$G$32,0)),IF(LEFT($F874,3)="P2P",IFERROR(INDEX(Mapping!$E$3:$E$6,MATCH($G874,Mapping!$D$3:$D$6,0)),IFERROR(INDEX(Mapping!$B$3:$B$13,MATCH($J874,Mapping!$A$3:$A$13,0)),"(unmapped)")),IFERROR(INDEX(Mapping!$B$17:$B$22,MATCH($F874,Mapping!$A$17:$A$22,0)),$F874)&amp;" "&amp;IF($G874="Banking","Banking",IFERROR(INDEX(Mapping!$E$17:$E$28,MATCH($J874,Mapping!$D$17:$D$28,0)),"(unmapped)")))))</f>
        <v/>
      </c>
    </row>
    <row r="875" spans="11:11" x14ac:dyDescent="0.3">
      <c r="K875" t="str">
        <f>IF($D875="","",IFERROR(INDEX(Mapping!$H$3:$H$32,MATCH($B875,Mapping!$G$3:$G$32,0)),IF(LEFT($F875,3)="P2P",IFERROR(INDEX(Mapping!$E$3:$E$6,MATCH($G875,Mapping!$D$3:$D$6,0)),IFERROR(INDEX(Mapping!$B$3:$B$13,MATCH($J875,Mapping!$A$3:$A$13,0)),"(unmapped)")),IFERROR(INDEX(Mapping!$B$17:$B$22,MATCH($F875,Mapping!$A$17:$A$22,0)),$F875)&amp;" "&amp;IF($G875="Banking","Banking",IFERROR(INDEX(Mapping!$E$17:$E$28,MATCH($J875,Mapping!$D$17:$D$28,0)),"(unmapped)")))))</f>
        <v/>
      </c>
    </row>
    <row r="876" spans="11:11" x14ac:dyDescent="0.3">
      <c r="K876" t="str">
        <f>IF($D876="","",IFERROR(INDEX(Mapping!$H$3:$H$32,MATCH($B876,Mapping!$G$3:$G$32,0)),IF(LEFT($F876,3)="P2P",IFERROR(INDEX(Mapping!$E$3:$E$6,MATCH($G876,Mapping!$D$3:$D$6,0)),IFERROR(INDEX(Mapping!$B$3:$B$13,MATCH($J876,Mapping!$A$3:$A$13,0)),"(unmapped)")),IFERROR(INDEX(Mapping!$B$17:$B$22,MATCH($F876,Mapping!$A$17:$A$22,0)),$F876)&amp;" "&amp;IF($G876="Banking","Banking",IFERROR(INDEX(Mapping!$E$17:$E$28,MATCH($J876,Mapping!$D$17:$D$28,0)),"(unmapped)")))))</f>
        <v/>
      </c>
    </row>
    <row r="877" spans="11:11" x14ac:dyDescent="0.3">
      <c r="K877" t="str">
        <f>IF($D877="","",IFERROR(INDEX(Mapping!$H$3:$H$32,MATCH($B877,Mapping!$G$3:$G$32,0)),IF(LEFT($F877,3)="P2P",IFERROR(INDEX(Mapping!$E$3:$E$6,MATCH($G877,Mapping!$D$3:$D$6,0)),IFERROR(INDEX(Mapping!$B$3:$B$13,MATCH($J877,Mapping!$A$3:$A$13,0)),"(unmapped)")),IFERROR(INDEX(Mapping!$B$17:$B$22,MATCH($F877,Mapping!$A$17:$A$22,0)),$F877)&amp;" "&amp;IF($G877="Banking","Banking",IFERROR(INDEX(Mapping!$E$17:$E$28,MATCH($J877,Mapping!$D$17:$D$28,0)),"(unmapped)")))))</f>
        <v/>
      </c>
    </row>
    <row r="878" spans="11:11" x14ac:dyDescent="0.3">
      <c r="K878" t="str">
        <f>IF($D878="","",IFERROR(INDEX(Mapping!$H$3:$H$32,MATCH($B878,Mapping!$G$3:$G$32,0)),IF(LEFT($F878,3)="P2P",IFERROR(INDEX(Mapping!$E$3:$E$6,MATCH($G878,Mapping!$D$3:$D$6,0)),IFERROR(INDEX(Mapping!$B$3:$B$13,MATCH($J878,Mapping!$A$3:$A$13,0)),"(unmapped)")),IFERROR(INDEX(Mapping!$B$17:$B$22,MATCH($F878,Mapping!$A$17:$A$22,0)),$F878)&amp;" "&amp;IF($G878="Banking","Banking",IFERROR(INDEX(Mapping!$E$17:$E$28,MATCH($J878,Mapping!$D$17:$D$28,0)),"(unmapped)")))))</f>
        <v/>
      </c>
    </row>
    <row r="879" spans="11:11" x14ac:dyDescent="0.3">
      <c r="K879" t="str">
        <f>IF($D879="","",IFERROR(INDEX(Mapping!$H$3:$H$32,MATCH($B879,Mapping!$G$3:$G$32,0)),IF(LEFT($F879,3)="P2P",IFERROR(INDEX(Mapping!$E$3:$E$6,MATCH($G879,Mapping!$D$3:$D$6,0)),IFERROR(INDEX(Mapping!$B$3:$B$13,MATCH($J879,Mapping!$A$3:$A$13,0)),"(unmapped)")),IFERROR(INDEX(Mapping!$B$17:$B$22,MATCH($F879,Mapping!$A$17:$A$22,0)),$F879)&amp;" "&amp;IF($G879="Banking","Banking",IFERROR(INDEX(Mapping!$E$17:$E$28,MATCH($J879,Mapping!$D$17:$D$28,0)),"(unmapped)")))))</f>
        <v/>
      </c>
    </row>
    <row r="880" spans="11:11" x14ac:dyDescent="0.3">
      <c r="K880" t="str">
        <f>IF($D880="","",IFERROR(INDEX(Mapping!$H$3:$H$32,MATCH($B880,Mapping!$G$3:$G$32,0)),IF(LEFT($F880,3)="P2P",IFERROR(INDEX(Mapping!$E$3:$E$6,MATCH($G880,Mapping!$D$3:$D$6,0)),IFERROR(INDEX(Mapping!$B$3:$B$13,MATCH($J880,Mapping!$A$3:$A$13,0)),"(unmapped)")),IFERROR(INDEX(Mapping!$B$17:$B$22,MATCH($F880,Mapping!$A$17:$A$22,0)),$F880)&amp;" "&amp;IF($G880="Banking","Banking",IFERROR(INDEX(Mapping!$E$17:$E$28,MATCH($J880,Mapping!$D$17:$D$28,0)),"(unmapped)")))))</f>
        <v/>
      </c>
    </row>
    <row r="881" spans="11:11" x14ac:dyDescent="0.3">
      <c r="K881" t="str">
        <f>IF($D881="","",IFERROR(INDEX(Mapping!$H$3:$H$32,MATCH($B881,Mapping!$G$3:$G$32,0)),IF(LEFT($F881,3)="P2P",IFERROR(INDEX(Mapping!$E$3:$E$6,MATCH($G881,Mapping!$D$3:$D$6,0)),IFERROR(INDEX(Mapping!$B$3:$B$13,MATCH($J881,Mapping!$A$3:$A$13,0)),"(unmapped)")),IFERROR(INDEX(Mapping!$B$17:$B$22,MATCH($F881,Mapping!$A$17:$A$22,0)),$F881)&amp;" "&amp;IF($G881="Banking","Banking",IFERROR(INDEX(Mapping!$E$17:$E$28,MATCH($J881,Mapping!$D$17:$D$28,0)),"(unmapped)")))))</f>
        <v/>
      </c>
    </row>
    <row r="882" spans="11:11" x14ac:dyDescent="0.3">
      <c r="K882" t="str">
        <f>IF($D882="","",IFERROR(INDEX(Mapping!$H$3:$H$32,MATCH($B882,Mapping!$G$3:$G$32,0)),IF(LEFT($F882,3)="P2P",IFERROR(INDEX(Mapping!$E$3:$E$6,MATCH($G882,Mapping!$D$3:$D$6,0)),IFERROR(INDEX(Mapping!$B$3:$B$13,MATCH($J882,Mapping!$A$3:$A$13,0)),"(unmapped)")),IFERROR(INDEX(Mapping!$B$17:$B$22,MATCH($F882,Mapping!$A$17:$A$22,0)),$F882)&amp;" "&amp;IF($G882="Banking","Banking",IFERROR(INDEX(Mapping!$E$17:$E$28,MATCH($J882,Mapping!$D$17:$D$28,0)),"(unmapped)")))))</f>
        <v/>
      </c>
    </row>
    <row r="883" spans="11:11" x14ac:dyDescent="0.3">
      <c r="K883" t="str">
        <f>IF($D883="","",IFERROR(INDEX(Mapping!$H$3:$H$32,MATCH($B883,Mapping!$G$3:$G$32,0)),IF(LEFT($F883,3)="P2P",IFERROR(INDEX(Mapping!$E$3:$E$6,MATCH($G883,Mapping!$D$3:$D$6,0)),IFERROR(INDEX(Mapping!$B$3:$B$13,MATCH($J883,Mapping!$A$3:$A$13,0)),"(unmapped)")),IFERROR(INDEX(Mapping!$B$17:$B$22,MATCH($F883,Mapping!$A$17:$A$22,0)),$F883)&amp;" "&amp;IF($G883="Banking","Banking",IFERROR(INDEX(Mapping!$E$17:$E$28,MATCH($J883,Mapping!$D$17:$D$28,0)),"(unmapped)")))))</f>
        <v/>
      </c>
    </row>
    <row r="884" spans="11:11" x14ac:dyDescent="0.3">
      <c r="K884" t="str">
        <f>IF($D884="","",IFERROR(INDEX(Mapping!$H$3:$H$32,MATCH($B884,Mapping!$G$3:$G$32,0)),IF(LEFT($F884,3)="P2P",IFERROR(INDEX(Mapping!$E$3:$E$6,MATCH($G884,Mapping!$D$3:$D$6,0)),IFERROR(INDEX(Mapping!$B$3:$B$13,MATCH($J884,Mapping!$A$3:$A$13,0)),"(unmapped)")),IFERROR(INDEX(Mapping!$B$17:$B$22,MATCH($F884,Mapping!$A$17:$A$22,0)),$F884)&amp;" "&amp;IF($G884="Banking","Banking",IFERROR(INDEX(Mapping!$E$17:$E$28,MATCH($J884,Mapping!$D$17:$D$28,0)),"(unmapped)")))))</f>
        <v/>
      </c>
    </row>
    <row r="885" spans="11:11" x14ac:dyDescent="0.3">
      <c r="K885" t="str">
        <f>IF($D885="","",IFERROR(INDEX(Mapping!$H$3:$H$32,MATCH($B885,Mapping!$G$3:$G$32,0)),IF(LEFT($F885,3)="P2P",IFERROR(INDEX(Mapping!$E$3:$E$6,MATCH($G885,Mapping!$D$3:$D$6,0)),IFERROR(INDEX(Mapping!$B$3:$B$13,MATCH($J885,Mapping!$A$3:$A$13,0)),"(unmapped)")),IFERROR(INDEX(Mapping!$B$17:$B$22,MATCH($F885,Mapping!$A$17:$A$22,0)),$F885)&amp;" "&amp;IF($G885="Banking","Banking",IFERROR(INDEX(Mapping!$E$17:$E$28,MATCH($J885,Mapping!$D$17:$D$28,0)),"(unmapped)")))))</f>
        <v/>
      </c>
    </row>
    <row r="886" spans="11:11" x14ac:dyDescent="0.3">
      <c r="K886" t="str">
        <f>IF($D886="","",IFERROR(INDEX(Mapping!$H$3:$H$32,MATCH($B886,Mapping!$G$3:$G$32,0)),IF(LEFT($F886,3)="P2P",IFERROR(INDEX(Mapping!$E$3:$E$6,MATCH($G886,Mapping!$D$3:$D$6,0)),IFERROR(INDEX(Mapping!$B$3:$B$13,MATCH($J886,Mapping!$A$3:$A$13,0)),"(unmapped)")),IFERROR(INDEX(Mapping!$B$17:$B$22,MATCH($F886,Mapping!$A$17:$A$22,0)),$F886)&amp;" "&amp;IF($G886="Banking","Banking",IFERROR(INDEX(Mapping!$E$17:$E$28,MATCH($J886,Mapping!$D$17:$D$28,0)),"(unmapped)")))))</f>
        <v/>
      </c>
    </row>
    <row r="887" spans="11:11" x14ac:dyDescent="0.3">
      <c r="K887" t="str">
        <f>IF($D887="","",IFERROR(INDEX(Mapping!$H$3:$H$32,MATCH($B887,Mapping!$G$3:$G$32,0)),IF(LEFT($F887,3)="P2P",IFERROR(INDEX(Mapping!$E$3:$E$6,MATCH($G887,Mapping!$D$3:$D$6,0)),IFERROR(INDEX(Mapping!$B$3:$B$13,MATCH($J887,Mapping!$A$3:$A$13,0)),"(unmapped)")),IFERROR(INDEX(Mapping!$B$17:$B$22,MATCH($F887,Mapping!$A$17:$A$22,0)),$F887)&amp;" "&amp;IF($G887="Banking","Banking",IFERROR(INDEX(Mapping!$E$17:$E$28,MATCH($J887,Mapping!$D$17:$D$28,0)),"(unmapped)")))))</f>
        <v/>
      </c>
    </row>
    <row r="888" spans="11:11" x14ac:dyDescent="0.3">
      <c r="K888" t="str">
        <f>IF($D888="","",IFERROR(INDEX(Mapping!$H$3:$H$32,MATCH($B888,Mapping!$G$3:$G$32,0)),IF(LEFT($F888,3)="P2P",IFERROR(INDEX(Mapping!$E$3:$E$6,MATCH($G888,Mapping!$D$3:$D$6,0)),IFERROR(INDEX(Mapping!$B$3:$B$13,MATCH($J888,Mapping!$A$3:$A$13,0)),"(unmapped)")),IFERROR(INDEX(Mapping!$B$17:$B$22,MATCH($F888,Mapping!$A$17:$A$22,0)),$F888)&amp;" "&amp;IF($G888="Banking","Banking",IFERROR(INDEX(Mapping!$E$17:$E$28,MATCH($J888,Mapping!$D$17:$D$28,0)),"(unmapped)")))))</f>
        <v/>
      </c>
    </row>
    <row r="889" spans="11:11" x14ac:dyDescent="0.3">
      <c r="K889" t="str">
        <f>IF($D889="","",IFERROR(INDEX(Mapping!$H$3:$H$32,MATCH($B889,Mapping!$G$3:$G$32,0)),IF(LEFT($F889,3)="P2P",IFERROR(INDEX(Mapping!$E$3:$E$6,MATCH($G889,Mapping!$D$3:$D$6,0)),IFERROR(INDEX(Mapping!$B$3:$B$13,MATCH($J889,Mapping!$A$3:$A$13,0)),"(unmapped)")),IFERROR(INDEX(Mapping!$B$17:$B$22,MATCH($F889,Mapping!$A$17:$A$22,0)),$F889)&amp;" "&amp;IF($G889="Banking","Banking",IFERROR(INDEX(Mapping!$E$17:$E$28,MATCH($J889,Mapping!$D$17:$D$28,0)),"(unmapped)")))))</f>
        <v/>
      </c>
    </row>
    <row r="890" spans="11:11" x14ac:dyDescent="0.3">
      <c r="K890" t="str">
        <f>IF($D890="","",IFERROR(INDEX(Mapping!$H$3:$H$32,MATCH($B890,Mapping!$G$3:$G$32,0)),IF(LEFT($F890,3)="P2P",IFERROR(INDEX(Mapping!$E$3:$E$6,MATCH($G890,Mapping!$D$3:$D$6,0)),IFERROR(INDEX(Mapping!$B$3:$B$13,MATCH($J890,Mapping!$A$3:$A$13,0)),"(unmapped)")),IFERROR(INDEX(Mapping!$B$17:$B$22,MATCH($F890,Mapping!$A$17:$A$22,0)),$F890)&amp;" "&amp;IF($G890="Banking","Banking",IFERROR(INDEX(Mapping!$E$17:$E$28,MATCH($J890,Mapping!$D$17:$D$28,0)),"(unmapped)")))))</f>
        <v/>
      </c>
    </row>
    <row r="891" spans="11:11" x14ac:dyDescent="0.3">
      <c r="K891" t="str">
        <f>IF($D891="","",IFERROR(INDEX(Mapping!$H$3:$H$32,MATCH($B891,Mapping!$G$3:$G$32,0)),IF(LEFT($F891,3)="P2P",IFERROR(INDEX(Mapping!$E$3:$E$6,MATCH($G891,Mapping!$D$3:$D$6,0)),IFERROR(INDEX(Mapping!$B$3:$B$13,MATCH($J891,Mapping!$A$3:$A$13,0)),"(unmapped)")),IFERROR(INDEX(Mapping!$B$17:$B$22,MATCH($F891,Mapping!$A$17:$A$22,0)),$F891)&amp;" "&amp;IF($G891="Banking","Banking",IFERROR(INDEX(Mapping!$E$17:$E$28,MATCH($J891,Mapping!$D$17:$D$28,0)),"(unmapped)")))))</f>
        <v/>
      </c>
    </row>
    <row r="892" spans="11:11" x14ac:dyDescent="0.3">
      <c r="K892" t="str">
        <f>IF($D892="","",IFERROR(INDEX(Mapping!$H$3:$H$32,MATCH($B892,Mapping!$G$3:$G$32,0)),IF(LEFT($F892,3)="P2P",IFERROR(INDEX(Mapping!$E$3:$E$6,MATCH($G892,Mapping!$D$3:$D$6,0)),IFERROR(INDEX(Mapping!$B$3:$B$13,MATCH($J892,Mapping!$A$3:$A$13,0)),"(unmapped)")),IFERROR(INDEX(Mapping!$B$17:$B$22,MATCH($F892,Mapping!$A$17:$A$22,0)),$F892)&amp;" "&amp;IF($G892="Banking","Banking",IFERROR(INDEX(Mapping!$E$17:$E$28,MATCH($J892,Mapping!$D$17:$D$28,0)),"(unmapped)")))))</f>
        <v/>
      </c>
    </row>
    <row r="893" spans="11:11" x14ac:dyDescent="0.3">
      <c r="K893" t="str">
        <f>IF($D893="","",IFERROR(INDEX(Mapping!$H$3:$H$32,MATCH($B893,Mapping!$G$3:$G$32,0)),IF(LEFT($F893,3)="P2P",IFERROR(INDEX(Mapping!$E$3:$E$6,MATCH($G893,Mapping!$D$3:$D$6,0)),IFERROR(INDEX(Mapping!$B$3:$B$13,MATCH($J893,Mapping!$A$3:$A$13,0)),"(unmapped)")),IFERROR(INDEX(Mapping!$B$17:$B$22,MATCH($F893,Mapping!$A$17:$A$22,0)),$F893)&amp;" "&amp;IF($G893="Banking","Banking",IFERROR(INDEX(Mapping!$E$17:$E$28,MATCH($J893,Mapping!$D$17:$D$28,0)),"(unmapped)")))))</f>
        <v/>
      </c>
    </row>
    <row r="894" spans="11:11" x14ac:dyDescent="0.3">
      <c r="K894" t="str">
        <f>IF($D894="","",IFERROR(INDEX(Mapping!$H$3:$H$32,MATCH($B894,Mapping!$G$3:$G$32,0)),IF(LEFT($F894,3)="P2P",IFERROR(INDEX(Mapping!$E$3:$E$6,MATCH($G894,Mapping!$D$3:$D$6,0)),IFERROR(INDEX(Mapping!$B$3:$B$13,MATCH($J894,Mapping!$A$3:$A$13,0)),"(unmapped)")),IFERROR(INDEX(Mapping!$B$17:$B$22,MATCH($F894,Mapping!$A$17:$A$22,0)),$F894)&amp;" "&amp;IF($G894="Banking","Banking",IFERROR(INDEX(Mapping!$E$17:$E$28,MATCH($J894,Mapping!$D$17:$D$28,0)),"(unmapped)")))))</f>
        <v/>
      </c>
    </row>
    <row r="895" spans="11:11" x14ac:dyDescent="0.3">
      <c r="K895" t="str">
        <f>IF($D895="","",IFERROR(INDEX(Mapping!$H$3:$H$32,MATCH($B895,Mapping!$G$3:$G$32,0)),IF(LEFT($F895,3)="P2P",IFERROR(INDEX(Mapping!$E$3:$E$6,MATCH($G895,Mapping!$D$3:$D$6,0)),IFERROR(INDEX(Mapping!$B$3:$B$13,MATCH($J895,Mapping!$A$3:$A$13,0)),"(unmapped)")),IFERROR(INDEX(Mapping!$B$17:$B$22,MATCH($F895,Mapping!$A$17:$A$22,0)),$F895)&amp;" "&amp;IF($G895="Banking","Banking",IFERROR(INDEX(Mapping!$E$17:$E$28,MATCH($J895,Mapping!$D$17:$D$28,0)),"(unmapped)")))))</f>
        <v/>
      </c>
    </row>
    <row r="896" spans="11:11" x14ac:dyDescent="0.3">
      <c r="K896" t="str">
        <f>IF($D896="","",IFERROR(INDEX(Mapping!$H$3:$H$32,MATCH($B896,Mapping!$G$3:$G$32,0)),IF(LEFT($F896,3)="P2P",IFERROR(INDEX(Mapping!$E$3:$E$6,MATCH($G896,Mapping!$D$3:$D$6,0)),IFERROR(INDEX(Mapping!$B$3:$B$13,MATCH($J896,Mapping!$A$3:$A$13,0)),"(unmapped)")),IFERROR(INDEX(Mapping!$B$17:$B$22,MATCH($F896,Mapping!$A$17:$A$22,0)),$F896)&amp;" "&amp;IF($G896="Banking","Banking",IFERROR(INDEX(Mapping!$E$17:$E$28,MATCH($J896,Mapping!$D$17:$D$28,0)),"(unmapped)")))))</f>
        <v/>
      </c>
    </row>
    <row r="897" spans="11:11" x14ac:dyDescent="0.3">
      <c r="K897" t="str">
        <f>IF($D897="","",IFERROR(INDEX(Mapping!$H$3:$H$32,MATCH($B897,Mapping!$G$3:$G$32,0)),IF(LEFT($F897,3)="P2P",IFERROR(INDEX(Mapping!$E$3:$E$6,MATCH($G897,Mapping!$D$3:$D$6,0)),IFERROR(INDEX(Mapping!$B$3:$B$13,MATCH($J897,Mapping!$A$3:$A$13,0)),"(unmapped)")),IFERROR(INDEX(Mapping!$B$17:$B$22,MATCH($F897,Mapping!$A$17:$A$22,0)),$F897)&amp;" "&amp;IF($G897="Banking","Banking",IFERROR(INDEX(Mapping!$E$17:$E$28,MATCH($J897,Mapping!$D$17:$D$28,0)),"(unmapped)")))))</f>
        <v/>
      </c>
    </row>
    <row r="898" spans="11:11" x14ac:dyDescent="0.3">
      <c r="K898" t="str">
        <f>IF($D898="","",IFERROR(INDEX(Mapping!$H$3:$H$32,MATCH($B898,Mapping!$G$3:$G$32,0)),IF(LEFT($F898,3)="P2P",IFERROR(INDEX(Mapping!$E$3:$E$6,MATCH($G898,Mapping!$D$3:$D$6,0)),IFERROR(INDEX(Mapping!$B$3:$B$13,MATCH($J898,Mapping!$A$3:$A$13,0)),"(unmapped)")),IFERROR(INDEX(Mapping!$B$17:$B$22,MATCH($F898,Mapping!$A$17:$A$22,0)),$F898)&amp;" "&amp;IF($G898="Banking","Banking",IFERROR(INDEX(Mapping!$E$17:$E$28,MATCH($J898,Mapping!$D$17:$D$28,0)),"(unmapped)")))))</f>
        <v/>
      </c>
    </row>
    <row r="899" spans="11:11" x14ac:dyDescent="0.3">
      <c r="K899" t="str">
        <f>IF($D899="","",IFERROR(INDEX(Mapping!$H$3:$H$32,MATCH($B899,Mapping!$G$3:$G$32,0)),IF(LEFT($F899,3)="P2P",IFERROR(INDEX(Mapping!$E$3:$E$6,MATCH($G899,Mapping!$D$3:$D$6,0)),IFERROR(INDEX(Mapping!$B$3:$B$13,MATCH($J899,Mapping!$A$3:$A$13,0)),"(unmapped)")),IFERROR(INDEX(Mapping!$B$17:$B$22,MATCH($F899,Mapping!$A$17:$A$22,0)),$F899)&amp;" "&amp;IF($G899="Banking","Banking",IFERROR(INDEX(Mapping!$E$17:$E$28,MATCH($J899,Mapping!$D$17:$D$28,0)),"(unmapped)")))))</f>
        <v/>
      </c>
    </row>
    <row r="900" spans="11:11" x14ac:dyDescent="0.3">
      <c r="K900" t="str">
        <f>IF($D900="","",IFERROR(INDEX(Mapping!$H$3:$H$32,MATCH($B900,Mapping!$G$3:$G$32,0)),IF(LEFT($F900,3)="P2P",IFERROR(INDEX(Mapping!$E$3:$E$6,MATCH($G900,Mapping!$D$3:$D$6,0)),IFERROR(INDEX(Mapping!$B$3:$B$13,MATCH($J900,Mapping!$A$3:$A$13,0)),"(unmapped)")),IFERROR(INDEX(Mapping!$B$17:$B$22,MATCH($F900,Mapping!$A$17:$A$22,0)),$F900)&amp;" "&amp;IF($G900="Banking","Banking",IFERROR(INDEX(Mapping!$E$17:$E$28,MATCH($J900,Mapping!$D$17:$D$28,0)),"(unmapped)")))))</f>
        <v/>
      </c>
    </row>
    <row r="901" spans="11:11" x14ac:dyDescent="0.3">
      <c r="K901" t="str">
        <f>IF($D901="","",IFERROR(INDEX(Mapping!$H$3:$H$32,MATCH($B901,Mapping!$G$3:$G$32,0)),IF(LEFT($F901,3)="P2P",IFERROR(INDEX(Mapping!$E$3:$E$6,MATCH($G901,Mapping!$D$3:$D$6,0)),IFERROR(INDEX(Mapping!$B$3:$B$13,MATCH($J901,Mapping!$A$3:$A$13,0)),"(unmapped)")),IFERROR(INDEX(Mapping!$B$17:$B$22,MATCH($F901,Mapping!$A$17:$A$22,0)),$F901)&amp;" "&amp;IF($G901="Banking","Banking",IFERROR(INDEX(Mapping!$E$17:$E$28,MATCH($J901,Mapping!$D$17:$D$28,0)),"(unmapped)")))))</f>
        <v/>
      </c>
    </row>
    <row r="902" spans="11:11" x14ac:dyDescent="0.3">
      <c r="K902" t="str">
        <f>IF($D902="","",IFERROR(INDEX(Mapping!$H$3:$H$32,MATCH($B902,Mapping!$G$3:$G$32,0)),IF(LEFT($F902,3)="P2P",IFERROR(INDEX(Mapping!$E$3:$E$6,MATCH($G902,Mapping!$D$3:$D$6,0)),IFERROR(INDEX(Mapping!$B$3:$B$13,MATCH($J902,Mapping!$A$3:$A$13,0)),"(unmapped)")),IFERROR(INDEX(Mapping!$B$17:$B$22,MATCH($F902,Mapping!$A$17:$A$22,0)),$F902)&amp;" "&amp;IF($G902="Banking","Banking",IFERROR(INDEX(Mapping!$E$17:$E$28,MATCH($J902,Mapping!$D$17:$D$28,0)),"(unmapped)")))))</f>
        <v/>
      </c>
    </row>
    <row r="903" spans="11:11" x14ac:dyDescent="0.3">
      <c r="K903" t="str">
        <f>IF($D903="","",IFERROR(INDEX(Mapping!$H$3:$H$32,MATCH($B903,Mapping!$G$3:$G$32,0)),IF(LEFT($F903,3)="P2P",IFERROR(INDEX(Mapping!$E$3:$E$6,MATCH($G903,Mapping!$D$3:$D$6,0)),IFERROR(INDEX(Mapping!$B$3:$B$13,MATCH($J903,Mapping!$A$3:$A$13,0)),"(unmapped)")),IFERROR(INDEX(Mapping!$B$17:$B$22,MATCH($F903,Mapping!$A$17:$A$22,0)),$F903)&amp;" "&amp;IF($G903="Banking","Banking",IFERROR(INDEX(Mapping!$E$17:$E$28,MATCH($J903,Mapping!$D$17:$D$28,0)),"(unmapped)")))))</f>
        <v/>
      </c>
    </row>
    <row r="904" spans="11:11" x14ac:dyDescent="0.3">
      <c r="K904" t="str">
        <f>IF($D904="","",IFERROR(INDEX(Mapping!$H$3:$H$32,MATCH($B904,Mapping!$G$3:$G$32,0)),IF(LEFT($F904,3)="P2P",IFERROR(INDEX(Mapping!$E$3:$E$6,MATCH($G904,Mapping!$D$3:$D$6,0)),IFERROR(INDEX(Mapping!$B$3:$B$13,MATCH($J904,Mapping!$A$3:$A$13,0)),"(unmapped)")),IFERROR(INDEX(Mapping!$B$17:$B$22,MATCH($F904,Mapping!$A$17:$A$22,0)),$F904)&amp;" "&amp;IF($G904="Banking","Banking",IFERROR(INDEX(Mapping!$E$17:$E$28,MATCH($J904,Mapping!$D$17:$D$28,0)),"(unmapped)")))))</f>
        <v/>
      </c>
    </row>
    <row r="905" spans="11:11" x14ac:dyDescent="0.3">
      <c r="K905" t="str">
        <f>IF($D905="","",IFERROR(INDEX(Mapping!$H$3:$H$32,MATCH($B905,Mapping!$G$3:$G$32,0)),IF(LEFT($F905,3)="P2P",IFERROR(INDEX(Mapping!$E$3:$E$6,MATCH($G905,Mapping!$D$3:$D$6,0)),IFERROR(INDEX(Mapping!$B$3:$B$13,MATCH($J905,Mapping!$A$3:$A$13,0)),"(unmapped)")),IFERROR(INDEX(Mapping!$B$17:$B$22,MATCH($F905,Mapping!$A$17:$A$22,0)),$F905)&amp;" "&amp;IF($G905="Banking","Banking",IFERROR(INDEX(Mapping!$E$17:$E$28,MATCH($J905,Mapping!$D$17:$D$28,0)),"(unmapped)")))))</f>
        <v/>
      </c>
    </row>
    <row r="906" spans="11:11" x14ac:dyDescent="0.3">
      <c r="K906" t="str">
        <f>IF($D906="","",IFERROR(INDEX(Mapping!$H$3:$H$32,MATCH($B906,Mapping!$G$3:$G$32,0)),IF(LEFT($F906,3)="P2P",IFERROR(INDEX(Mapping!$E$3:$E$6,MATCH($G906,Mapping!$D$3:$D$6,0)),IFERROR(INDEX(Mapping!$B$3:$B$13,MATCH($J906,Mapping!$A$3:$A$13,0)),"(unmapped)")),IFERROR(INDEX(Mapping!$B$17:$B$22,MATCH($F906,Mapping!$A$17:$A$22,0)),$F906)&amp;" "&amp;IF($G906="Banking","Banking",IFERROR(INDEX(Mapping!$E$17:$E$28,MATCH($J906,Mapping!$D$17:$D$28,0)),"(unmapped)")))))</f>
        <v/>
      </c>
    </row>
    <row r="907" spans="11:11" x14ac:dyDescent="0.3">
      <c r="K907" t="str">
        <f>IF($D907="","",IFERROR(INDEX(Mapping!$H$3:$H$32,MATCH($B907,Mapping!$G$3:$G$32,0)),IF(LEFT($F907,3)="P2P",IFERROR(INDEX(Mapping!$E$3:$E$6,MATCH($G907,Mapping!$D$3:$D$6,0)),IFERROR(INDEX(Mapping!$B$3:$B$13,MATCH($J907,Mapping!$A$3:$A$13,0)),"(unmapped)")),IFERROR(INDEX(Mapping!$B$17:$B$22,MATCH($F907,Mapping!$A$17:$A$22,0)),$F907)&amp;" "&amp;IF($G907="Banking","Banking",IFERROR(INDEX(Mapping!$E$17:$E$28,MATCH($J907,Mapping!$D$17:$D$28,0)),"(unmapped)")))))</f>
        <v/>
      </c>
    </row>
    <row r="908" spans="11:11" x14ac:dyDescent="0.3">
      <c r="K908" t="str">
        <f>IF($D908="","",IFERROR(INDEX(Mapping!$H$3:$H$32,MATCH($B908,Mapping!$G$3:$G$32,0)),IF(LEFT($F908,3)="P2P",IFERROR(INDEX(Mapping!$E$3:$E$6,MATCH($G908,Mapping!$D$3:$D$6,0)),IFERROR(INDEX(Mapping!$B$3:$B$13,MATCH($J908,Mapping!$A$3:$A$13,0)),"(unmapped)")),IFERROR(INDEX(Mapping!$B$17:$B$22,MATCH($F908,Mapping!$A$17:$A$22,0)),$F908)&amp;" "&amp;IF($G908="Banking","Banking",IFERROR(INDEX(Mapping!$E$17:$E$28,MATCH($J908,Mapping!$D$17:$D$28,0)),"(unmapped)")))))</f>
        <v/>
      </c>
    </row>
    <row r="909" spans="11:11" x14ac:dyDescent="0.3">
      <c r="K909" t="str">
        <f>IF($D909="","",IFERROR(INDEX(Mapping!$H$3:$H$32,MATCH($B909,Mapping!$G$3:$G$32,0)),IF(LEFT($F909,3)="P2P",IFERROR(INDEX(Mapping!$E$3:$E$6,MATCH($G909,Mapping!$D$3:$D$6,0)),IFERROR(INDEX(Mapping!$B$3:$B$13,MATCH($J909,Mapping!$A$3:$A$13,0)),"(unmapped)")),IFERROR(INDEX(Mapping!$B$17:$B$22,MATCH($F909,Mapping!$A$17:$A$22,0)),$F909)&amp;" "&amp;IF($G909="Banking","Banking",IFERROR(INDEX(Mapping!$E$17:$E$28,MATCH($J909,Mapping!$D$17:$D$28,0)),"(unmapped)")))))</f>
        <v/>
      </c>
    </row>
    <row r="910" spans="11:11" x14ac:dyDescent="0.3">
      <c r="K910" t="str">
        <f>IF($D910="","",IFERROR(INDEX(Mapping!$H$3:$H$32,MATCH($B910,Mapping!$G$3:$G$32,0)),IF(LEFT($F910,3)="P2P",IFERROR(INDEX(Mapping!$E$3:$E$6,MATCH($G910,Mapping!$D$3:$D$6,0)),IFERROR(INDEX(Mapping!$B$3:$B$13,MATCH($J910,Mapping!$A$3:$A$13,0)),"(unmapped)")),IFERROR(INDEX(Mapping!$B$17:$B$22,MATCH($F910,Mapping!$A$17:$A$22,0)),$F910)&amp;" "&amp;IF($G910="Banking","Banking",IFERROR(INDEX(Mapping!$E$17:$E$28,MATCH($J910,Mapping!$D$17:$D$28,0)),"(unmapped)")))))</f>
        <v/>
      </c>
    </row>
    <row r="911" spans="11:11" x14ac:dyDescent="0.3">
      <c r="K911" t="str">
        <f>IF($D911="","",IFERROR(INDEX(Mapping!$H$3:$H$32,MATCH($B911,Mapping!$G$3:$G$32,0)),IF(LEFT($F911,3)="P2P",IFERROR(INDEX(Mapping!$E$3:$E$6,MATCH($G911,Mapping!$D$3:$D$6,0)),IFERROR(INDEX(Mapping!$B$3:$B$13,MATCH($J911,Mapping!$A$3:$A$13,0)),"(unmapped)")),IFERROR(INDEX(Mapping!$B$17:$B$22,MATCH($F911,Mapping!$A$17:$A$22,0)),$F911)&amp;" "&amp;IF($G911="Banking","Banking",IFERROR(INDEX(Mapping!$E$17:$E$28,MATCH($J911,Mapping!$D$17:$D$28,0)),"(unmapped)")))))</f>
        <v/>
      </c>
    </row>
    <row r="912" spans="11:11" x14ac:dyDescent="0.3">
      <c r="K912" t="str">
        <f>IF($D912="","",IFERROR(INDEX(Mapping!$H$3:$H$32,MATCH($B912,Mapping!$G$3:$G$32,0)),IF(LEFT($F912,3)="P2P",IFERROR(INDEX(Mapping!$E$3:$E$6,MATCH($G912,Mapping!$D$3:$D$6,0)),IFERROR(INDEX(Mapping!$B$3:$B$13,MATCH($J912,Mapping!$A$3:$A$13,0)),"(unmapped)")),IFERROR(INDEX(Mapping!$B$17:$B$22,MATCH($F912,Mapping!$A$17:$A$22,0)),$F912)&amp;" "&amp;IF($G912="Banking","Banking",IFERROR(INDEX(Mapping!$E$17:$E$28,MATCH($J912,Mapping!$D$17:$D$28,0)),"(unmapped)")))))</f>
        <v/>
      </c>
    </row>
    <row r="913" spans="11:11" x14ac:dyDescent="0.3">
      <c r="K913" t="str">
        <f>IF($D913="","",IFERROR(INDEX(Mapping!$H$3:$H$32,MATCH($B913,Mapping!$G$3:$G$32,0)),IF(LEFT($F913,3)="P2P",IFERROR(INDEX(Mapping!$E$3:$E$6,MATCH($G913,Mapping!$D$3:$D$6,0)),IFERROR(INDEX(Mapping!$B$3:$B$13,MATCH($J913,Mapping!$A$3:$A$13,0)),"(unmapped)")),IFERROR(INDEX(Mapping!$B$17:$B$22,MATCH($F913,Mapping!$A$17:$A$22,0)),$F913)&amp;" "&amp;IF($G913="Banking","Banking",IFERROR(INDEX(Mapping!$E$17:$E$28,MATCH($J913,Mapping!$D$17:$D$28,0)),"(unmapped)")))))</f>
        <v/>
      </c>
    </row>
    <row r="914" spans="11:11" x14ac:dyDescent="0.3">
      <c r="K914" t="str">
        <f>IF($D914="","",IFERROR(INDEX(Mapping!$H$3:$H$32,MATCH($B914,Mapping!$G$3:$G$32,0)),IF(LEFT($F914,3)="P2P",IFERROR(INDEX(Mapping!$E$3:$E$6,MATCH($G914,Mapping!$D$3:$D$6,0)),IFERROR(INDEX(Mapping!$B$3:$B$13,MATCH($J914,Mapping!$A$3:$A$13,0)),"(unmapped)")),IFERROR(INDEX(Mapping!$B$17:$B$22,MATCH($F914,Mapping!$A$17:$A$22,0)),$F914)&amp;" "&amp;IF($G914="Banking","Banking",IFERROR(INDEX(Mapping!$E$17:$E$28,MATCH($J914,Mapping!$D$17:$D$28,0)),"(unmapped)")))))</f>
        <v/>
      </c>
    </row>
    <row r="915" spans="11:11" x14ac:dyDescent="0.3">
      <c r="K915" t="str">
        <f>IF($D915="","",IFERROR(INDEX(Mapping!$H$3:$H$32,MATCH($B915,Mapping!$G$3:$G$32,0)),IF(LEFT($F915,3)="P2P",IFERROR(INDEX(Mapping!$E$3:$E$6,MATCH($G915,Mapping!$D$3:$D$6,0)),IFERROR(INDEX(Mapping!$B$3:$B$13,MATCH($J915,Mapping!$A$3:$A$13,0)),"(unmapped)")),IFERROR(INDEX(Mapping!$B$17:$B$22,MATCH($F915,Mapping!$A$17:$A$22,0)),$F915)&amp;" "&amp;IF($G915="Banking","Banking",IFERROR(INDEX(Mapping!$E$17:$E$28,MATCH($J915,Mapping!$D$17:$D$28,0)),"(unmapped)")))))</f>
        <v/>
      </c>
    </row>
    <row r="916" spans="11:11" x14ac:dyDescent="0.3">
      <c r="K916" t="str">
        <f>IF($D916="","",IFERROR(INDEX(Mapping!$H$3:$H$32,MATCH($B916,Mapping!$G$3:$G$32,0)),IF(LEFT($F916,3)="P2P",IFERROR(INDEX(Mapping!$E$3:$E$6,MATCH($G916,Mapping!$D$3:$D$6,0)),IFERROR(INDEX(Mapping!$B$3:$B$13,MATCH($J916,Mapping!$A$3:$A$13,0)),"(unmapped)")),IFERROR(INDEX(Mapping!$B$17:$B$22,MATCH($F916,Mapping!$A$17:$A$22,0)),$F916)&amp;" "&amp;IF($G916="Banking","Banking",IFERROR(INDEX(Mapping!$E$17:$E$28,MATCH($J916,Mapping!$D$17:$D$28,0)),"(unmapped)")))))</f>
        <v/>
      </c>
    </row>
    <row r="917" spans="11:11" x14ac:dyDescent="0.3">
      <c r="K917" t="str">
        <f>IF($D917="","",IFERROR(INDEX(Mapping!$H$3:$H$32,MATCH($B917,Mapping!$G$3:$G$32,0)),IF(LEFT($F917,3)="P2P",IFERROR(INDEX(Mapping!$E$3:$E$6,MATCH($G917,Mapping!$D$3:$D$6,0)),IFERROR(INDEX(Mapping!$B$3:$B$13,MATCH($J917,Mapping!$A$3:$A$13,0)),"(unmapped)")),IFERROR(INDEX(Mapping!$B$17:$B$22,MATCH($F917,Mapping!$A$17:$A$22,0)),$F917)&amp;" "&amp;IF($G917="Banking","Banking",IFERROR(INDEX(Mapping!$E$17:$E$28,MATCH($J917,Mapping!$D$17:$D$28,0)),"(unmapped)")))))</f>
        <v/>
      </c>
    </row>
    <row r="918" spans="11:11" x14ac:dyDescent="0.3">
      <c r="K918" t="str">
        <f>IF($D918="","",IFERROR(INDEX(Mapping!$H$3:$H$32,MATCH($B918,Mapping!$G$3:$G$32,0)),IF(LEFT($F918,3)="P2P",IFERROR(INDEX(Mapping!$E$3:$E$6,MATCH($G918,Mapping!$D$3:$D$6,0)),IFERROR(INDEX(Mapping!$B$3:$B$13,MATCH($J918,Mapping!$A$3:$A$13,0)),"(unmapped)")),IFERROR(INDEX(Mapping!$B$17:$B$22,MATCH($F918,Mapping!$A$17:$A$22,0)),$F918)&amp;" "&amp;IF($G918="Banking","Banking",IFERROR(INDEX(Mapping!$E$17:$E$28,MATCH($J918,Mapping!$D$17:$D$28,0)),"(unmapped)")))))</f>
        <v/>
      </c>
    </row>
    <row r="919" spans="11:11" x14ac:dyDescent="0.3">
      <c r="K919" t="str">
        <f>IF($D919="","",IFERROR(INDEX(Mapping!$H$3:$H$32,MATCH($B919,Mapping!$G$3:$G$32,0)),IF(LEFT($F919,3)="P2P",IFERROR(INDEX(Mapping!$E$3:$E$6,MATCH($G919,Mapping!$D$3:$D$6,0)),IFERROR(INDEX(Mapping!$B$3:$B$13,MATCH($J919,Mapping!$A$3:$A$13,0)),"(unmapped)")),IFERROR(INDEX(Mapping!$B$17:$B$22,MATCH($F919,Mapping!$A$17:$A$22,0)),$F919)&amp;" "&amp;IF($G919="Banking","Banking",IFERROR(INDEX(Mapping!$E$17:$E$28,MATCH($J919,Mapping!$D$17:$D$28,0)),"(unmapped)")))))</f>
        <v/>
      </c>
    </row>
    <row r="920" spans="11:11" x14ac:dyDescent="0.3">
      <c r="K920" t="str">
        <f>IF($D920="","",IFERROR(INDEX(Mapping!$H$3:$H$32,MATCH($B920,Mapping!$G$3:$G$32,0)),IF(LEFT($F920,3)="P2P",IFERROR(INDEX(Mapping!$E$3:$E$6,MATCH($G920,Mapping!$D$3:$D$6,0)),IFERROR(INDEX(Mapping!$B$3:$B$13,MATCH($J920,Mapping!$A$3:$A$13,0)),"(unmapped)")),IFERROR(INDEX(Mapping!$B$17:$B$22,MATCH($F920,Mapping!$A$17:$A$22,0)),$F920)&amp;" "&amp;IF($G920="Banking","Banking",IFERROR(INDEX(Mapping!$E$17:$E$28,MATCH($J920,Mapping!$D$17:$D$28,0)),"(unmapped)")))))</f>
        <v/>
      </c>
    </row>
    <row r="921" spans="11:11" x14ac:dyDescent="0.3">
      <c r="K921" t="str">
        <f>IF($D921="","",IFERROR(INDEX(Mapping!$H$3:$H$32,MATCH($B921,Mapping!$G$3:$G$32,0)),IF(LEFT($F921,3)="P2P",IFERROR(INDEX(Mapping!$E$3:$E$6,MATCH($G921,Mapping!$D$3:$D$6,0)),IFERROR(INDEX(Mapping!$B$3:$B$13,MATCH($J921,Mapping!$A$3:$A$13,0)),"(unmapped)")),IFERROR(INDEX(Mapping!$B$17:$B$22,MATCH($F921,Mapping!$A$17:$A$22,0)),$F921)&amp;" "&amp;IF($G921="Banking","Banking",IFERROR(INDEX(Mapping!$E$17:$E$28,MATCH($J921,Mapping!$D$17:$D$28,0)),"(unmapped)")))))</f>
        <v/>
      </c>
    </row>
    <row r="922" spans="11:11" x14ac:dyDescent="0.3">
      <c r="K922" t="str">
        <f>IF($D922="","",IFERROR(INDEX(Mapping!$H$3:$H$32,MATCH($B922,Mapping!$G$3:$G$32,0)),IF(LEFT($F922,3)="P2P",IFERROR(INDEX(Mapping!$E$3:$E$6,MATCH($G922,Mapping!$D$3:$D$6,0)),IFERROR(INDEX(Mapping!$B$3:$B$13,MATCH($J922,Mapping!$A$3:$A$13,0)),"(unmapped)")),IFERROR(INDEX(Mapping!$B$17:$B$22,MATCH($F922,Mapping!$A$17:$A$22,0)),$F922)&amp;" "&amp;IF($G922="Banking","Banking",IFERROR(INDEX(Mapping!$E$17:$E$28,MATCH($J922,Mapping!$D$17:$D$28,0)),"(unmapped)")))))</f>
        <v/>
      </c>
    </row>
    <row r="923" spans="11:11" x14ac:dyDescent="0.3">
      <c r="K923" t="str">
        <f>IF($D923="","",IFERROR(INDEX(Mapping!$H$3:$H$32,MATCH($B923,Mapping!$G$3:$G$32,0)),IF(LEFT($F923,3)="P2P",IFERROR(INDEX(Mapping!$E$3:$E$6,MATCH($G923,Mapping!$D$3:$D$6,0)),IFERROR(INDEX(Mapping!$B$3:$B$13,MATCH($J923,Mapping!$A$3:$A$13,0)),"(unmapped)")),IFERROR(INDEX(Mapping!$B$17:$B$22,MATCH($F923,Mapping!$A$17:$A$22,0)),$F923)&amp;" "&amp;IF($G923="Banking","Banking",IFERROR(INDEX(Mapping!$E$17:$E$28,MATCH($J923,Mapping!$D$17:$D$28,0)),"(unmapped)")))))</f>
        <v/>
      </c>
    </row>
    <row r="924" spans="11:11" x14ac:dyDescent="0.3">
      <c r="K924" t="str">
        <f>IF($D924="","",IFERROR(INDEX(Mapping!$H$3:$H$32,MATCH($B924,Mapping!$G$3:$G$32,0)),IF(LEFT($F924,3)="P2P",IFERROR(INDEX(Mapping!$E$3:$E$6,MATCH($G924,Mapping!$D$3:$D$6,0)),IFERROR(INDEX(Mapping!$B$3:$B$13,MATCH($J924,Mapping!$A$3:$A$13,0)),"(unmapped)")),IFERROR(INDEX(Mapping!$B$17:$B$22,MATCH($F924,Mapping!$A$17:$A$22,0)),$F924)&amp;" "&amp;IF($G924="Banking","Banking",IFERROR(INDEX(Mapping!$E$17:$E$28,MATCH($J924,Mapping!$D$17:$D$28,0)),"(unmapped)")))))</f>
        <v/>
      </c>
    </row>
    <row r="925" spans="11:11" x14ac:dyDescent="0.3">
      <c r="K925" t="str">
        <f>IF($D925="","",IFERROR(INDEX(Mapping!$H$3:$H$32,MATCH($B925,Mapping!$G$3:$G$32,0)),IF(LEFT($F925,3)="P2P",IFERROR(INDEX(Mapping!$E$3:$E$6,MATCH($G925,Mapping!$D$3:$D$6,0)),IFERROR(INDEX(Mapping!$B$3:$B$13,MATCH($J925,Mapping!$A$3:$A$13,0)),"(unmapped)")),IFERROR(INDEX(Mapping!$B$17:$B$22,MATCH($F925,Mapping!$A$17:$A$22,0)),$F925)&amp;" "&amp;IF($G925="Banking","Banking",IFERROR(INDEX(Mapping!$E$17:$E$28,MATCH($J925,Mapping!$D$17:$D$28,0)),"(unmapped)")))))</f>
        <v/>
      </c>
    </row>
    <row r="926" spans="11:11" x14ac:dyDescent="0.3">
      <c r="K926" t="str">
        <f>IF($D926="","",IFERROR(INDEX(Mapping!$H$3:$H$32,MATCH($B926,Mapping!$G$3:$G$32,0)),IF(LEFT($F926,3)="P2P",IFERROR(INDEX(Mapping!$E$3:$E$6,MATCH($G926,Mapping!$D$3:$D$6,0)),IFERROR(INDEX(Mapping!$B$3:$B$13,MATCH($J926,Mapping!$A$3:$A$13,0)),"(unmapped)")),IFERROR(INDEX(Mapping!$B$17:$B$22,MATCH($F926,Mapping!$A$17:$A$22,0)),$F926)&amp;" "&amp;IF($G926="Banking","Banking",IFERROR(INDEX(Mapping!$E$17:$E$28,MATCH($J926,Mapping!$D$17:$D$28,0)),"(unmapped)")))))</f>
        <v/>
      </c>
    </row>
    <row r="927" spans="11:11" x14ac:dyDescent="0.3">
      <c r="K927" t="str">
        <f>IF($D927="","",IFERROR(INDEX(Mapping!$H$3:$H$32,MATCH($B927,Mapping!$G$3:$G$32,0)),IF(LEFT($F927,3)="P2P",IFERROR(INDEX(Mapping!$E$3:$E$6,MATCH($G927,Mapping!$D$3:$D$6,0)),IFERROR(INDEX(Mapping!$B$3:$B$13,MATCH($J927,Mapping!$A$3:$A$13,0)),"(unmapped)")),IFERROR(INDEX(Mapping!$B$17:$B$22,MATCH($F927,Mapping!$A$17:$A$22,0)),$F927)&amp;" "&amp;IF($G927="Banking","Banking",IFERROR(INDEX(Mapping!$E$17:$E$28,MATCH($J927,Mapping!$D$17:$D$28,0)),"(unmapped)")))))</f>
        <v/>
      </c>
    </row>
    <row r="928" spans="11:11" x14ac:dyDescent="0.3">
      <c r="K928" t="str">
        <f>IF($D928="","",IFERROR(INDEX(Mapping!$H$3:$H$32,MATCH($B928,Mapping!$G$3:$G$32,0)),IF(LEFT($F928,3)="P2P",IFERROR(INDEX(Mapping!$E$3:$E$6,MATCH($G928,Mapping!$D$3:$D$6,0)),IFERROR(INDEX(Mapping!$B$3:$B$13,MATCH($J928,Mapping!$A$3:$A$13,0)),"(unmapped)")),IFERROR(INDEX(Mapping!$B$17:$B$22,MATCH($F928,Mapping!$A$17:$A$22,0)),$F928)&amp;" "&amp;IF($G928="Banking","Banking",IFERROR(INDEX(Mapping!$E$17:$E$28,MATCH($J928,Mapping!$D$17:$D$28,0)),"(unmapped)")))))</f>
        <v/>
      </c>
    </row>
    <row r="929" spans="11:11" x14ac:dyDescent="0.3">
      <c r="K929" t="str">
        <f>IF($D929="","",IFERROR(INDEX(Mapping!$H$3:$H$32,MATCH($B929,Mapping!$G$3:$G$32,0)),IF(LEFT($F929,3)="P2P",IFERROR(INDEX(Mapping!$E$3:$E$6,MATCH($G929,Mapping!$D$3:$D$6,0)),IFERROR(INDEX(Mapping!$B$3:$B$13,MATCH($J929,Mapping!$A$3:$A$13,0)),"(unmapped)")),IFERROR(INDEX(Mapping!$B$17:$B$22,MATCH($F929,Mapping!$A$17:$A$22,0)),$F929)&amp;" "&amp;IF($G929="Banking","Banking",IFERROR(INDEX(Mapping!$E$17:$E$28,MATCH($J929,Mapping!$D$17:$D$28,0)),"(unmapped)")))))</f>
        <v/>
      </c>
    </row>
    <row r="930" spans="11:11" x14ac:dyDescent="0.3">
      <c r="K930" t="str">
        <f>IF($D930="","",IFERROR(INDEX(Mapping!$H$3:$H$32,MATCH($B930,Mapping!$G$3:$G$32,0)),IF(LEFT($F930,3)="P2P",IFERROR(INDEX(Mapping!$E$3:$E$6,MATCH($G930,Mapping!$D$3:$D$6,0)),IFERROR(INDEX(Mapping!$B$3:$B$13,MATCH($J930,Mapping!$A$3:$A$13,0)),"(unmapped)")),IFERROR(INDEX(Mapping!$B$17:$B$22,MATCH($F930,Mapping!$A$17:$A$22,0)),$F930)&amp;" "&amp;IF($G930="Banking","Banking",IFERROR(INDEX(Mapping!$E$17:$E$28,MATCH($J930,Mapping!$D$17:$D$28,0)),"(unmapped)")))))</f>
        <v/>
      </c>
    </row>
    <row r="931" spans="11:11" x14ac:dyDescent="0.3">
      <c r="K931" t="str">
        <f>IF($D931="","",IFERROR(INDEX(Mapping!$H$3:$H$32,MATCH($B931,Mapping!$G$3:$G$32,0)),IF(LEFT($F931,3)="P2P",IFERROR(INDEX(Mapping!$E$3:$E$6,MATCH($G931,Mapping!$D$3:$D$6,0)),IFERROR(INDEX(Mapping!$B$3:$B$13,MATCH($J931,Mapping!$A$3:$A$13,0)),"(unmapped)")),IFERROR(INDEX(Mapping!$B$17:$B$22,MATCH($F931,Mapping!$A$17:$A$22,0)),$F931)&amp;" "&amp;IF($G931="Banking","Banking",IFERROR(INDEX(Mapping!$E$17:$E$28,MATCH($J931,Mapping!$D$17:$D$28,0)),"(unmapped)")))))</f>
        <v/>
      </c>
    </row>
    <row r="932" spans="11:11" x14ac:dyDescent="0.3">
      <c r="K932" t="str">
        <f>IF($D932="","",IFERROR(INDEX(Mapping!$H$3:$H$32,MATCH($B932,Mapping!$G$3:$G$32,0)),IF(LEFT($F932,3)="P2P",IFERROR(INDEX(Mapping!$E$3:$E$6,MATCH($G932,Mapping!$D$3:$D$6,0)),IFERROR(INDEX(Mapping!$B$3:$B$13,MATCH($J932,Mapping!$A$3:$A$13,0)),"(unmapped)")),IFERROR(INDEX(Mapping!$B$17:$B$22,MATCH($F932,Mapping!$A$17:$A$22,0)),$F932)&amp;" "&amp;IF($G932="Banking","Banking",IFERROR(INDEX(Mapping!$E$17:$E$28,MATCH($J932,Mapping!$D$17:$D$28,0)),"(unmapped)")))))</f>
        <v/>
      </c>
    </row>
    <row r="933" spans="11:11" x14ac:dyDescent="0.3">
      <c r="K933" t="str">
        <f>IF($D933="","",IFERROR(INDEX(Mapping!$H$3:$H$32,MATCH($B933,Mapping!$G$3:$G$32,0)),IF(LEFT($F933,3)="P2P",IFERROR(INDEX(Mapping!$E$3:$E$6,MATCH($G933,Mapping!$D$3:$D$6,0)),IFERROR(INDEX(Mapping!$B$3:$B$13,MATCH($J933,Mapping!$A$3:$A$13,0)),"(unmapped)")),IFERROR(INDEX(Mapping!$B$17:$B$22,MATCH($F933,Mapping!$A$17:$A$22,0)),$F933)&amp;" "&amp;IF($G933="Banking","Banking",IFERROR(INDEX(Mapping!$E$17:$E$28,MATCH($J933,Mapping!$D$17:$D$28,0)),"(unmapped)")))))</f>
        <v/>
      </c>
    </row>
    <row r="934" spans="11:11" x14ac:dyDescent="0.3">
      <c r="K934" t="str">
        <f>IF($D934="","",IFERROR(INDEX(Mapping!$H$3:$H$32,MATCH($B934,Mapping!$G$3:$G$32,0)),IF(LEFT($F934,3)="P2P",IFERROR(INDEX(Mapping!$E$3:$E$6,MATCH($G934,Mapping!$D$3:$D$6,0)),IFERROR(INDEX(Mapping!$B$3:$B$13,MATCH($J934,Mapping!$A$3:$A$13,0)),"(unmapped)")),IFERROR(INDEX(Mapping!$B$17:$B$22,MATCH($F934,Mapping!$A$17:$A$22,0)),$F934)&amp;" "&amp;IF($G934="Banking","Banking",IFERROR(INDEX(Mapping!$E$17:$E$28,MATCH($J934,Mapping!$D$17:$D$28,0)),"(unmapped)")))))</f>
        <v/>
      </c>
    </row>
    <row r="935" spans="11:11" x14ac:dyDescent="0.3">
      <c r="K935" t="str">
        <f>IF($D935="","",IFERROR(INDEX(Mapping!$H$3:$H$32,MATCH($B935,Mapping!$G$3:$G$32,0)),IF(LEFT($F935,3)="P2P",IFERROR(INDEX(Mapping!$E$3:$E$6,MATCH($G935,Mapping!$D$3:$D$6,0)),IFERROR(INDEX(Mapping!$B$3:$B$13,MATCH($J935,Mapping!$A$3:$A$13,0)),"(unmapped)")),IFERROR(INDEX(Mapping!$B$17:$B$22,MATCH($F935,Mapping!$A$17:$A$22,0)),$F935)&amp;" "&amp;IF($G935="Banking","Banking",IFERROR(INDEX(Mapping!$E$17:$E$28,MATCH($J935,Mapping!$D$17:$D$28,0)),"(unmapped)")))))</f>
        <v/>
      </c>
    </row>
    <row r="936" spans="11:11" x14ac:dyDescent="0.3">
      <c r="K936" t="str">
        <f>IF($D936="","",IFERROR(INDEX(Mapping!$H$3:$H$32,MATCH($B936,Mapping!$G$3:$G$32,0)),IF(LEFT($F936,3)="P2P",IFERROR(INDEX(Mapping!$E$3:$E$6,MATCH($G936,Mapping!$D$3:$D$6,0)),IFERROR(INDEX(Mapping!$B$3:$B$13,MATCH($J936,Mapping!$A$3:$A$13,0)),"(unmapped)")),IFERROR(INDEX(Mapping!$B$17:$B$22,MATCH($F936,Mapping!$A$17:$A$22,0)),$F936)&amp;" "&amp;IF($G936="Banking","Banking",IFERROR(INDEX(Mapping!$E$17:$E$28,MATCH($J936,Mapping!$D$17:$D$28,0)),"(unmapped)")))))</f>
        <v/>
      </c>
    </row>
    <row r="937" spans="11:11" x14ac:dyDescent="0.3">
      <c r="K937" t="str">
        <f>IF($D937="","",IFERROR(INDEX(Mapping!$H$3:$H$32,MATCH($B937,Mapping!$G$3:$G$32,0)),IF(LEFT($F937,3)="P2P",IFERROR(INDEX(Mapping!$E$3:$E$6,MATCH($G937,Mapping!$D$3:$D$6,0)),IFERROR(INDEX(Mapping!$B$3:$B$13,MATCH($J937,Mapping!$A$3:$A$13,0)),"(unmapped)")),IFERROR(INDEX(Mapping!$B$17:$B$22,MATCH($F937,Mapping!$A$17:$A$22,0)),$F937)&amp;" "&amp;IF($G937="Banking","Banking",IFERROR(INDEX(Mapping!$E$17:$E$28,MATCH($J937,Mapping!$D$17:$D$28,0)),"(unmapped)")))))</f>
        <v/>
      </c>
    </row>
    <row r="938" spans="11:11" x14ac:dyDescent="0.3">
      <c r="K938" t="str">
        <f>IF($D938="","",IFERROR(INDEX(Mapping!$H$3:$H$32,MATCH($B938,Mapping!$G$3:$G$32,0)),IF(LEFT($F938,3)="P2P",IFERROR(INDEX(Mapping!$E$3:$E$6,MATCH($G938,Mapping!$D$3:$D$6,0)),IFERROR(INDEX(Mapping!$B$3:$B$13,MATCH($J938,Mapping!$A$3:$A$13,0)),"(unmapped)")),IFERROR(INDEX(Mapping!$B$17:$B$22,MATCH($F938,Mapping!$A$17:$A$22,0)),$F938)&amp;" "&amp;IF($G938="Banking","Banking",IFERROR(INDEX(Mapping!$E$17:$E$28,MATCH($J938,Mapping!$D$17:$D$28,0)),"(unmapped)")))))</f>
        <v/>
      </c>
    </row>
    <row r="939" spans="11:11" x14ac:dyDescent="0.3">
      <c r="K939" t="str">
        <f>IF($D939="","",IFERROR(INDEX(Mapping!$H$3:$H$32,MATCH($B939,Mapping!$G$3:$G$32,0)),IF(LEFT($F939,3)="P2P",IFERROR(INDEX(Mapping!$E$3:$E$6,MATCH($G939,Mapping!$D$3:$D$6,0)),IFERROR(INDEX(Mapping!$B$3:$B$13,MATCH($J939,Mapping!$A$3:$A$13,0)),"(unmapped)")),IFERROR(INDEX(Mapping!$B$17:$B$22,MATCH($F939,Mapping!$A$17:$A$22,0)),$F939)&amp;" "&amp;IF($G939="Banking","Banking",IFERROR(INDEX(Mapping!$E$17:$E$28,MATCH($J939,Mapping!$D$17:$D$28,0)),"(unmapped)")))))</f>
        <v/>
      </c>
    </row>
    <row r="940" spans="11:11" x14ac:dyDescent="0.3">
      <c r="K940" t="str">
        <f>IF($D940="","",IFERROR(INDEX(Mapping!$H$3:$H$32,MATCH($B940,Mapping!$G$3:$G$32,0)),IF(LEFT($F940,3)="P2P",IFERROR(INDEX(Mapping!$E$3:$E$6,MATCH($G940,Mapping!$D$3:$D$6,0)),IFERROR(INDEX(Mapping!$B$3:$B$13,MATCH($J940,Mapping!$A$3:$A$13,0)),"(unmapped)")),IFERROR(INDEX(Mapping!$B$17:$B$22,MATCH($F940,Mapping!$A$17:$A$22,0)),$F940)&amp;" "&amp;IF($G940="Banking","Banking",IFERROR(INDEX(Mapping!$E$17:$E$28,MATCH($J940,Mapping!$D$17:$D$28,0)),"(unmapped)")))))</f>
        <v/>
      </c>
    </row>
    <row r="941" spans="11:11" x14ac:dyDescent="0.3">
      <c r="K941" t="str">
        <f>IF($D941="","",IFERROR(INDEX(Mapping!$H$3:$H$32,MATCH($B941,Mapping!$G$3:$G$32,0)),IF(LEFT($F941,3)="P2P",IFERROR(INDEX(Mapping!$E$3:$E$6,MATCH($G941,Mapping!$D$3:$D$6,0)),IFERROR(INDEX(Mapping!$B$3:$B$13,MATCH($J941,Mapping!$A$3:$A$13,0)),"(unmapped)")),IFERROR(INDEX(Mapping!$B$17:$B$22,MATCH($F941,Mapping!$A$17:$A$22,0)),$F941)&amp;" "&amp;IF($G941="Banking","Banking",IFERROR(INDEX(Mapping!$E$17:$E$28,MATCH($J941,Mapping!$D$17:$D$28,0)),"(unmapped)")))))</f>
        <v/>
      </c>
    </row>
    <row r="942" spans="11:11" x14ac:dyDescent="0.3">
      <c r="K942" t="str">
        <f>IF($D942="","",IFERROR(INDEX(Mapping!$H$3:$H$32,MATCH($B942,Mapping!$G$3:$G$32,0)),IF(LEFT($F942,3)="P2P",IFERROR(INDEX(Mapping!$E$3:$E$6,MATCH($G942,Mapping!$D$3:$D$6,0)),IFERROR(INDEX(Mapping!$B$3:$B$13,MATCH($J942,Mapping!$A$3:$A$13,0)),"(unmapped)")),IFERROR(INDEX(Mapping!$B$17:$B$22,MATCH($F942,Mapping!$A$17:$A$22,0)),$F942)&amp;" "&amp;IF($G942="Banking","Banking",IFERROR(INDEX(Mapping!$E$17:$E$28,MATCH($J942,Mapping!$D$17:$D$28,0)),"(unmapped)")))))</f>
        <v/>
      </c>
    </row>
    <row r="943" spans="11:11" x14ac:dyDescent="0.3">
      <c r="K943" t="str">
        <f>IF($D943="","",IFERROR(INDEX(Mapping!$H$3:$H$32,MATCH($B943,Mapping!$G$3:$G$32,0)),IF(LEFT($F943,3)="P2P",IFERROR(INDEX(Mapping!$E$3:$E$6,MATCH($G943,Mapping!$D$3:$D$6,0)),IFERROR(INDEX(Mapping!$B$3:$B$13,MATCH($J943,Mapping!$A$3:$A$13,0)),"(unmapped)")),IFERROR(INDEX(Mapping!$B$17:$B$22,MATCH($F943,Mapping!$A$17:$A$22,0)),$F943)&amp;" "&amp;IF($G943="Banking","Banking",IFERROR(INDEX(Mapping!$E$17:$E$28,MATCH($J943,Mapping!$D$17:$D$28,0)),"(unmapped)")))))</f>
        <v/>
      </c>
    </row>
    <row r="944" spans="11:11" x14ac:dyDescent="0.3">
      <c r="K944" t="str">
        <f>IF($D944="","",IFERROR(INDEX(Mapping!$H$3:$H$32,MATCH($B944,Mapping!$G$3:$G$32,0)),IF(LEFT($F944,3)="P2P",IFERROR(INDEX(Mapping!$E$3:$E$6,MATCH($G944,Mapping!$D$3:$D$6,0)),IFERROR(INDEX(Mapping!$B$3:$B$13,MATCH($J944,Mapping!$A$3:$A$13,0)),"(unmapped)")),IFERROR(INDEX(Mapping!$B$17:$B$22,MATCH($F944,Mapping!$A$17:$A$22,0)),$F944)&amp;" "&amp;IF($G944="Banking","Banking",IFERROR(INDEX(Mapping!$E$17:$E$28,MATCH($J944,Mapping!$D$17:$D$28,0)),"(unmapped)")))))</f>
        <v/>
      </c>
    </row>
    <row r="945" spans="11:11" x14ac:dyDescent="0.3">
      <c r="K945" t="str">
        <f>IF($D945="","",IFERROR(INDEX(Mapping!$H$3:$H$32,MATCH($B945,Mapping!$G$3:$G$32,0)),IF(LEFT($F945,3)="P2P",IFERROR(INDEX(Mapping!$E$3:$E$6,MATCH($G945,Mapping!$D$3:$D$6,0)),IFERROR(INDEX(Mapping!$B$3:$B$13,MATCH($J945,Mapping!$A$3:$A$13,0)),"(unmapped)")),IFERROR(INDEX(Mapping!$B$17:$B$22,MATCH($F945,Mapping!$A$17:$A$22,0)),$F945)&amp;" "&amp;IF($G945="Banking","Banking",IFERROR(INDEX(Mapping!$E$17:$E$28,MATCH($J945,Mapping!$D$17:$D$28,0)),"(unmapped)")))))</f>
        <v/>
      </c>
    </row>
    <row r="946" spans="11:11" x14ac:dyDescent="0.3">
      <c r="K946" t="str">
        <f>IF($D946="","",IFERROR(INDEX(Mapping!$H$3:$H$32,MATCH($B946,Mapping!$G$3:$G$32,0)),IF(LEFT($F946,3)="P2P",IFERROR(INDEX(Mapping!$E$3:$E$6,MATCH($G946,Mapping!$D$3:$D$6,0)),IFERROR(INDEX(Mapping!$B$3:$B$13,MATCH($J946,Mapping!$A$3:$A$13,0)),"(unmapped)")),IFERROR(INDEX(Mapping!$B$17:$B$22,MATCH($F946,Mapping!$A$17:$A$22,0)),$F946)&amp;" "&amp;IF($G946="Banking","Banking",IFERROR(INDEX(Mapping!$E$17:$E$28,MATCH($J946,Mapping!$D$17:$D$28,0)),"(unmapped)")))))</f>
        <v/>
      </c>
    </row>
    <row r="947" spans="11:11" x14ac:dyDescent="0.3">
      <c r="K947" t="str">
        <f>IF($D947="","",IFERROR(INDEX(Mapping!$H$3:$H$32,MATCH($B947,Mapping!$G$3:$G$32,0)),IF(LEFT($F947,3)="P2P",IFERROR(INDEX(Mapping!$E$3:$E$6,MATCH($G947,Mapping!$D$3:$D$6,0)),IFERROR(INDEX(Mapping!$B$3:$B$13,MATCH($J947,Mapping!$A$3:$A$13,0)),"(unmapped)")),IFERROR(INDEX(Mapping!$B$17:$B$22,MATCH($F947,Mapping!$A$17:$A$22,0)),$F947)&amp;" "&amp;IF($G947="Banking","Banking",IFERROR(INDEX(Mapping!$E$17:$E$28,MATCH($J947,Mapping!$D$17:$D$28,0)),"(unmapped)")))))</f>
        <v/>
      </c>
    </row>
    <row r="948" spans="11:11" x14ac:dyDescent="0.3">
      <c r="K948" t="str">
        <f>IF($D948="","",IFERROR(INDEX(Mapping!$H$3:$H$32,MATCH($B948,Mapping!$G$3:$G$32,0)),IF(LEFT($F948,3)="P2P",IFERROR(INDEX(Mapping!$E$3:$E$6,MATCH($G948,Mapping!$D$3:$D$6,0)),IFERROR(INDEX(Mapping!$B$3:$B$13,MATCH($J948,Mapping!$A$3:$A$13,0)),"(unmapped)")),IFERROR(INDEX(Mapping!$B$17:$B$22,MATCH($F948,Mapping!$A$17:$A$22,0)),$F948)&amp;" "&amp;IF($G948="Banking","Banking",IFERROR(INDEX(Mapping!$E$17:$E$28,MATCH($J948,Mapping!$D$17:$D$28,0)),"(unmapped)")))))</f>
        <v/>
      </c>
    </row>
    <row r="949" spans="11:11" x14ac:dyDescent="0.3">
      <c r="K949" t="str">
        <f>IF($D949="","",IFERROR(INDEX(Mapping!$H$3:$H$32,MATCH($B949,Mapping!$G$3:$G$32,0)),IF(LEFT($F949,3)="P2P",IFERROR(INDEX(Mapping!$E$3:$E$6,MATCH($G949,Mapping!$D$3:$D$6,0)),IFERROR(INDEX(Mapping!$B$3:$B$13,MATCH($J949,Mapping!$A$3:$A$13,0)),"(unmapped)")),IFERROR(INDEX(Mapping!$B$17:$B$22,MATCH($F949,Mapping!$A$17:$A$22,0)),$F949)&amp;" "&amp;IF($G949="Banking","Banking",IFERROR(INDEX(Mapping!$E$17:$E$28,MATCH($J949,Mapping!$D$17:$D$28,0)),"(unmapped)")))))</f>
        <v/>
      </c>
    </row>
    <row r="950" spans="11:11" x14ac:dyDescent="0.3">
      <c r="K950" t="str">
        <f>IF($D950="","",IFERROR(INDEX(Mapping!$H$3:$H$32,MATCH($B950,Mapping!$G$3:$G$32,0)),IF(LEFT($F950,3)="P2P",IFERROR(INDEX(Mapping!$E$3:$E$6,MATCH($G950,Mapping!$D$3:$D$6,0)),IFERROR(INDEX(Mapping!$B$3:$B$13,MATCH($J950,Mapping!$A$3:$A$13,0)),"(unmapped)")),IFERROR(INDEX(Mapping!$B$17:$B$22,MATCH($F950,Mapping!$A$17:$A$22,0)),$F950)&amp;" "&amp;IF($G950="Banking","Banking",IFERROR(INDEX(Mapping!$E$17:$E$28,MATCH($J950,Mapping!$D$17:$D$28,0)),"(unmapped)")))))</f>
        <v/>
      </c>
    </row>
    <row r="951" spans="11:11" x14ac:dyDescent="0.3">
      <c r="K951" t="str">
        <f>IF($D951="","",IFERROR(INDEX(Mapping!$H$3:$H$32,MATCH($B951,Mapping!$G$3:$G$32,0)),IF(LEFT($F951,3)="P2P",IFERROR(INDEX(Mapping!$E$3:$E$6,MATCH($G951,Mapping!$D$3:$D$6,0)),IFERROR(INDEX(Mapping!$B$3:$B$13,MATCH($J951,Mapping!$A$3:$A$13,0)),"(unmapped)")),IFERROR(INDEX(Mapping!$B$17:$B$22,MATCH($F951,Mapping!$A$17:$A$22,0)),$F951)&amp;" "&amp;IF($G951="Banking","Banking",IFERROR(INDEX(Mapping!$E$17:$E$28,MATCH($J951,Mapping!$D$17:$D$28,0)),"(unmapped)")))))</f>
        <v/>
      </c>
    </row>
    <row r="952" spans="11:11" x14ac:dyDescent="0.3">
      <c r="K952" t="str">
        <f>IF($D952="","",IFERROR(INDEX(Mapping!$H$3:$H$32,MATCH($B952,Mapping!$G$3:$G$32,0)),IF(LEFT($F952,3)="P2P",IFERROR(INDEX(Mapping!$E$3:$E$6,MATCH($G952,Mapping!$D$3:$D$6,0)),IFERROR(INDEX(Mapping!$B$3:$B$13,MATCH($J952,Mapping!$A$3:$A$13,0)),"(unmapped)")),IFERROR(INDEX(Mapping!$B$17:$B$22,MATCH($F952,Mapping!$A$17:$A$22,0)),$F952)&amp;" "&amp;IF($G952="Banking","Banking",IFERROR(INDEX(Mapping!$E$17:$E$28,MATCH($J952,Mapping!$D$17:$D$28,0)),"(unmapped)")))))</f>
        <v/>
      </c>
    </row>
    <row r="953" spans="11:11" x14ac:dyDescent="0.3">
      <c r="K953" t="str">
        <f>IF($D953="","",IFERROR(INDEX(Mapping!$H$3:$H$32,MATCH($B953,Mapping!$G$3:$G$32,0)),IF(LEFT($F953,3)="P2P",IFERROR(INDEX(Mapping!$E$3:$E$6,MATCH($G953,Mapping!$D$3:$D$6,0)),IFERROR(INDEX(Mapping!$B$3:$B$13,MATCH($J953,Mapping!$A$3:$A$13,0)),"(unmapped)")),IFERROR(INDEX(Mapping!$B$17:$B$22,MATCH($F953,Mapping!$A$17:$A$22,0)),$F953)&amp;" "&amp;IF($G953="Banking","Banking",IFERROR(INDEX(Mapping!$E$17:$E$28,MATCH($J953,Mapping!$D$17:$D$28,0)),"(unmapped)")))))</f>
        <v/>
      </c>
    </row>
    <row r="954" spans="11:11" x14ac:dyDescent="0.3">
      <c r="K954" t="str">
        <f>IF($D954="","",IFERROR(INDEX(Mapping!$H$3:$H$32,MATCH($B954,Mapping!$G$3:$G$32,0)),IF(LEFT($F954,3)="P2P",IFERROR(INDEX(Mapping!$E$3:$E$6,MATCH($G954,Mapping!$D$3:$D$6,0)),IFERROR(INDEX(Mapping!$B$3:$B$13,MATCH($J954,Mapping!$A$3:$A$13,0)),"(unmapped)")),IFERROR(INDEX(Mapping!$B$17:$B$22,MATCH($F954,Mapping!$A$17:$A$22,0)),$F954)&amp;" "&amp;IF($G954="Banking","Banking",IFERROR(INDEX(Mapping!$E$17:$E$28,MATCH($J954,Mapping!$D$17:$D$28,0)),"(unmapped)")))))</f>
        <v/>
      </c>
    </row>
    <row r="955" spans="11:11" x14ac:dyDescent="0.3">
      <c r="K955" t="str">
        <f>IF($D955="","",IFERROR(INDEX(Mapping!$H$3:$H$32,MATCH($B955,Mapping!$G$3:$G$32,0)),IF(LEFT($F955,3)="P2P",IFERROR(INDEX(Mapping!$E$3:$E$6,MATCH($G955,Mapping!$D$3:$D$6,0)),IFERROR(INDEX(Mapping!$B$3:$B$13,MATCH($J955,Mapping!$A$3:$A$13,0)),"(unmapped)")),IFERROR(INDEX(Mapping!$B$17:$B$22,MATCH($F955,Mapping!$A$17:$A$22,0)),$F955)&amp;" "&amp;IF($G955="Banking","Banking",IFERROR(INDEX(Mapping!$E$17:$E$28,MATCH($J955,Mapping!$D$17:$D$28,0)),"(unmapped)")))))</f>
        <v/>
      </c>
    </row>
    <row r="956" spans="11:11" x14ac:dyDescent="0.3">
      <c r="K956" t="str">
        <f>IF($D956="","",IFERROR(INDEX(Mapping!$H$3:$H$32,MATCH($B956,Mapping!$G$3:$G$32,0)),IF(LEFT($F956,3)="P2P",IFERROR(INDEX(Mapping!$E$3:$E$6,MATCH($G956,Mapping!$D$3:$D$6,0)),IFERROR(INDEX(Mapping!$B$3:$B$13,MATCH($J956,Mapping!$A$3:$A$13,0)),"(unmapped)")),IFERROR(INDEX(Mapping!$B$17:$B$22,MATCH($F956,Mapping!$A$17:$A$22,0)),$F956)&amp;" "&amp;IF($G956="Banking","Banking",IFERROR(INDEX(Mapping!$E$17:$E$28,MATCH($J956,Mapping!$D$17:$D$28,0)),"(unmapped)")))))</f>
        <v/>
      </c>
    </row>
    <row r="957" spans="11:11" x14ac:dyDescent="0.3">
      <c r="K957" t="str">
        <f>IF($D957="","",IFERROR(INDEX(Mapping!$H$3:$H$32,MATCH($B957,Mapping!$G$3:$G$32,0)),IF(LEFT($F957,3)="P2P",IFERROR(INDEX(Mapping!$E$3:$E$6,MATCH($G957,Mapping!$D$3:$D$6,0)),IFERROR(INDEX(Mapping!$B$3:$B$13,MATCH($J957,Mapping!$A$3:$A$13,0)),"(unmapped)")),IFERROR(INDEX(Mapping!$B$17:$B$22,MATCH($F957,Mapping!$A$17:$A$22,0)),$F957)&amp;" "&amp;IF($G957="Banking","Banking",IFERROR(INDEX(Mapping!$E$17:$E$28,MATCH($J957,Mapping!$D$17:$D$28,0)),"(unmapped)")))))</f>
        <v/>
      </c>
    </row>
    <row r="958" spans="11:11" x14ac:dyDescent="0.3">
      <c r="K958" t="str">
        <f>IF($D958="","",IFERROR(INDEX(Mapping!$H$3:$H$32,MATCH($B958,Mapping!$G$3:$G$32,0)),IF(LEFT($F958,3)="P2P",IFERROR(INDEX(Mapping!$E$3:$E$6,MATCH($G958,Mapping!$D$3:$D$6,0)),IFERROR(INDEX(Mapping!$B$3:$B$13,MATCH($J958,Mapping!$A$3:$A$13,0)),"(unmapped)")),IFERROR(INDEX(Mapping!$B$17:$B$22,MATCH($F958,Mapping!$A$17:$A$22,0)),$F958)&amp;" "&amp;IF($G958="Banking","Banking",IFERROR(INDEX(Mapping!$E$17:$E$28,MATCH($J958,Mapping!$D$17:$D$28,0)),"(unmapped)")))))</f>
        <v/>
      </c>
    </row>
    <row r="959" spans="11:11" x14ac:dyDescent="0.3">
      <c r="K959" t="str">
        <f>IF($D959="","",IFERROR(INDEX(Mapping!$H$3:$H$32,MATCH($B959,Mapping!$G$3:$G$32,0)),IF(LEFT($F959,3)="P2P",IFERROR(INDEX(Mapping!$E$3:$E$6,MATCH($G959,Mapping!$D$3:$D$6,0)),IFERROR(INDEX(Mapping!$B$3:$B$13,MATCH($J959,Mapping!$A$3:$A$13,0)),"(unmapped)")),IFERROR(INDEX(Mapping!$B$17:$B$22,MATCH($F959,Mapping!$A$17:$A$22,0)),$F959)&amp;" "&amp;IF($G959="Banking","Banking",IFERROR(INDEX(Mapping!$E$17:$E$28,MATCH($J959,Mapping!$D$17:$D$28,0)),"(unmapped)")))))</f>
        <v/>
      </c>
    </row>
    <row r="960" spans="11:11" x14ac:dyDescent="0.3">
      <c r="K960" t="str">
        <f>IF($D960="","",IFERROR(INDEX(Mapping!$H$3:$H$32,MATCH($B960,Mapping!$G$3:$G$32,0)),IF(LEFT($F960,3)="P2P",IFERROR(INDEX(Mapping!$E$3:$E$6,MATCH($G960,Mapping!$D$3:$D$6,0)),IFERROR(INDEX(Mapping!$B$3:$B$13,MATCH($J960,Mapping!$A$3:$A$13,0)),"(unmapped)")),IFERROR(INDEX(Mapping!$B$17:$B$22,MATCH($F960,Mapping!$A$17:$A$22,0)),$F960)&amp;" "&amp;IF($G960="Banking","Banking",IFERROR(INDEX(Mapping!$E$17:$E$28,MATCH($J960,Mapping!$D$17:$D$28,0)),"(unmapped)")))))</f>
        <v/>
      </c>
    </row>
    <row r="961" spans="11:11" x14ac:dyDescent="0.3">
      <c r="K961" t="str">
        <f>IF($D961="","",IFERROR(INDEX(Mapping!$H$3:$H$32,MATCH($B961,Mapping!$G$3:$G$32,0)),IF(LEFT($F961,3)="P2P",IFERROR(INDEX(Mapping!$E$3:$E$6,MATCH($G961,Mapping!$D$3:$D$6,0)),IFERROR(INDEX(Mapping!$B$3:$B$13,MATCH($J961,Mapping!$A$3:$A$13,0)),"(unmapped)")),IFERROR(INDEX(Mapping!$B$17:$B$22,MATCH($F961,Mapping!$A$17:$A$22,0)),$F961)&amp;" "&amp;IF($G961="Banking","Banking",IFERROR(INDEX(Mapping!$E$17:$E$28,MATCH($J961,Mapping!$D$17:$D$28,0)),"(unmapped)")))))</f>
        <v/>
      </c>
    </row>
    <row r="962" spans="11:11" x14ac:dyDescent="0.3">
      <c r="K962" t="str">
        <f>IF($D962="","",IFERROR(INDEX(Mapping!$H$3:$H$32,MATCH($B962,Mapping!$G$3:$G$32,0)),IF(LEFT($F962,3)="P2P",IFERROR(INDEX(Mapping!$E$3:$E$6,MATCH($G962,Mapping!$D$3:$D$6,0)),IFERROR(INDEX(Mapping!$B$3:$B$13,MATCH($J962,Mapping!$A$3:$A$13,0)),"(unmapped)")),IFERROR(INDEX(Mapping!$B$17:$B$22,MATCH($F962,Mapping!$A$17:$A$22,0)),$F962)&amp;" "&amp;IF($G962="Banking","Banking",IFERROR(INDEX(Mapping!$E$17:$E$28,MATCH($J962,Mapping!$D$17:$D$28,0)),"(unmapped)")))))</f>
        <v/>
      </c>
    </row>
    <row r="963" spans="11:11" x14ac:dyDescent="0.3">
      <c r="K963" t="str">
        <f>IF($D963="","",IFERROR(INDEX(Mapping!$H$3:$H$32,MATCH($B963,Mapping!$G$3:$G$32,0)),IF(LEFT($F963,3)="P2P",IFERROR(INDEX(Mapping!$E$3:$E$6,MATCH($G963,Mapping!$D$3:$D$6,0)),IFERROR(INDEX(Mapping!$B$3:$B$13,MATCH($J963,Mapping!$A$3:$A$13,0)),"(unmapped)")),IFERROR(INDEX(Mapping!$B$17:$B$22,MATCH($F963,Mapping!$A$17:$A$22,0)),$F963)&amp;" "&amp;IF($G963="Banking","Banking",IFERROR(INDEX(Mapping!$E$17:$E$28,MATCH($J963,Mapping!$D$17:$D$28,0)),"(unmapped)")))))</f>
        <v/>
      </c>
    </row>
    <row r="964" spans="11:11" x14ac:dyDescent="0.3">
      <c r="K964" t="str">
        <f>IF($D964="","",IFERROR(INDEX(Mapping!$H$3:$H$32,MATCH($B964,Mapping!$G$3:$G$32,0)),IF(LEFT($F964,3)="P2P",IFERROR(INDEX(Mapping!$E$3:$E$6,MATCH($G964,Mapping!$D$3:$D$6,0)),IFERROR(INDEX(Mapping!$B$3:$B$13,MATCH($J964,Mapping!$A$3:$A$13,0)),"(unmapped)")),IFERROR(INDEX(Mapping!$B$17:$B$22,MATCH($F964,Mapping!$A$17:$A$22,0)),$F964)&amp;" "&amp;IF($G964="Banking","Banking",IFERROR(INDEX(Mapping!$E$17:$E$28,MATCH($J964,Mapping!$D$17:$D$28,0)),"(unmapped)")))))</f>
        <v/>
      </c>
    </row>
    <row r="965" spans="11:11" x14ac:dyDescent="0.3">
      <c r="K965" t="str">
        <f>IF($D965="","",IFERROR(INDEX(Mapping!$H$3:$H$32,MATCH($B965,Mapping!$G$3:$G$32,0)),IF(LEFT($F965,3)="P2P",IFERROR(INDEX(Mapping!$E$3:$E$6,MATCH($G965,Mapping!$D$3:$D$6,0)),IFERROR(INDEX(Mapping!$B$3:$B$13,MATCH($J965,Mapping!$A$3:$A$13,0)),"(unmapped)")),IFERROR(INDEX(Mapping!$B$17:$B$22,MATCH($F965,Mapping!$A$17:$A$22,0)),$F965)&amp;" "&amp;IF($G965="Banking","Banking",IFERROR(INDEX(Mapping!$E$17:$E$28,MATCH($J965,Mapping!$D$17:$D$28,0)),"(unmapped)")))))</f>
        <v/>
      </c>
    </row>
    <row r="966" spans="11:11" x14ac:dyDescent="0.3">
      <c r="K966" t="str">
        <f>IF($D966="","",IFERROR(INDEX(Mapping!$H$3:$H$32,MATCH($B966,Mapping!$G$3:$G$32,0)),IF(LEFT($F966,3)="P2P",IFERROR(INDEX(Mapping!$E$3:$E$6,MATCH($G966,Mapping!$D$3:$D$6,0)),IFERROR(INDEX(Mapping!$B$3:$B$13,MATCH($J966,Mapping!$A$3:$A$13,0)),"(unmapped)")),IFERROR(INDEX(Mapping!$B$17:$B$22,MATCH($F966,Mapping!$A$17:$A$22,0)),$F966)&amp;" "&amp;IF($G966="Banking","Banking",IFERROR(INDEX(Mapping!$E$17:$E$28,MATCH($J966,Mapping!$D$17:$D$28,0)),"(unmapped)")))))</f>
        <v/>
      </c>
    </row>
    <row r="967" spans="11:11" x14ac:dyDescent="0.3">
      <c r="K967" t="str">
        <f>IF($D967="","",IFERROR(INDEX(Mapping!$H$3:$H$32,MATCH($B967,Mapping!$G$3:$G$32,0)),IF(LEFT($F967,3)="P2P",IFERROR(INDEX(Mapping!$E$3:$E$6,MATCH($G967,Mapping!$D$3:$D$6,0)),IFERROR(INDEX(Mapping!$B$3:$B$13,MATCH($J967,Mapping!$A$3:$A$13,0)),"(unmapped)")),IFERROR(INDEX(Mapping!$B$17:$B$22,MATCH($F967,Mapping!$A$17:$A$22,0)),$F967)&amp;" "&amp;IF($G967="Banking","Banking",IFERROR(INDEX(Mapping!$E$17:$E$28,MATCH($J967,Mapping!$D$17:$D$28,0)),"(unmapped)")))))</f>
        <v/>
      </c>
    </row>
    <row r="968" spans="11:11" x14ac:dyDescent="0.3">
      <c r="K968" t="str">
        <f>IF($D968="","",IFERROR(INDEX(Mapping!$H$3:$H$32,MATCH($B968,Mapping!$G$3:$G$32,0)),IF(LEFT($F968,3)="P2P",IFERROR(INDEX(Mapping!$E$3:$E$6,MATCH($G968,Mapping!$D$3:$D$6,0)),IFERROR(INDEX(Mapping!$B$3:$B$13,MATCH($J968,Mapping!$A$3:$A$13,0)),"(unmapped)")),IFERROR(INDEX(Mapping!$B$17:$B$22,MATCH($F968,Mapping!$A$17:$A$22,0)),$F968)&amp;" "&amp;IF($G968="Banking","Banking",IFERROR(INDEX(Mapping!$E$17:$E$28,MATCH($J968,Mapping!$D$17:$D$28,0)),"(unmapped)")))))</f>
        <v/>
      </c>
    </row>
    <row r="969" spans="11:11" x14ac:dyDescent="0.3">
      <c r="K969" t="str">
        <f>IF($D969="","",IFERROR(INDEX(Mapping!$H$3:$H$32,MATCH($B969,Mapping!$G$3:$G$32,0)),IF(LEFT($F969,3)="P2P",IFERROR(INDEX(Mapping!$E$3:$E$6,MATCH($G969,Mapping!$D$3:$D$6,0)),IFERROR(INDEX(Mapping!$B$3:$B$13,MATCH($J969,Mapping!$A$3:$A$13,0)),"(unmapped)")),IFERROR(INDEX(Mapping!$B$17:$B$22,MATCH($F969,Mapping!$A$17:$A$22,0)),$F969)&amp;" "&amp;IF($G969="Banking","Banking",IFERROR(INDEX(Mapping!$E$17:$E$28,MATCH($J969,Mapping!$D$17:$D$28,0)),"(unmapped)")))))</f>
        <v/>
      </c>
    </row>
    <row r="970" spans="11:11" x14ac:dyDescent="0.3">
      <c r="K970" t="str">
        <f>IF($D970="","",IFERROR(INDEX(Mapping!$H$3:$H$32,MATCH($B970,Mapping!$G$3:$G$32,0)),IF(LEFT($F970,3)="P2P",IFERROR(INDEX(Mapping!$E$3:$E$6,MATCH($G970,Mapping!$D$3:$D$6,0)),IFERROR(INDEX(Mapping!$B$3:$B$13,MATCH($J970,Mapping!$A$3:$A$13,0)),"(unmapped)")),IFERROR(INDEX(Mapping!$B$17:$B$22,MATCH($F970,Mapping!$A$17:$A$22,0)),$F970)&amp;" "&amp;IF($G970="Banking","Banking",IFERROR(INDEX(Mapping!$E$17:$E$28,MATCH($J970,Mapping!$D$17:$D$28,0)),"(unmapped)")))))</f>
        <v/>
      </c>
    </row>
    <row r="971" spans="11:11" x14ac:dyDescent="0.3">
      <c r="K971" t="str">
        <f>IF($D971="","",IFERROR(INDEX(Mapping!$H$3:$H$32,MATCH($B971,Mapping!$G$3:$G$32,0)),IF(LEFT($F971,3)="P2P",IFERROR(INDEX(Mapping!$E$3:$E$6,MATCH($G971,Mapping!$D$3:$D$6,0)),IFERROR(INDEX(Mapping!$B$3:$B$13,MATCH($J971,Mapping!$A$3:$A$13,0)),"(unmapped)")),IFERROR(INDEX(Mapping!$B$17:$B$22,MATCH($F971,Mapping!$A$17:$A$22,0)),$F971)&amp;" "&amp;IF($G971="Banking","Banking",IFERROR(INDEX(Mapping!$E$17:$E$28,MATCH($J971,Mapping!$D$17:$D$28,0)),"(unmapped)")))))</f>
        <v/>
      </c>
    </row>
    <row r="972" spans="11:11" x14ac:dyDescent="0.3">
      <c r="K972" t="str">
        <f>IF($D972="","",IFERROR(INDEX(Mapping!$H$3:$H$32,MATCH($B972,Mapping!$G$3:$G$32,0)),IF(LEFT($F972,3)="P2P",IFERROR(INDEX(Mapping!$E$3:$E$6,MATCH($G972,Mapping!$D$3:$D$6,0)),IFERROR(INDEX(Mapping!$B$3:$B$13,MATCH($J972,Mapping!$A$3:$A$13,0)),"(unmapped)")),IFERROR(INDEX(Mapping!$B$17:$B$22,MATCH($F972,Mapping!$A$17:$A$22,0)),$F972)&amp;" "&amp;IF($G972="Banking","Banking",IFERROR(INDEX(Mapping!$E$17:$E$28,MATCH($J972,Mapping!$D$17:$D$28,0)),"(unmapped)")))))</f>
        <v/>
      </c>
    </row>
    <row r="973" spans="11:11" x14ac:dyDescent="0.3">
      <c r="K973" t="str">
        <f>IF($D973="","",IFERROR(INDEX(Mapping!$H$3:$H$32,MATCH($B973,Mapping!$G$3:$G$32,0)),IF(LEFT($F973,3)="P2P",IFERROR(INDEX(Mapping!$E$3:$E$6,MATCH($G973,Mapping!$D$3:$D$6,0)),IFERROR(INDEX(Mapping!$B$3:$B$13,MATCH($J973,Mapping!$A$3:$A$13,0)),"(unmapped)")),IFERROR(INDEX(Mapping!$B$17:$B$22,MATCH($F973,Mapping!$A$17:$A$22,0)),$F973)&amp;" "&amp;IF($G973="Banking","Banking",IFERROR(INDEX(Mapping!$E$17:$E$28,MATCH($J973,Mapping!$D$17:$D$28,0)),"(unmapped)")))))</f>
        <v/>
      </c>
    </row>
    <row r="974" spans="11:11" x14ac:dyDescent="0.3">
      <c r="K974" t="str">
        <f>IF($D974="","",IFERROR(INDEX(Mapping!$H$3:$H$32,MATCH($B974,Mapping!$G$3:$G$32,0)),IF(LEFT($F974,3)="P2P",IFERROR(INDEX(Mapping!$E$3:$E$6,MATCH($G974,Mapping!$D$3:$D$6,0)),IFERROR(INDEX(Mapping!$B$3:$B$13,MATCH($J974,Mapping!$A$3:$A$13,0)),"(unmapped)")),IFERROR(INDEX(Mapping!$B$17:$B$22,MATCH($F974,Mapping!$A$17:$A$22,0)),$F974)&amp;" "&amp;IF($G974="Banking","Banking",IFERROR(INDEX(Mapping!$E$17:$E$28,MATCH($J974,Mapping!$D$17:$D$28,0)),"(unmapped)")))))</f>
        <v/>
      </c>
    </row>
    <row r="975" spans="11:11" x14ac:dyDescent="0.3">
      <c r="K975" t="str">
        <f>IF($D975="","",IFERROR(INDEX(Mapping!$H$3:$H$32,MATCH($B975,Mapping!$G$3:$G$32,0)),IF(LEFT($F975,3)="P2P",IFERROR(INDEX(Mapping!$E$3:$E$6,MATCH($G975,Mapping!$D$3:$D$6,0)),IFERROR(INDEX(Mapping!$B$3:$B$13,MATCH($J975,Mapping!$A$3:$A$13,0)),"(unmapped)")),IFERROR(INDEX(Mapping!$B$17:$B$22,MATCH($F975,Mapping!$A$17:$A$22,0)),$F975)&amp;" "&amp;IF($G975="Banking","Banking",IFERROR(INDEX(Mapping!$E$17:$E$28,MATCH($J975,Mapping!$D$17:$D$28,0)),"(unmapped)")))))</f>
        <v/>
      </c>
    </row>
    <row r="976" spans="11:11" x14ac:dyDescent="0.3">
      <c r="K976" t="str">
        <f>IF($D976="","",IFERROR(INDEX(Mapping!$H$3:$H$32,MATCH($B976,Mapping!$G$3:$G$32,0)),IF(LEFT($F976,3)="P2P",IFERROR(INDEX(Mapping!$E$3:$E$6,MATCH($G976,Mapping!$D$3:$D$6,0)),IFERROR(INDEX(Mapping!$B$3:$B$13,MATCH($J976,Mapping!$A$3:$A$13,0)),"(unmapped)")),IFERROR(INDEX(Mapping!$B$17:$B$22,MATCH($F976,Mapping!$A$17:$A$22,0)),$F976)&amp;" "&amp;IF($G976="Banking","Banking",IFERROR(INDEX(Mapping!$E$17:$E$28,MATCH($J976,Mapping!$D$17:$D$28,0)),"(unmapped)")))))</f>
        <v/>
      </c>
    </row>
    <row r="977" spans="11:11" x14ac:dyDescent="0.3">
      <c r="K977" t="str">
        <f>IF($D977="","",IFERROR(INDEX(Mapping!$H$3:$H$32,MATCH($B977,Mapping!$G$3:$G$32,0)),IF(LEFT($F977,3)="P2P",IFERROR(INDEX(Mapping!$E$3:$E$6,MATCH($G977,Mapping!$D$3:$D$6,0)),IFERROR(INDEX(Mapping!$B$3:$B$13,MATCH($J977,Mapping!$A$3:$A$13,0)),"(unmapped)")),IFERROR(INDEX(Mapping!$B$17:$B$22,MATCH($F977,Mapping!$A$17:$A$22,0)),$F977)&amp;" "&amp;IF($G977="Banking","Banking",IFERROR(INDEX(Mapping!$E$17:$E$28,MATCH($J977,Mapping!$D$17:$D$28,0)),"(unmapped)")))))</f>
        <v/>
      </c>
    </row>
    <row r="978" spans="11:11" x14ac:dyDescent="0.3">
      <c r="K978" t="str">
        <f>IF($D978="","",IFERROR(INDEX(Mapping!$H$3:$H$32,MATCH($B978,Mapping!$G$3:$G$32,0)),IF(LEFT($F978,3)="P2P",IFERROR(INDEX(Mapping!$E$3:$E$6,MATCH($G978,Mapping!$D$3:$D$6,0)),IFERROR(INDEX(Mapping!$B$3:$B$13,MATCH($J978,Mapping!$A$3:$A$13,0)),"(unmapped)")),IFERROR(INDEX(Mapping!$B$17:$B$22,MATCH($F978,Mapping!$A$17:$A$22,0)),$F978)&amp;" "&amp;IF($G978="Banking","Banking",IFERROR(INDEX(Mapping!$E$17:$E$28,MATCH($J978,Mapping!$D$17:$D$28,0)),"(unmapped)")))))</f>
        <v/>
      </c>
    </row>
    <row r="979" spans="11:11" x14ac:dyDescent="0.3">
      <c r="K979" t="str">
        <f>IF($D979="","",IFERROR(INDEX(Mapping!$H$3:$H$32,MATCH($B979,Mapping!$G$3:$G$32,0)),IF(LEFT($F979,3)="P2P",IFERROR(INDEX(Mapping!$E$3:$E$6,MATCH($G979,Mapping!$D$3:$D$6,0)),IFERROR(INDEX(Mapping!$B$3:$B$13,MATCH($J979,Mapping!$A$3:$A$13,0)),"(unmapped)")),IFERROR(INDEX(Mapping!$B$17:$B$22,MATCH($F979,Mapping!$A$17:$A$22,0)),$F979)&amp;" "&amp;IF($G979="Banking","Banking",IFERROR(INDEX(Mapping!$E$17:$E$28,MATCH($J979,Mapping!$D$17:$D$28,0)),"(unmapped)")))))</f>
        <v/>
      </c>
    </row>
    <row r="980" spans="11:11" x14ac:dyDescent="0.3">
      <c r="K980" t="str">
        <f>IF($D980="","",IFERROR(INDEX(Mapping!$H$3:$H$32,MATCH($B980,Mapping!$G$3:$G$32,0)),IF(LEFT($F980,3)="P2P",IFERROR(INDEX(Mapping!$E$3:$E$6,MATCH($G980,Mapping!$D$3:$D$6,0)),IFERROR(INDEX(Mapping!$B$3:$B$13,MATCH($J980,Mapping!$A$3:$A$13,0)),"(unmapped)")),IFERROR(INDEX(Mapping!$B$17:$B$22,MATCH($F980,Mapping!$A$17:$A$22,0)),$F980)&amp;" "&amp;IF($G980="Banking","Banking",IFERROR(INDEX(Mapping!$E$17:$E$28,MATCH($J980,Mapping!$D$17:$D$28,0)),"(unmapped)")))))</f>
        <v/>
      </c>
    </row>
    <row r="981" spans="11:11" x14ac:dyDescent="0.3">
      <c r="K981" t="str">
        <f>IF($D981="","",IFERROR(INDEX(Mapping!$H$3:$H$32,MATCH($B981,Mapping!$G$3:$G$32,0)),IF(LEFT($F981,3)="P2P",IFERROR(INDEX(Mapping!$E$3:$E$6,MATCH($G981,Mapping!$D$3:$D$6,0)),IFERROR(INDEX(Mapping!$B$3:$B$13,MATCH($J981,Mapping!$A$3:$A$13,0)),"(unmapped)")),IFERROR(INDEX(Mapping!$B$17:$B$22,MATCH($F981,Mapping!$A$17:$A$22,0)),$F981)&amp;" "&amp;IF($G981="Banking","Banking",IFERROR(INDEX(Mapping!$E$17:$E$28,MATCH($J981,Mapping!$D$17:$D$28,0)),"(unmapped)")))))</f>
        <v/>
      </c>
    </row>
    <row r="982" spans="11:11" x14ac:dyDescent="0.3">
      <c r="K982" t="str">
        <f>IF($D982="","",IFERROR(INDEX(Mapping!$H$3:$H$32,MATCH($B982,Mapping!$G$3:$G$32,0)),IF(LEFT($F982,3)="P2P",IFERROR(INDEX(Mapping!$E$3:$E$6,MATCH($G982,Mapping!$D$3:$D$6,0)),IFERROR(INDEX(Mapping!$B$3:$B$13,MATCH($J982,Mapping!$A$3:$A$13,0)),"(unmapped)")),IFERROR(INDEX(Mapping!$B$17:$B$22,MATCH($F982,Mapping!$A$17:$A$22,0)),$F982)&amp;" "&amp;IF($G982="Banking","Banking",IFERROR(INDEX(Mapping!$E$17:$E$28,MATCH($J982,Mapping!$D$17:$D$28,0)),"(unmapped)")))))</f>
        <v/>
      </c>
    </row>
    <row r="983" spans="11:11" x14ac:dyDescent="0.3">
      <c r="K983" t="str">
        <f>IF($D983="","",IFERROR(INDEX(Mapping!$H$3:$H$32,MATCH($B983,Mapping!$G$3:$G$32,0)),IF(LEFT($F983,3)="P2P",IFERROR(INDEX(Mapping!$E$3:$E$6,MATCH($G983,Mapping!$D$3:$D$6,0)),IFERROR(INDEX(Mapping!$B$3:$B$13,MATCH($J983,Mapping!$A$3:$A$13,0)),"(unmapped)")),IFERROR(INDEX(Mapping!$B$17:$B$22,MATCH($F983,Mapping!$A$17:$A$22,0)),$F983)&amp;" "&amp;IF($G983="Banking","Banking",IFERROR(INDEX(Mapping!$E$17:$E$28,MATCH($J983,Mapping!$D$17:$D$28,0)),"(unmapped)")))))</f>
        <v/>
      </c>
    </row>
    <row r="984" spans="11:11" x14ac:dyDescent="0.3">
      <c r="K984" t="str">
        <f>IF($D984="","",IFERROR(INDEX(Mapping!$H$3:$H$32,MATCH($B984,Mapping!$G$3:$G$32,0)),IF(LEFT($F984,3)="P2P",IFERROR(INDEX(Mapping!$E$3:$E$6,MATCH($G984,Mapping!$D$3:$D$6,0)),IFERROR(INDEX(Mapping!$B$3:$B$13,MATCH($J984,Mapping!$A$3:$A$13,0)),"(unmapped)")),IFERROR(INDEX(Mapping!$B$17:$B$22,MATCH($F984,Mapping!$A$17:$A$22,0)),$F984)&amp;" "&amp;IF($G984="Banking","Banking",IFERROR(INDEX(Mapping!$E$17:$E$28,MATCH($J984,Mapping!$D$17:$D$28,0)),"(unmapped)")))))</f>
        <v/>
      </c>
    </row>
    <row r="985" spans="11:11" x14ac:dyDescent="0.3">
      <c r="K985" t="str">
        <f>IF($D985="","",IFERROR(INDEX(Mapping!$H$3:$H$32,MATCH($B985,Mapping!$G$3:$G$32,0)),IF(LEFT($F985,3)="P2P",IFERROR(INDEX(Mapping!$E$3:$E$6,MATCH($G985,Mapping!$D$3:$D$6,0)),IFERROR(INDEX(Mapping!$B$3:$B$13,MATCH($J985,Mapping!$A$3:$A$13,0)),"(unmapped)")),IFERROR(INDEX(Mapping!$B$17:$B$22,MATCH($F985,Mapping!$A$17:$A$22,0)),$F985)&amp;" "&amp;IF($G985="Banking","Banking",IFERROR(INDEX(Mapping!$E$17:$E$28,MATCH($J985,Mapping!$D$17:$D$28,0)),"(unmapped)")))))</f>
        <v/>
      </c>
    </row>
    <row r="986" spans="11:11" x14ac:dyDescent="0.3">
      <c r="K986" t="str">
        <f>IF($D986="","",IFERROR(INDEX(Mapping!$H$3:$H$32,MATCH($B986,Mapping!$G$3:$G$32,0)),IF(LEFT($F986,3)="P2P",IFERROR(INDEX(Mapping!$E$3:$E$6,MATCH($G986,Mapping!$D$3:$D$6,0)),IFERROR(INDEX(Mapping!$B$3:$B$13,MATCH($J986,Mapping!$A$3:$A$13,0)),"(unmapped)")),IFERROR(INDEX(Mapping!$B$17:$B$22,MATCH($F986,Mapping!$A$17:$A$22,0)),$F986)&amp;" "&amp;IF($G986="Banking","Banking",IFERROR(INDEX(Mapping!$E$17:$E$28,MATCH($J986,Mapping!$D$17:$D$28,0)),"(unmapped)")))))</f>
        <v/>
      </c>
    </row>
    <row r="987" spans="11:11" x14ac:dyDescent="0.3">
      <c r="K987" t="str">
        <f>IF($D987="","",IFERROR(INDEX(Mapping!$H$3:$H$32,MATCH($B987,Mapping!$G$3:$G$32,0)),IF(LEFT($F987,3)="P2P",IFERROR(INDEX(Mapping!$E$3:$E$6,MATCH($G987,Mapping!$D$3:$D$6,0)),IFERROR(INDEX(Mapping!$B$3:$B$13,MATCH($J987,Mapping!$A$3:$A$13,0)),"(unmapped)")),IFERROR(INDEX(Mapping!$B$17:$B$22,MATCH($F987,Mapping!$A$17:$A$22,0)),$F987)&amp;" "&amp;IF($G987="Banking","Banking",IFERROR(INDEX(Mapping!$E$17:$E$28,MATCH($J987,Mapping!$D$17:$D$28,0)),"(unmapped)")))))</f>
        <v/>
      </c>
    </row>
    <row r="988" spans="11:11" x14ac:dyDescent="0.3">
      <c r="K988" t="str">
        <f>IF($D988="","",IFERROR(INDEX(Mapping!$H$3:$H$32,MATCH($B988,Mapping!$G$3:$G$32,0)),IF(LEFT($F988,3)="P2P",IFERROR(INDEX(Mapping!$E$3:$E$6,MATCH($G988,Mapping!$D$3:$D$6,0)),IFERROR(INDEX(Mapping!$B$3:$B$13,MATCH($J988,Mapping!$A$3:$A$13,0)),"(unmapped)")),IFERROR(INDEX(Mapping!$B$17:$B$22,MATCH($F988,Mapping!$A$17:$A$22,0)),$F988)&amp;" "&amp;IF($G988="Banking","Banking",IFERROR(INDEX(Mapping!$E$17:$E$28,MATCH($J988,Mapping!$D$17:$D$28,0)),"(unmapped)")))))</f>
        <v/>
      </c>
    </row>
    <row r="989" spans="11:11" x14ac:dyDescent="0.3">
      <c r="K989" t="str">
        <f>IF($D989="","",IFERROR(INDEX(Mapping!$H$3:$H$32,MATCH($B989,Mapping!$G$3:$G$32,0)),IF(LEFT($F989,3)="P2P",IFERROR(INDEX(Mapping!$E$3:$E$6,MATCH($G989,Mapping!$D$3:$D$6,0)),IFERROR(INDEX(Mapping!$B$3:$B$13,MATCH($J989,Mapping!$A$3:$A$13,0)),"(unmapped)")),IFERROR(INDEX(Mapping!$B$17:$B$22,MATCH($F989,Mapping!$A$17:$A$22,0)),$F989)&amp;" "&amp;IF($G989="Banking","Banking",IFERROR(INDEX(Mapping!$E$17:$E$28,MATCH($J989,Mapping!$D$17:$D$28,0)),"(unmapped)")))))</f>
        <v/>
      </c>
    </row>
    <row r="990" spans="11:11" x14ac:dyDescent="0.3">
      <c r="K990" t="str">
        <f>IF($D990="","",IFERROR(INDEX(Mapping!$H$3:$H$32,MATCH($B990,Mapping!$G$3:$G$32,0)),IF(LEFT($F990,3)="P2P",IFERROR(INDEX(Mapping!$E$3:$E$6,MATCH($G990,Mapping!$D$3:$D$6,0)),IFERROR(INDEX(Mapping!$B$3:$B$13,MATCH($J990,Mapping!$A$3:$A$13,0)),"(unmapped)")),IFERROR(INDEX(Mapping!$B$17:$B$22,MATCH($F990,Mapping!$A$17:$A$22,0)),$F990)&amp;" "&amp;IF($G990="Banking","Banking",IFERROR(INDEX(Mapping!$E$17:$E$28,MATCH($J990,Mapping!$D$17:$D$28,0)),"(unmapped)")))))</f>
        <v/>
      </c>
    </row>
    <row r="991" spans="11:11" x14ac:dyDescent="0.3">
      <c r="K991" t="str">
        <f>IF($D991="","",IFERROR(INDEX(Mapping!$H$3:$H$32,MATCH($B991,Mapping!$G$3:$G$32,0)),IF(LEFT($F991,3)="P2P",IFERROR(INDEX(Mapping!$E$3:$E$6,MATCH($G991,Mapping!$D$3:$D$6,0)),IFERROR(INDEX(Mapping!$B$3:$B$13,MATCH($J991,Mapping!$A$3:$A$13,0)),"(unmapped)")),IFERROR(INDEX(Mapping!$B$17:$B$22,MATCH($F991,Mapping!$A$17:$A$22,0)),$F991)&amp;" "&amp;IF($G991="Banking","Banking",IFERROR(INDEX(Mapping!$E$17:$E$28,MATCH($J991,Mapping!$D$17:$D$28,0)),"(unmapped)")))))</f>
        <v/>
      </c>
    </row>
    <row r="992" spans="11:11" x14ac:dyDescent="0.3">
      <c r="K992" t="str">
        <f>IF($D992="","",IFERROR(INDEX(Mapping!$H$3:$H$32,MATCH($B992,Mapping!$G$3:$G$32,0)),IF(LEFT($F992,3)="P2P",IFERROR(INDEX(Mapping!$E$3:$E$6,MATCH($G992,Mapping!$D$3:$D$6,0)),IFERROR(INDEX(Mapping!$B$3:$B$13,MATCH($J992,Mapping!$A$3:$A$13,0)),"(unmapped)")),IFERROR(INDEX(Mapping!$B$17:$B$22,MATCH($F992,Mapping!$A$17:$A$22,0)),$F992)&amp;" "&amp;IF($G992="Banking","Banking",IFERROR(INDEX(Mapping!$E$17:$E$28,MATCH($J992,Mapping!$D$17:$D$28,0)),"(unmapped)")))))</f>
        <v/>
      </c>
    </row>
    <row r="993" spans="11:11" x14ac:dyDescent="0.3">
      <c r="K993" t="str">
        <f>IF($D993="","",IFERROR(INDEX(Mapping!$H$3:$H$32,MATCH($B993,Mapping!$G$3:$G$32,0)),IF(LEFT($F993,3)="P2P",IFERROR(INDEX(Mapping!$E$3:$E$6,MATCH($G993,Mapping!$D$3:$D$6,0)),IFERROR(INDEX(Mapping!$B$3:$B$13,MATCH($J993,Mapping!$A$3:$A$13,0)),"(unmapped)")),IFERROR(INDEX(Mapping!$B$17:$B$22,MATCH($F993,Mapping!$A$17:$A$22,0)),$F993)&amp;" "&amp;IF($G993="Banking","Banking",IFERROR(INDEX(Mapping!$E$17:$E$28,MATCH($J993,Mapping!$D$17:$D$28,0)),"(unmapped)")))))</f>
        <v/>
      </c>
    </row>
    <row r="994" spans="11:11" x14ac:dyDescent="0.3">
      <c r="K994" t="str">
        <f>IF($D994="","",IFERROR(INDEX(Mapping!$H$3:$H$32,MATCH($B994,Mapping!$G$3:$G$32,0)),IF(LEFT($F994,3)="P2P",IFERROR(INDEX(Mapping!$E$3:$E$6,MATCH($G994,Mapping!$D$3:$D$6,0)),IFERROR(INDEX(Mapping!$B$3:$B$13,MATCH($J994,Mapping!$A$3:$A$13,0)),"(unmapped)")),IFERROR(INDEX(Mapping!$B$17:$B$22,MATCH($F994,Mapping!$A$17:$A$22,0)),$F994)&amp;" "&amp;IF($G994="Banking","Banking",IFERROR(INDEX(Mapping!$E$17:$E$28,MATCH($J994,Mapping!$D$17:$D$28,0)),"(unmapped)")))))</f>
        <v/>
      </c>
    </row>
    <row r="995" spans="11:11" x14ac:dyDescent="0.3">
      <c r="K995" t="str">
        <f>IF($D995="","",IFERROR(INDEX(Mapping!$H$3:$H$32,MATCH($B995,Mapping!$G$3:$G$32,0)),IF(LEFT($F995,3)="P2P",IFERROR(INDEX(Mapping!$E$3:$E$6,MATCH($G995,Mapping!$D$3:$D$6,0)),IFERROR(INDEX(Mapping!$B$3:$B$13,MATCH($J995,Mapping!$A$3:$A$13,0)),"(unmapped)")),IFERROR(INDEX(Mapping!$B$17:$B$22,MATCH($F995,Mapping!$A$17:$A$22,0)),$F995)&amp;" "&amp;IF($G995="Banking","Banking",IFERROR(INDEX(Mapping!$E$17:$E$28,MATCH($J995,Mapping!$D$17:$D$28,0)),"(unmapped)")))))</f>
        <v/>
      </c>
    </row>
    <row r="996" spans="11:11" x14ac:dyDescent="0.3">
      <c r="K996" t="str">
        <f>IF($D996="","",IFERROR(INDEX(Mapping!$H$3:$H$32,MATCH($B996,Mapping!$G$3:$G$32,0)),IF(LEFT($F996,3)="P2P",IFERROR(INDEX(Mapping!$E$3:$E$6,MATCH($G996,Mapping!$D$3:$D$6,0)),IFERROR(INDEX(Mapping!$B$3:$B$13,MATCH($J996,Mapping!$A$3:$A$13,0)),"(unmapped)")),IFERROR(INDEX(Mapping!$B$17:$B$22,MATCH($F996,Mapping!$A$17:$A$22,0)),$F996)&amp;" "&amp;IF($G996="Banking","Banking",IFERROR(INDEX(Mapping!$E$17:$E$28,MATCH($J996,Mapping!$D$17:$D$28,0)),"(unmapped)")))))</f>
        <v/>
      </c>
    </row>
    <row r="997" spans="11:11" x14ac:dyDescent="0.3">
      <c r="K997" t="str">
        <f>IF($D997="","",IFERROR(INDEX(Mapping!$H$3:$H$32,MATCH($B997,Mapping!$G$3:$G$32,0)),IF(LEFT($F997,3)="P2P",IFERROR(INDEX(Mapping!$E$3:$E$6,MATCH($G997,Mapping!$D$3:$D$6,0)),IFERROR(INDEX(Mapping!$B$3:$B$13,MATCH($J997,Mapping!$A$3:$A$13,0)),"(unmapped)")),IFERROR(INDEX(Mapping!$B$17:$B$22,MATCH($F997,Mapping!$A$17:$A$22,0)),$F997)&amp;" "&amp;IF($G997="Banking","Banking",IFERROR(INDEX(Mapping!$E$17:$E$28,MATCH($J997,Mapping!$D$17:$D$28,0)),"(unmapped)")))))</f>
        <v/>
      </c>
    </row>
    <row r="998" spans="11:11" x14ac:dyDescent="0.3">
      <c r="K998" t="str">
        <f>IF($D998="","",IFERROR(INDEX(Mapping!$H$3:$H$32,MATCH($B998,Mapping!$G$3:$G$32,0)),IF(LEFT($F998,3)="P2P",IFERROR(INDEX(Mapping!$E$3:$E$6,MATCH($G998,Mapping!$D$3:$D$6,0)),IFERROR(INDEX(Mapping!$B$3:$B$13,MATCH($J998,Mapping!$A$3:$A$13,0)),"(unmapped)")),IFERROR(INDEX(Mapping!$B$17:$B$22,MATCH($F998,Mapping!$A$17:$A$22,0)),$F998)&amp;" "&amp;IF($G998="Banking","Banking",IFERROR(INDEX(Mapping!$E$17:$E$28,MATCH($J998,Mapping!$D$17:$D$28,0)),"(unmapped)")))))</f>
        <v/>
      </c>
    </row>
    <row r="999" spans="11:11" x14ac:dyDescent="0.3">
      <c r="K999" t="str">
        <f>IF($D999="","",IFERROR(INDEX(Mapping!$H$3:$H$32,MATCH($B999,Mapping!$G$3:$G$32,0)),IF(LEFT($F999,3)="P2P",IFERROR(INDEX(Mapping!$E$3:$E$6,MATCH($G999,Mapping!$D$3:$D$6,0)),IFERROR(INDEX(Mapping!$B$3:$B$13,MATCH($J999,Mapping!$A$3:$A$13,0)),"(unmapped)")),IFERROR(INDEX(Mapping!$B$17:$B$22,MATCH($F999,Mapping!$A$17:$A$22,0)),$F999)&amp;" "&amp;IF($G999="Banking","Banking",IFERROR(INDEX(Mapping!$E$17:$E$28,MATCH($J999,Mapping!$D$17:$D$28,0)),"(unmapped)")))))</f>
        <v/>
      </c>
    </row>
    <row r="1000" spans="11:11" x14ac:dyDescent="0.3">
      <c r="K1000" t="str">
        <f>IF($D1000="","",IFERROR(INDEX(Mapping!$H$3:$H$32,MATCH($B1000,Mapping!$G$3:$G$32,0)),IF(LEFT($F1000,3)="P2P",IFERROR(INDEX(Mapping!$E$3:$E$6,MATCH($G1000,Mapping!$D$3:$D$6,0)),IFERROR(INDEX(Mapping!$B$3:$B$13,MATCH($J1000,Mapping!$A$3:$A$13,0)),"(unmapped)")),IFERROR(INDEX(Mapping!$B$17:$B$22,MATCH($F1000,Mapping!$A$17:$A$22,0)),$F1000)&amp;" "&amp;IF($G1000="Banking","Banking",IFERROR(INDEX(Mapping!$E$17:$E$28,MATCH($J1000,Mapping!$D$17:$D$28,0)),"(unmapped)")))))</f>
        <v/>
      </c>
    </row>
    <row r="1001" spans="11:11" x14ac:dyDescent="0.3">
      <c r="K1001" t="str">
        <f>IF($D1001="","",IFERROR(INDEX(Mapping!$H$3:$H$32,MATCH($B1001,Mapping!$G$3:$G$32,0)),IF(LEFT($F1001,3)="P2P",IFERROR(INDEX(Mapping!$E$3:$E$6,MATCH($G1001,Mapping!$D$3:$D$6,0)),IFERROR(INDEX(Mapping!$B$3:$B$13,MATCH($J1001,Mapping!$A$3:$A$13,0)),"(unmapped)")),IFERROR(INDEX(Mapping!$B$17:$B$22,MATCH($F1001,Mapping!$A$17:$A$22,0)),$F1001)&amp;" "&amp;IF($G1001="Banking","Banking",IFERROR(INDEX(Mapping!$E$17:$E$28,MATCH($J1001,Mapping!$D$17:$D$28,0)),"(unmapped)")))))</f>
        <v/>
      </c>
    </row>
    <row r="1002" spans="11:11" x14ac:dyDescent="0.3">
      <c r="K1002" t="str">
        <f>IF($D1002="","",IFERROR(INDEX(Mapping!$H$3:$H$32,MATCH($B1002,Mapping!$G$3:$G$32,0)),IF(LEFT($F1002,3)="P2P",IFERROR(INDEX(Mapping!$E$3:$E$6,MATCH($G1002,Mapping!$D$3:$D$6,0)),IFERROR(INDEX(Mapping!$B$3:$B$13,MATCH($J1002,Mapping!$A$3:$A$13,0)),"(unmapped)")),IFERROR(INDEX(Mapping!$B$17:$B$22,MATCH($F1002,Mapping!$A$17:$A$22,0)),$F1002)&amp;" "&amp;IF($G1002="Banking","Banking",IFERROR(INDEX(Mapping!$E$17:$E$28,MATCH($J1002,Mapping!$D$17:$D$28,0)),"(unmapped)")))))</f>
        <v/>
      </c>
    </row>
    <row r="1003" spans="11:11" x14ac:dyDescent="0.3">
      <c r="K1003" t="str">
        <f>IF($D1003="","",IFERROR(INDEX(Mapping!$H$3:$H$32,MATCH($B1003,Mapping!$G$3:$G$32,0)),IF(LEFT($F1003,3)="P2P",IFERROR(INDEX(Mapping!$E$3:$E$6,MATCH($G1003,Mapping!$D$3:$D$6,0)),IFERROR(INDEX(Mapping!$B$3:$B$13,MATCH($J1003,Mapping!$A$3:$A$13,0)),"(unmapped)")),IFERROR(INDEX(Mapping!$B$17:$B$22,MATCH($F1003,Mapping!$A$17:$A$22,0)),$F1003)&amp;" "&amp;IF($G1003="Banking","Banking",IFERROR(INDEX(Mapping!$E$17:$E$28,MATCH($J1003,Mapping!$D$17:$D$28,0)),"(unmapped)")))))</f>
        <v/>
      </c>
    </row>
    <row r="1004" spans="11:11" x14ac:dyDescent="0.3">
      <c r="K1004" t="str">
        <f>IF($D1004="","",IFERROR(INDEX(Mapping!$H$3:$H$32,MATCH($B1004,Mapping!$G$3:$G$32,0)),IF(LEFT($F1004,3)="P2P",IFERROR(INDEX(Mapping!$E$3:$E$6,MATCH($G1004,Mapping!$D$3:$D$6,0)),IFERROR(INDEX(Mapping!$B$3:$B$13,MATCH($J1004,Mapping!$A$3:$A$13,0)),"(unmapped)")),IFERROR(INDEX(Mapping!$B$17:$B$22,MATCH($F1004,Mapping!$A$17:$A$22,0)),$F1004)&amp;" "&amp;IF($G1004="Banking","Banking",IFERROR(INDEX(Mapping!$E$17:$E$28,MATCH($J1004,Mapping!$D$17:$D$28,0)),"(unmapped)")))))</f>
        <v/>
      </c>
    </row>
    <row r="1005" spans="11:11" x14ac:dyDescent="0.3">
      <c r="K1005" t="str">
        <f>IF($D1005="","",IFERROR(INDEX(Mapping!$H$3:$H$32,MATCH($B1005,Mapping!$G$3:$G$32,0)),IF(LEFT($F1005,3)="P2P",IFERROR(INDEX(Mapping!$E$3:$E$6,MATCH($G1005,Mapping!$D$3:$D$6,0)),IFERROR(INDEX(Mapping!$B$3:$B$13,MATCH($J1005,Mapping!$A$3:$A$13,0)),"(unmapped)")),IFERROR(INDEX(Mapping!$B$17:$B$22,MATCH($F1005,Mapping!$A$17:$A$22,0)),$F1005)&amp;" "&amp;IF($G1005="Banking","Banking",IFERROR(INDEX(Mapping!$E$17:$E$28,MATCH($J1005,Mapping!$D$17:$D$28,0)),"(unmapped)")))))</f>
        <v/>
      </c>
    </row>
    <row r="1006" spans="11:11" x14ac:dyDescent="0.3">
      <c r="K1006" t="str">
        <f>IF($D1006="","",IFERROR(INDEX(Mapping!$H$3:$H$32,MATCH($B1006,Mapping!$G$3:$G$32,0)),IF(LEFT($F1006,3)="P2P",IFERROR(INDEX(Mapping!$E$3:$E$6,MATCH($G1006,Mapping!$D$3:$D$6,0)),IFERROR(INDEX(Mapping!$B$3:$B$13,MATCH($J1006,Mapping!$A$3:$A$13,0)),"(unmapped)")),IFERROR(INDEX(Mapping!$B$17:$B$22,MATCH($F1006,Mapping!$A$17:$A$22,0)),$F1006)&amp;" "&amp;IF($G1006="Banking","Banking",IFERROR(INDEX(Mapping!$E$17:$E$28,MATCH($J1006,Mapping!$D$17:$D$28,0)),"(unmapped)")))))</f>
        <v/>
      </c>
    </row>
    <row r="1007" spans="11:11" x14ac:dyDescent="0.3">
      <c r="K1007" t="str">
        <f>IF($D1007="","",IFERROR(INDEX(Mapping!$H$3:$H$32,MATCH($B1007,Mapping!$G$3:$G$32,0)),IF(LEFT($F1007,3)="P2P",IFERROR(INDEX(Mapping!$E$3:$E$6,MATCH($G1007,Mapping!$D$3:$D$6,0)),IFERROR(INDEX(Mapping!$B$3:$B$13,MATCH($J1007,Mapping!$A$3:$A$13,0)),"(unmapped)")),IFERROR(INDEX(Mapping!$B$17:$B$22,MATCH($F1007,Mapping!$A$17:$A$22,0)),$F1007)&amp;" "&amp;IF($G1007="Banking","Banking",IFERROR(INDEX(Mapping!$E$17:$E$28,MATCH($J1007,Mapping!$D$17:$D$28,0)),"(unmapped)")))))</f>
        <v/>
      </c>
    </row>
    <row r="1008" spans="11:11" x14ac:dyDescent="0.3">
      <c r="K1008" t="str">
        <f>IF($D1008="","",IFERROR(INDEX(Mapping!$H$3:$H$32,MATCH($B1008,Mapping!$G$3:$G$32,0)),IF(LEFT($F1008,3)="P2P",IFERROR(INDEX(Mapping!$E$3:$E$6,MATCH($G1008,Mapping!$D$3:$D$6,0)),IFERROR(INDEX(Mapping!$B$3:$B$13,MATCH($J1008,Mapping!$A$3:$A$13,0)),"(unmapped)")),IFERROR(INDEX(Mapping!$B$17:$B$22,MATCH($F1008,Mapping!$A$17:$A$22,0)),$F1008)&amp;" "&amp;IF($G1008="Banking","Banking",IFERROR(INDEX(Mapping!$E$17:$E$28,MATCH($J1008,Mapping!$D$17:$D$28,0)),"(unmapped)")))))</f>
        <v/>
      </c>
    </row>
    <row r="1009" spans="11:11" x14ac:dyDescent="0.3">
      <c r="K1009" t="str">
        <f>IF($D1009="","",IFERROR(INDEX(Mapping!$H$3:$H$32,MATCH($B1009,Mapping!$G$3:$G$32,0)),IF(LEFT($F1009,3)="P2P",IFERROR(INDEX(Mapping!$E$3:$E$6,MATCH($G1009,Mapping!$D$3:$D$6,0)),IFERROR(INDEX(Mapping!$B$3:$B$13,MATCH($J1009,Mapping!$A$3:$A$13,0)),"(unmapped)")),IFERROR(INDEX(Mapping!$B$17:$B$22,MATCH($F1009,Mapping!$A$17:$A$22,0)),$F1009)&amp;" "&amp;IF($G1009="Banking","Banking",IFERROR(INDEX(Mapping!$E$17:$E$28,MATCH($J1009,Mapping!$D$17:$D$28,0)),"(unmapped)")))))</f>
        <v/>
      </c>
    </row>
    <row r="1010" spans="11:11" x14ac:dyDescent="0.3">
      <c r="K1010" t="str">
        <f>IF($D1010="","",IFERROR(INDEX(Mapping!$H$3:$H$32,MATCH($B1010,Mapping!$G$3:$G$32,0)),IF(LEFT($F1010,3)="P2P",IFERROR(INDEX(Mapping!$E$3:$E$6,MATCH($G1010,Mapping!$D$3:$D$6,0)),IFERROR(INDEX(Mapping!$B$3:$B$13,MATCH($J1010,Mapping!$A$3:$A$13,0)),"(unmapped)")),IFERROR(INDEX(Mapping!$B$17:$B$22,MATCH($F1010,Mapping!$A$17:$A$22,0)),$F1010)&amp;" "&amp;IF($G1010="Banking","Banking",IFERROR(INDEX(Mapping!$E$17:$E$28,MATCH($J1010,Mapping!$D$17:$D$28,0)),"(unmapped)")))))</f>
        <v/>
      </c>
    </row>
    <row r="1011" spans="11:11" x14ac:dyDescent="0.3">
      <c r="K1011" t="str">
        <f>IF($D1011="","",IFERROR(INDEX(Mapping!$H$3:$H$32,MATCH($B1011,Mapping!$G$3:$G$32,0)),IF(LEFT($F1011,3)="P2P",IFERROR(INDEX(Mapping!$E$3:$E$6,MATCH($G1011,Mapping!$D$3:$D$6,0)),IFERROR(INDEX(Mapping!$B$3:$B$13,MATCH($J1011,Mapping!$A$3:$A$13,0)),"(unmapped)")),IFERROR(INDEX(Mapping!$B$17:$B$22,MATCH($F1011,Mapping!$A$17:$A$22,0)),$F1011)&amp;" "&amp;IF($G1011="Banking","Banking",IFERROR(INDEX(Mapping!$E$17:$E$28,MATCH($J1011,Mapping!$D$17:$D$28,0)),"(unmapped)")))))</f>
        <v/>
      </c>
    </row>
    <row r="1012" spans="11:11" x14ac:dyDescent="0.3">
      <c r="K1012" t="str">
        <f>IF($D1012="","",IFERROR(INDEX(Mapping!$H$3:$H$32,MATCH($B1012,Mapping!$G$3:$G$32,0)),IF(LEFT($F1012,3)="P2P",IFERROR(INDEX(Mapping!$E$3:$E$6,MATCH($G1012,Mapping!$D$3:$D$6,0)),IFERROR(INDEX(Mapping!$B$3:$B$13,MATCH($J1012,Mapping!$A$3:$A$13,0)),"(unmapped)")),IFERROR(INDEX(Mapping!$B$17:$B$22,MATCH($F1012,Mapping!$A$17:$A$22,0)),$F1012)&amp;" "&amp;IF($G1012="Banking","Banking",IFERROR(INDEX(Mapping!$E$17:$E$28,MATCH($J1012,Mapping!$D$17:$D$28,0)),"(unmapped)")))))</f>
        <v/>
      </c>
    </row>
    <row r="1013" spans="11:11" x14ac:dyDescent="0.3">
      <c r="K1013" t="str">
        <f>IF($D1013="","",IFERROR(INDEX(Mapping!$H$3:$H$32,MATCH($B1013,Mapping!$G$3:$G$32,0)),IF(LEFT($F1013,3)="P2P",IFERROR(INDEX(Mapping!$E$3:$E$6,MATCH($G1013,Mapping!$D$3:$D$6,0)),IFERROR(INDEX(Mapping!$B$3:$B$13,MATCH($J1013,Mapping!$A$3:$A$13,0)),"(unmapped)")),IFERROR(INDEX(Mapping!$B$17:$B$22,MATCH($F1013,Mapping!$A$17:$A$22,0)),$F1013)&amp;" "&amp;IF($G1013="Banking","Banking",IFERROR(INDEX(Mapping!$E$17:$E$28,MATCH($J1013,Mapping!$D$17:$D$28,0)),"(unmapped)")))))</f>
        <v/>
      </c>
    </row>
    <row r="1014" spans="11:11" x14ac:dyDescent="0.3">
      <c r="K1014" t="str">
        <f>IF($D1014="","",IFERROR(INDEX(Mapping!$H$3:$H$32,MATCH($B1014,Mapping!$G$3:$G$32,0)),IF(LEFT($F1014,3)="P2P",IFERROR(INDEX(Mapping!$E$3:$E$6,MATCH($G1014,Mapping!$D$3:$D$6,0)),IFERROR(INDEX(Mapping!$B$3:$B$13,MATCH($J1014,Mapping!$A$3:$A$13,0)),"(unmapped)")),IFERROR(INDEX(Mapping!$B$17:$B$22,MATCH($F1014,Mapping!$A$17:$A$22,0)),$F1014)&amp;" "&amp;IF($G1014="Banking","Banking",IFERROR(INDEX(Mapping!$E$17:$E$28,MATCH($J1014,Mapping!$D$17:$D$28,0)),"(unmapped)")))))</f>
        <v/>
      </c>
    </row>
    <row r="1015" spans="11:11" x14ac:dyDescent="0.3">
      <c r="K1015" t="str">
        <f>IF($D1015="","",IFERROR(INDEX(Mapping!$H$3:$H$32,MATCH($B1015,Mapping!$G$3:$G$32,0)),IF(LEFT($F1015,3)="P2P",IFERROR(INDEX(Mapping!$E$3:$E$6,MATCH($G1015,Mapping!$D$3:$D$6,0)),IFERROR(INDEX(Mapping!$B$3:$B$13,MATCH($J1015,Mapping!$A$3:$A$13,0)),"(unmapped)")),IFERROR(INDEX(Mapping!$B$17:$B$22,MATCH($F1015,Mapping!$A$17:$A$22,0)),$F1015)&amp;" "&amp;IF($G1015="Banking","Banking",IFERROR(INDEX(Mapping!$E$17:$E$28,MATCH($J1015,Mapping!$D$17:$D$28,0)),"(unmapped)")))))</f>
        <v/>
      </c>
    </row>
    <row r="1016" spans="11:11" x14ac:dyDescent="0.3">
      <c r="K1016" t="str">
        <f>IF($D1016="","",IFERROR(INDEX(Mapping!$H$3:$H$32,MATCH($B1016,Mapping!$G$3:$G$32,0)),IF(LEFT($F1016,3)="P2P",IFERROR(INDEX(Mapping!$E$3:$E$6,MATCH($G1016,Mapping!$D$3:$D$6,0)),IFERROR(INDEX(Mapping!$B$3:$B$13,MATCH($J1016,Mapping!$A$3:$A$13,0)),"(unmapped)")),IFERROR(INDEX(Mapping!$B$17:$B$22,MATCH($F1016,Mapping!$A$17:$A$22,0)),$F1016)&amp;" "&amp;IF($G1016="Banking","Banking",IFERROR(INDEX(Mapping!$E$17:$E$28,MATCH($J1016,Mapping!$D$17:$D$28,0)),"(unmapped)")))))</f>
        <v/>
      </c>
    </row>
    <row r="1017" spans="11:11" x14ac:dyDescent="0.3">
      <c r="K1017" t="str">
        <f>IF($D1017="","",IFERROR(INDEX(Mapping!$H$3:$H$32,MATCH($B1017,Mapping!$G$3:$G$32,0)),IF(LEFT($F1017,3)="P2P",IFERROR(INDEX(Mapping!$E$3:$E$6,MATCH($G1017,Mapping!$D$3:$D$6,0)),IFERROR(INDEX(Mapping!$B$3:$B$13,MATCH($J1017,Mapping!$A$3:$A$13,0)),"(unmapped)")),IFERROR(INDEX(Mapping!$B$17:$B$22,MATCH($F1017,Mapping!$A$17:$A$22,0)),$F1017)&amp;" "&amp;IF($G1017="Banking","Banking",IFERROR(INDEX(Mapping!$E$17:$E$28,MATCH($J1017,Mapping!$D$17:$D$28,0)),"(unmapped)")))))</f>
        <v/>
      </c>
    </row>
    <row r="1018" spans="11:11" x14ac:dyDescent="0.3">
      <c r="K1018" t="str">
        <f>IF($D1018="","",IFERROR(INDEX(Mapping!$H$3:$H$32,MATCH($B1018,Mapping!$G$3:$G$32,0)),IF(LEFT($F1018,3)="P2P",IFERROR(INDEX(Mapping!$E$3:$E$6,MATCH($G1018,Mapping!$D$3:$D$6,0)),IFERROR(INDEX(Mapping!$B$3:$B$13,MATCH($J1018,Mapping!$A$3:$A$13,0)),"(unmapped)")),IFERROR(INDEX(Mapping!$B$17:$B$22,MATCH($F1018,Mapping!$A$17:$A$22,0)),$F1018)&amp;" "&amp;IF($G1018="Banking","Banking",IFERROR(INDEX(Mapping!$E$17:$E$28,MATCH($J1018,Mapping!$D$17:$D$28,0)),"(unmapped)")))))</f>
        <v/>
      </c>
    </row>
    <row r="1019" spans="11:11" x14ac:dyDescent="0.3">
      <c r="K1019" t="str">
        <f>IF($D1019="","",IFERROR(INDEX(Mapping!$H$3:$H$32,MATCH($B1019,Mapping!$G$3:$G$32,0)),IF(LEFT($F1019,3)="P2P",IFERROR(INDEX(Mapping!$E$3:$E$6,MATCH($G1019,Mapping!$D$3:$D$6,0)),IFERROR(INDEX(Mapping!$B$3:$B$13,MATCH($J1019,Mapping!$A$3:$A$13,0)),"(unmapped)")),IFERROR(INDEX(Mapping!$B$17:$B$22,MATCH($F1019,Mapping!$A$17:$A$22,0)),$F1019)&amp;" "&amp;IF($G1019="Banking","Banking",IFERROR(INDEX(Mapping!$E$17:$E$28,MATCH($J1019,Mapping!$D$17:$D$28,0)),"(unmapped)")))))</f>
        <v/>
      </c>
    </row>
    <row r="1020" spans="11:11" x14ac:dyDescent="0.3">
      <c r="K1020" t="str">
        <f>IF($D1020="","",IFERROR(INDEX(Mapping!$H$3:$H$32,MATCH($B1020,Mapping!$G$3:$G$32,0)),IF(LEFT($F1020,3)="P2P",IFERROR(INDEX(Mapping!$E$3:$E$6,MATCH($G1020,Mapping!$D$3:$D$6,0)),IFERROR(INDEX(Mapping!$B$3:$B$13,MATCH($J1020,Mapping!$A$3:$A$13,0)),"(unmapped)")),IFERROR(INDEX(Mapping!$B$17:$B$22,MATCH($F1020,Mapping!$A$17:$A$22,0)),$F1020)&amp;" "&amp;IF($G1020="Banking","Banking",IFERROR(INDEX(Mapping!$E$17:$E$28,MATCH($J1020,Mapping!$D$17:$D$28,0)),"(unmapped)")))))</f>
        <v/>
      </c>
    </row>
    <row r="1021" spans="11:11" x14ac:dyDescent="0.3">
      <c r="K1021" t="str">
        <f>IF($D1021="","",IFERROR(INDEX(Mapping!$H$3:$H$32,MATCH($B1021,Mapping!$G$3:$G$32,0)),IF(LEFT($F1021,3)="P2P",IFERROR(INDEX(Mapping!$E$3:$E$6,MATCH($G1021,Mapping!$D$3:$D$6,0)),IFERROR(INDEX(Mapping!$B$3:$B$13,MATCH($J1021,Mapping!$A$3:$A$13,0)),"(unmapped)")),IFERROR(INDEX(Mapping!$B$17:$B$22,MATCH($F1021,Mapping!$A$17:$A$22,0)),$F1021)&amp;" "&amp;IF($G1021="Banking","Banking",IFERROR(INDEX(Mapping!$E$17:$E$28,MATCH($J1021,Mapping!$D$17:$D$28,0)),"(unmapped)")))))</f>
        <v/>
      </c>
    </row>
    <row r="1022" spans="11:11" x14ac:dyDescent="0.3">
      <c r="K1022" t="str">
        <f>IF($D1022="","",IFERROR(INDEX(Mapping!$H$3:$H$32,MATCH($B1022,Mapping!$G$3:$G$32,0)),IF(LEFT($F1022,3)="P2P",IFERROR(INDEX(Mapping!$E$3:$E$6,MATCH($G1022,Mapping!$D$3:$D$6,0)),IFERROR(INDEX(Mapping!$B$3:$B$13,MATCH($J1022,Mapping!$A$3:$A$13,0)),"(unmapped)")),IFERROR(INDEX(Mapping!$B$17:$B$22,MATCH($F1022,Mapping!$A$17:$A$22,0)),$F1022)&amp;" "&amp;IF($G1022="Banking","Banking",IFERROR(INDEX(Mapping!$E$17:$E$28,MATCH($J1022,Mapping!$D$17:$D$28,0)),"(unmapped)")))))</f>
        <v/>
      </c>
    </row>
    <row r="1023" spans="11:11" x14ac:dyDescent="0.3">
      <c r="K1023" t="str">
        <f>IF($D1023="","",IFERROR(INDEX(Mapping!$H$3:$H$32,MATCH($B1023,Mapping!$G$3:$G$32,0)),IF(LEFT($F1023,3)="P2P",IFERROR(INDEX(Mapping!$E$3:$E$6,MATCH($G1023,Mapping!$D$3:$D$6,0)),IFERROR(INDEX(Mapping!$B$3:$B$13,MATCH($J1023,Mapping!$A$3:$A$13,0)),"(unmapped)")),IFERROR(INDEX(Mapping!$B$17:$B$22,MATCH($F1023,Mapping!$A$17:$A$22,0)),$F1023)&amp;" "&amp;IF($G1023="Banking","Banking",IFERROR(INDEX(Mapping!$E$17:$E$28,MATCH($J1023,Mapping!$D$17:$D$28,0)),"(unmapped)")))))</f>
        <v/>
      </c>
    </row>
    <row r="1024" spans="11:11" x14ac:dyDescent="0.3">
      <c r="K1024" t="str">
        <f>IF($D1024="","",IFERROR(INDEX(Mapping!$H$3:$H$32,MATCH($B1024,Mapping!$G$3:$G$32,0)),IF(LEFT($F1024,3)="P2P",IFERROR(INDEX(Mapping!$E$3:$E$6,MATCH($G1024,Mapping!$D$3:$D$6,0)),IFERROR(INDEX(Mapping!$B$3:$B$13,MATCH($J1024,Mapping!$A$3:$A$13,0)),"(unmapped)")),IFERROR(INDEX(Mapping!$B$17:$B$22,MATCH($F1024,Mapping!$A$17:$A$22,0)),$F1024)&amp;" "&amp;IF($G1024="Banking","Banking",IFERROR(INDEX(Mapping!$E$17:$E$28,MATCH($J1024,Mapping!$D$17:$D$28,0)),"(unmapped)")))))</f>
        <v/>
      </c>
    </row>
    <row r="1025" spans="11:11" x14ac:dyDescent="0.3">
      <c r="K1025" t="str">
        <f>IF($D1025="","",IFERROR(INDEX(Mapping!$H$3:$H$32,MATCH($B1025,Mapping!$G$3:$G$32,0)),IF(LEFT($F1025,3)="P2P",IFERROR(INDEX(Mapping!$E$3:$E$6,MATCH($G1025,Mapping!$D$3:$D$6,0)),IFERROR(INDEX(Mapping!$B$3:$B$13,MATCH($J1025,Mapping!$A$3:$A$13,0)),"(unmapped)")),IFERROR(INDEX(Mapping!$B$17:$B$22,MATCH($F1025,Mapping!$A$17:$A$22,0)),$F1025)&amp;" "&amp;IF($G1025="Banking","Banking",IFERROR(INDEX(Mapping!$E$17:$E$28,MATCH($J1025,Mapping!$D$17:$D$28,0)),"(unmapped)")))))</f>
        <v/>
      </c>
    </row>
    <row r="1026" spans="11:11" x14ac:dyDescent="0.3">
      <c r="K1026" t="str">
        <f>IF($D1026="","",IFERROR(INDEX(Mapping!$H$3:$H$32,MATCH($B1026,Mapping!$G$3:$G$32,0)),IF(LEFT($F1026,3)="P2P",IFERROR(INDEX(Mapping!$E$3:$E$6,MATCH($G1026,Mapping!$D$3:$D$6,0)),IFERROR(INDEX(Mapping!$B$3:$B$13,MATCH($J1026,Mapping!$A$3:$A$13,0)),"(unmapped)")),IFERROR(INDEX(Mapping!$B$17:$B$22,MATCH($F1026,Mapping!$A$17:$A$22,0)),$F1026)&amp;" "&amp;IF($G1026="Banking","Banking",IFERROR(INDEX(Mapping!$E$17:$E$28,MATCH($J1026,Mapping!$D$17:$D$28,0)),"(unmapped)")))))</f>
        <v/>
      </c>
    </row>
    <row r="1027" spans="11:11" x14ac:dyDescent="0.3">
      <c r="K1027" t="str">
        <f>IF($D1027="","",IFERROR(INDEX(Mapping!$H$3:$H$32,MATCH($B1027,Mapping!$G$3:$G$32,0)),IF(LEFT($F1027,3)="P2P",IFERROR(INDEX(Mapping!$E$3:$E$6,MATCH($G1027,Mapping!$D$3:$D$6,0)),IFERROR(INDEX(Mapping!$B$3:$B$13,MATCH($J1027,Mapping!$A$3:$A$13,0)),"(unmapped)")),IFERROR(INDEX(Mapping!$B$17:$B$22,MATCH($F1027,Mapping!$A$17:$A$22,0)),$F1027)&amp;" "&amp;IF($G1027="Banking","Banking",IFERROR(INDEX(Mapping!$E$17:$E$28,MATCH($J1027,Mapping!$D$17:$D$28,0)),"(unmapped)")))))</f>
        <v/>
      </c>
    </row>
    <row r="1028" spans="11:11" x14ac:dyDescent="0.3">
      <c r="K1028" t="str">
        <f>IF($D1028="","",IFERROR(INDEX(Mapping!$H$3:$H$32,MATCH($B1028,Mapping!$G$3:$G$32,0)),IF(LEFT($F1028,3)="P2P",IFERROR(INDEX(Mapping!$E$3:$E$6,MATCH($G1028,Mapping!$D$3:$D$6,0)),IFERROR(INDEX(Mapping!$B$3:$B$13,MATCH($J1028,Mapping!$A$3:$A$13,0)),"(unmapped)")),IFERROR(INDEX(Mapping!$B$17:$B$22,MATCH($F1028,Mapping!$A$17:$A$22,0)),$F1028)&amp;" "&amp;IF($G1028="Banking","Banking",IFERROR(INDEX(Mapping!$E$17:$E$28,MATCH($J1028,Mapping!$D$17:$D$28,0)),"(unmapped)")))))</f>
        <v/>
      </c>
    </row>
    <row r="1029" spans="11:11" x14ac:dyDescent="0.3">
      <c r="K1029" t="str">
        <f>IF($D1029="","",IFERROR(INDEX(Mapping!$H$3:$H$32,MATCH($B1029,Mapping!$G$3:$G$32,0)),IF(LEFT($F1029,3)="P2P",IFERROR(INDEX(Mapping!$E$3:$E$6,MATCH($G1029,Mapping!$D$3:$D$6,0)),IFERROR(INDEX(Mapping!$B$3:$B$13,MATCH($J1029,Mapping!$A$3:$A$13,0)),"(unmapped)")),IFERROR(INDEX(Mapping!$B$17:$B$22,MATCH($F1029,Mapping!$A$17:$A$22,0)),$F1029)&amp;" "&amp;IF($G1029="Banking","Banking",IFERROR(INDEX(Mapping!$E$17:$E$28,MATCH($J1029,Mapping!$D$17:$D$28,0)),"(unmapped)")))))</f>
        <v/>
      </c>
    </row>
    <row r="1030" spans="11:11" x14ac:dyDescent="0.3">
      <c r="K1030" t="str">
        <f>IF($D1030="","",IFERROR(INDEX(Mapping!$H$3:$H$32,MATCH($B1030,Mapping!$G$3:$G$32,0)),IF(LEFT($F1030,3)="P2P",IFERROR(INDEX(Mapping!$E$3:$E$6,MATCH($G1030,Mapping!$D$3:$D$6,0)),IFERROR(INDEX(Mapping!$B$3:$B$13,MATCH($J1030,Mapping!$A$3:$A$13,0)),"(unmapped)")),IFERROR(INDEX(Mapping!$B$17:$B$22,MATCH($F1030,Mapping!$A$17:$A$22,0)),$F1030)&amp;" "&amp;IF($G1030="Banking","Banking",IFERROR(INDEX(Mapping!$E$17:$E$28,MATCH($J1030,Mapping!$D$17:$D$28,0)),"(unmapped)")))))</f>
        <v/>
      </c>
    </row>
    <row r="1031" spans="11:11" x14ac:dyDescent="0.3">
      <c r="K1031" t="str">
        <f>IF($D1031="","",IFERROR(INDEX(Mapping!$H$3:$H$32,MATCH($B1031,Mapping!$G$3:$G$32,0)),IF(LEFT($F1031,3)="P2P",IFERROR(INDEX(Mapping!$E$3:$E$6,MATCH($G1031,Mapping!$D$3:$D$6,0)),IFERROR(INDEX(Mapping!$B$3:$B$13,MATCH($J1031,Mapping!$A$3:$A$13,0)),"(unmapped)")),IFERROR(INDEX(Mapping!$B$17:$B$22,MATCH($F1031,Mapping!$A$17:$A$22,0)),$F1031)&amp;" "&amp;IF($G1031="Banking","Banking",IFERROR(INDEX(Mapping!$E$17:$E$28,MATCH($J1031,Mapping!$D$17:$D$28,0)),"(unmapped)")))))</f>
        <v/>
      </c>
    </row>
    <row r="1032" spans="11:11" x14ac:dyDescent="0.3">
      <c r="K1032" t="str">
        <f>IF($D1032="","",IFERROR(INDEX(Mapping!$H$3:$H$32,MATCH($B1032,Mapping!$G$3:$G$32,0)),IF(LEFT($F1032,3)="P2P",IFERROR(INDEX(Mapping!$E$3:$E$6,MATCH($G1032,Mapping!$D$3:$D$6,0)),IFERROR(INDEX(Mapping!$B$3:$B$13,MATCH($J1032,Mapping!$A$3:$A$13,0)),"(unmapped)")),IFERROR(INDEX(Mapping!$B$17:$B$22,MATCH($F1032,Mapping!$A$17:$A$22,0)),$F1032)&amp;" "&amp;IF($G1032="Banking","Banking",IFERROR(INDEX(Mapping!$E$17:$E$28,MATCH($J1032,Mapping!$D$17:$D$28,0)),"(unmapped)")))))</f>
        <v/>
      </c>
    </row>
    <row r="1033" spans="11:11" x14ac:dyDescent="0.3">
      <c r="K1033" t="str">
        <f>IF($D1033="","",IFERROR(INDEX(Mapping!$H$3:$H$32,MATCH($B1033,Mapping!$G$3:$G$32,0)),IF(LEFT($F1033,3)="P2P",IFERROR(INDEX(Mapping!$E$3:$E$6,MATCH($G1033,Mapping!$D$3:$D$6,0)),IFERROR(INDEX(Mapping!$B$3:$B$13,MATCH($J1033,Mapping!$A$3:$A$13,0)),"(unmapped)")),IFERROR(INDEX(Mapping!$B$17:$B$22,MATCH($F1033,Mapping!$A$17:$A$22,0)),$F1033)&amp;" "&amp;IF($G1033="Banking","Banking",IFERROR(INDEX(Mapping!$E$17:$E$28,MATCH($J1033,Mapping!$D$17:$D$28,0)),"(unmapped)")))))</f>
        <v/>
      </c>
    </row>
    <row r="1034" spans="11:11" x14ac:dyDescent="0.3">
      <c r="K1034" t="str">
        <f>IF($D1034="","",IFERROR(INDEX(Mapping!$H$3:$H$32,MATCH($B1034,Mapping!$G$3:$G$32,0)),IF(LEFT($F1034,3)="P2P",IFERROR(INDEX(Mapping!$E$3:$E$6,MATCH($G1034,Mapping!$D$3:$D$6,0)),IFERROR(INDEX(Mapping!$B$3:$B$13,MATCH($J1034,Mapping!$A$3:$A$13,0)),"(unmapped)")),IFERROR(INDEX(Mapping!$B$17:$B$22,MATCH($F1034,Mapping!$A$17:$A$22,0)),$F1034)&amp;" "&amp;IF($G1034="Banking","Banking",IFERROR(INDEX(Mapping!$E$17:$E$28,MATCH($J1034,Mapping!$D$17:$D$28,0)),"(unmapped)")))))</f>
        <v/>
      </c>
    </row>
    <row r="1035" spans="11:11" x14ac:dyDescent="0.3">
      <c r="K1035" t="str">
        <f>IF($D1035="","",IFERROR(INDEX(Mapping!$H$3:$H$32,MATCH($B1035,Mapping!$G$3:$G$32,0)),IF(LEFT($F1035,3)="P2P",IFERROR(INDEX(Mapping!$E$3:$E$6,MATCH($G1035,Mapping!$D$3:$D$6,0)),IFERROR(INDEX(Mapping!$B$3:$B$13,MATCH($J1035,Mapping!$A$3:$A$13,0)),"(unmapped)")),IFERROR(INDEX(Mapping!$B$17:$B$22,MATCH($F1035,Mapping!$A$17:$A$22,0)),$F1035)&amp;" "&amp;IF($G1035="Banking","Banking",IFERROR(INDEX(Mapping!$E$17:$E$28,MATCH($J1035,Mapping!$D$17:$D$28,0)),"(unmapped)")))))</f>
        <v/>
      </c>
    </row>
    <row r="1036" spans="11:11" x14ac:dyDescent="0.3">
      <c r="K1036" t="str">
        <f>IF($D1036="","",IFERROR(INDEX(Mapping!$H$3:$H$32,MATCH($B1036,Mapping!$G$3:$G$32,0)),IF(LEFT($F1036,3)="P2P",IFERROR(INDEX(Mapping!$E$3:$E$6,MATCH($G1036,Mapping!$D$3:$D$6,0)),IFERROR(INDEX(Mapping!$B$3:$B$13,MATCH($J1036,Mapping!$A$3:$A$13,0)),"(unmapped)")),IFERROR(INDEX(Mapping!$B$17:$B$22,MATCH($F1036,Mapping!$A$17:$A$22,0)),$F1036)&amp;" "&amp;IF($G1036="Banking","Banking",IFERROR(INDEX(Mapping!$E$17:$E$28,MATCH($J1036,Mapping!$D$17:$D$28,0)),"(unmapped)")))))</f>
        <v/>
      </c>
    </row>
    <row r="1037" spans="11:11" x14ac:dyDescent="0.3">
      <c r="K1037" t="str">
        <f>IF($D1037="","",IFERROR(INDEX(Mapping!$H$3:$H$32,MATCH($B1037,Mapping!$G$3:$G$32,0)),IF(LEFT($F1037,3)="P2P",IFERROR(INDEX(Mapping!$E$3:$E$6,MATCH($G1037,Mapping!$D$3:$D$6,0)),IFERROR(INDEX(Mapping!$B$3:$B$13,MATCH($J1037,Mapping!$A$3:$A$13,0)),"(unmapped)")),IFERROR(INDEX(Mapping!$B$17:$B$22,MATCH($F1037,Mapping!$A$17:$A$22,0)),$F1037)&amp;" "&amp;IF($G1037="Banking","Banking",IFERROR(INDEX(Mapping!$E$17:$E$28,MATCH($J1037,Mapping!$D$17:$D$28,0)),"(unmapped)")))))</f>
        <v/>
      </c>
    </row>
    <row r="1038" spans="11:11" x14ac:dyDescent="0.3">
      <c r="K1038" t="str">
        <f>IF($D1038="","",IFERROR(INDEX(Mapping!$H$3:$H$32,MATCH($B1038,Mapping!$G$3:$G$32,0)),IF(LEFT($F1038,3)="P2P",IFERROR(INDEX(Mapping!$E$3:$E$6,MATCH($G1038,Mapping!$D$3:$D$6,0)),IFERROR(INDEX(Mapping!$B$3:$B$13,MATCH($J1038,Mapping!$A$3:$A$13,0)),"(unmapped)")),IFERROR(INDEX(Mapping!$B$17:$B$22,MATCH($F1038,Mapping!$A$17:$A$22,0)),$F1038)&amp;" "&amp;IF($G1038="Banking","Banking",IFERROR(INDEX(Mapping!$E$17:$E$28,MATCH($J1038,Mapping!$D$17:$D$28,0)),"(unmapped)")))))</f>
        <v/>
      </c>
    </row>
    <row r="1039" spans="11:11" x14ac:dyDescent="0.3">
      <c r="K1039" t="str">
        <f>IF($D1039="","",IFERROR(INDEX(Mapping!$H$3:$H$32,MATCH($B1039,Mapping!$G$3:$G$32,0)),IF(LEFT($F1039,3)="P2P",IFERROR(INDEX(Mapping!$E$3:$E$6,MATCH($G1039,Mapping!$D$3:$D$6,0)),IFERROR(INDEX(Mapping!$B$3:$B$13,MATCH($J1039,Mapping!$A$3:$A$13,0)),"(unmapped)")),IFERROR(INDEX(Mapping!$B$17:$B$22,MATCH($F1039,Mapping!$A$17:$A$22,0)),$F1039)&amp;" "&amp;IF($G1039="Banking","Banking",IFERROR(INDEX(Mapping!$E$17:$E$28,MATCH($J1039,Mapping!$D$17:$D$28,0)),"(unmapped)")))))</f>
        <v/>
      </c>
    </row>
    <row r="1040" spans="11:11" x14ac:dyDescent="0.3">
      <c r="K1040" t="str">
        <f>IF($D1040="","",IFERROR(INDEX(Mapping!$H$3:$H$32,MATCH($B1040,Mapping!$G$3:$G$32,0)),IF(LEFT($F1040,3)="P2P",IFERROR(INDEX(Mapping!$E$3:$E$6,MATCH($G1040,Mapping!$D$3:$D$6,0)),IFERROR(INDEX(Mapping!$B$3:$B$13,MATCH($J1040,Mapping!$A$3:$A$13,0)),"(unmapped)")),IFERROR(INDEX(Mapping!$B$17:$B$22,MATCH($F1040,Mapping!$A$17:$A$22,0)),$F1040)&amp;" "&amp;IF($G1040="Banking","Banking",IFERROR(INDEX(Mapping!$E$17:$E$28,MATCH($J1040,Mapping!$D$17:$D$28,0)),"(unmapped)")))))</f>
        <v/>
      </c>
    </row>
    <row r="1041" spans="11:11" x14ac:dyDescent="0.3">
      <c r="K1041" t="str">
        <f>IF($D1041="","",IFERROR(INDEX(Mapping!$H$3:$H$32,MATCH($B1041,Mapping!$G$3:$G$32,0)),IF(LEFT($F1041,3)="P2P",IFERROR(INDEX(Mapping!$E$3:$E$6,MATCH($G1041,Mapping!$D$3:$D$6,0)),IFERROR(INDEX(Mapping!$B$3:$B$13,MATCH($J1041,Mapping!$A$3:$A$13,0)),"(unmapped)")),IFERROR(INDEX(Mapping!$B$17:$B$22,MATCH($F1041,Mapping!$A$17:$A$22,0)),$F1041)&amp;" "&amp;IF($G1041="Banking","Banking",IFERROR(INDEX(Mapping!$E$17:$E$28,MATCH($J1041,Mapping!$D$17:$D$28,0)),"(unmapped)")))))</f>
        <v/>
      </c>
    </row>
    <row r="1042" spans="11:11" x14ac:dyDescent="0.3">
      <c r="K1042" t="str">
        <f>IF($D1042="","",IFERROR(INDEX(Mapping!$H$3:$H$32,MATCH($B1042,Mapping!$G$3:$G$32,0)),IF(LEFT($F1042,3)="P2P",IFERROR(INDEX(Mapping!$E$3:$E$6,MATCH($G1042,Mapping!$D$3:$D$6,0)),IFERROR(INDEX(Mapping!$B$3:$B$13,MATCH($J1042,Mapping!$A$3:$A$13,0)),"(unmapped)")),IFERROR(INDEX(Mapping!$B$17:$B$22,MATCH($F1042,Mapping!$A$17:$A$22,0)),$F1042)&amp;" "&amp;IF($G1042="Banking","Banking",IFERROR(INDEX(Mapping!$E$17:$E$28,MATCH($J1042,Mapping!$D$17:$D$28,0)),"(unmapped)")))))</f>
        <v/>
      </c>
    </row>
    <row r="1043" spans="11:11" x14ac:dyDescent="0.3">
      <c r="K1043" t="str">
        <f>IF($D1043="","",IFERROR(INDEX(Mapping!$H$3:$H$32,MATCH($B1043,Mapping!$G$3:$G$32,0)),IF(LEFT($F1043,3)="P2P",IFERROR(INDEX(Mapping!$E$3:$E$6,MATCH($G1043,Mapping!$D$3:$D$6,0)),IFERROR(INDEX(Mapping!$B$3:$B$13,MATCH($J1043,Mapping!$A$3:$A$13,0)),"(unmapped)")),IFERROR(INDEX(Mapping!$B$17:$B$22,MATCH($F1043,Mapping!$A$17:$A$22,0)),$F1043)&amp;" "&amp;IF($G1043="Banking","Banking",IFERROR(INDEX(Mapping!$E$17:$E$28,MATCH($J1043,Mapping!$D$17:$D$28,0)),"(unmapped)")))))</f>
        <v/>
      </c>
    </row>
    <row r="1044" spans="11:11" x14ac:dyDescent="0.3">
      <c r="K1044" t="str">
        <f>IF($D1044="","",IFERROR(INDEX(Mapping!$H$3:$H$32,MATCH($B1044,Mapping!$G$3:$G$32,0)),IF(LEFT($F1044,3)="P2P",IFERROR(INDEX(Mapping!$E$3:$E$6,MATCH($G1044,Mapping!$D$3:$D$6,0)),IFERROR(INDEX(Mapping!$B$3:$B$13,MATCH($J1044,Mapping!$A$3:$A$13,0)),"(unmapped)")),IFERROR(INDEX(Mapping!$B$17:$B$22,MATCH($F1044,Mapping!$A$17:$A$22,0)),$F1044)&amp;" "&amp;IF($G1044="Banking","Banking",IFERROR(INDEX(Mapping!$E$17:$E$28,MATCH($J1044,Mapping!$D$17:$D$28,0)),"(unmapped)")))))</f>
        <v/>
      </c>
    </row>
    <row r="1045" spans="11:11" x14ac:dyDescent="0.3">
      <c r="K1045" t="str">
        <f>IF($D1045="","",IFERROR(INDEX(Mapping!$H$3:$H$32,MATCH($B1045,Mapping!$G$3:$G$32,0)),IF(LEFT($F1045,3)="P2P",IFERROR(INDEX(Mapping!$E$3:$E$6,MATCH($G1045,Mapping!$D$3:$D$6,0)),IFERROR(INDEX(Mapping!$B$3:$B$13,MATCH($J1045,Mapping!$A$3:$A$13,0)),"(unmapped)")),IFERROR(INDEX(Mapping!$B$17:$B$22,MATCH($F1045,Mapping!$A$17:$A$22,0)),$F1045)&amp;" "&amp;IF($G1045="Banking","Banking",IFERROR(INDEX(Mapping!$E$17:$E$28,MATCH($J1045,Mapping!$D$17:$D$28,0)),"(unmapped)")))))</f>
        <v/>
      </c>
    </row>
    <row r="1046" spans="11:11" x14ac:dyDescent="0.3">
      <c r="K1046" t="str">
        <f>IF($D1046="","",IFERROR(INDEX(Mapping!$H$3:$H$32,MATCH($B1046,Mapping!$G$3:$G$32,0)),IF(LEFT($F1046,3)="P2P",IFERROR(INDEX(Mapping!$E$3:$E$6,MATCH($G1046,Mapping!$D$3:$D$6,0)),IFERROR(INDEX(Mapping!$B$3:$B$13,MATCH($J1046,Mapping!$A$3:$A$13,0)),"(unmapped)")),IFERROR(INDEX(Mapping!$B$17:$B$22,MATCH($F1046,Mapping!$A$17:$A$22,0)),$F1046)&amp;" "&amp;IF($G1046="Banking","Banking",IFERROR(INDEX(Mapping!$E$17:$E$28,MATCH($J1046,Mapping!$D$17:$D$28,0)),"(unmapped)")))))</f>
        <v/>
      </c>
    </row>
    <row r="1047" spans="11:11" x14ac:dyDescent="0.3">
      <c r="K1047" t="str">
        <f>IF($D1047="","",IFERROR(INDEX(Mapping!$H$3:$H$32,MATCH($B1047,Mapping!$G$3:$G$32,0)),IF(LEFT($F1047,3)="P2P",IFERROR(INDEX(Mapping!$E$3:$E$6,MATCH($G1047,Mapping!$D$3:$D$6,0)),IFERROR(INDEX(Mapping!$B$3:$B$13,MATCH($J1047,Mapping!$A$3:$A$13,0)),"(unmapped)")),IFERROR(INDEX(Mapping!$B$17:$B$22,MATCH($F1047,Mapping!$A$17:$A$22,0)),$F1047)&amp;" "&amp;IF($G1047="Banking","Banking",IFERROR(INDEX(Mapping!$E$17:$E$28,MATCH($J1047,Mapping!$D$17:$D$28,0)),"(unmapped)")))))</f>
        <v/>
      </c>
    </row>
    <row r="1048" spans="11:11" x14ac:dyDescent="0.3">
      <c r="K1048" t="str">
        <f>IF($D1048="","",IFERROR(INDEX(Mapping!$H$3:$H$32,MATCH($B1048,Mapping!$G$3:$G$32,0)),IF(LEFT($F1048,3)="P2P",IFERROR(INDEX(Mapping!$E$3:$E$6,MATCH($G1048,Mapping!$D$3:$D$6,0)),IFERROR(INDEX(Mapping!$B$3:$B$13,MATCH($J1048,Mapping!$A$3:$A$13,0)),"(unmapped)")),IFERROR(INDEX(Mapping!$B$17:$B$22,MATCH($F1048,Mapping!$A$17:$A$22,0)),$F1048)&amp;" "&amp;IF($G1048="Banking","Banking",IFERROR(INDEX(Mapping!$E$17:$E$28,MATCH($J1048,Mapping!$D$17:$D$28,0)),"(unmapped)")))))</f>
        <v/>
      </c>
    </row>
    <row r="1049" spans="11:11" x14ac:dyDescent="0.3">
      <c r="K1049" t="str">
        <f>IF($D1049="","",IFERROR(INDEX(Mapping!$H$3:$H$32,MATCH($B1049,Mapping!$G$3:$G$32,0)),IF(LEFT($F1049,3)="P2P",IFERROR(INDEX(Mapping!$E$3:$E$6,MATCH($G1049,Mapping!$D$3:$D$6,0)),IFERROR(INDEX(Mapping!$B$3:$B$13,MATCH($J1049,Mapping!$A$3:$A$13,0)),"(unmapped)")),IFERROR(INDEX(Mapping!$B$17:$B$22,MATCH($F1049,Mapping!$A$17:$A$22,0)),$F1049)&amp;" "&amp;IF($G1049="Banking","Banking",IFERROR(INDEX(Mapping!$E$17:$E$28,MATCH($J1049,Mapping!$D$17:$D$28,0)),"(unmapped)")))))</f>
        <v/>
      </c>
    </row>
    <row r="1050" spans="11:11" x14ac:dyDescent="0.3">
      <c r="K1050" t="str">
        <f>IF($D1050="","",IFERROR(INDEX(Mapping!$H$3:$H$32,MATCH($B1050,Mapping!$G$3:$G$32,0)),IF(LEFT($F1050,3)="P2P",IFERROR(INDEX(Mapping!$E$3:$E$6,MATCH($G1050,Mapping!$D$3:$D$6,0)),IFERROR(INDEX(Mapping!$B$3:$B$13,MATCH($J1050,Mapping!$A$3:$A$13,0)),"(unmapped)")),IFERROR(INDEX(Mapping!$B$17:$B$22,MATCH($F1050,Mapping!$A$17:$A$22,0)),$F1050)&amp;" "&amp;IF($G1050="Banking","Banking",IFERROR(INDEX(Mapping!$E$17:$E$28,MATCH($J1050,Mapping!$D$17:$D$28,0)),"(unmapped)")))))</f>
        <v/>
      </c>
    </row>
    <row r="1051" spans="11:11" x14ac:dyDescent="0.3">
      <c r="K1051" t="str">
        <f>IF($D1051="","",IFERROR(INDEX(Mapping!$H$3:$H$32,MATCH($B1051,Mapping!$G$3:$G$32,0)),IF(LEFT($F1051,3)="P2P",IFERROR(INDEX(Mapping!$E$3:$E$6,MATCH($G1051,Mapping!$D$3:$D$6,0)),IFERROR(INDEX(Mapping!$B$3:$B$13,MATCH($J1051,Mapping!$A$3:$A$13,0)),"(unmapped)")),IFERROR(INDEX(Mapping!$B$17:$B$22,MATCH($F1051,Mapping!$A$17:$A$22,0)),$F1051)&amp;" "&amp;IF($G1051="Banking","Banking",IFERROR(INDEX(Mapping!$E$17:$E$28,MATCH($J1051,Mapping!$D$17:$D$28,0)),"(unmapped)")))))</f>
        <v/>
      </c>
    </row>
    <row r="1052" spans="11:11" x14ac:dyDescent="0.3">
      <c r="K1052" t="str">
        <f>IF($D1052="","",IFERROR(INDEX(Mapping!$H$3:$H$32,MATCH($B1052,Mapping!$G$3:$G$32,0)),IF(LEFT($F1052,3)="P2P",IFERROR(INDEX(Mapping!$E$3:$E$6,MATCH($G1052,Mapping!$D$3:$D$6,0)),IFERROR(INDEX(Mapping!$B$3:$B$13,MATCH($J1052,Mapping!$A$3:$A$13,0)),"(unmapped)")),IFERROR(INDEX(Mapping!$B$17:$B$22,MATCH($F1052,Mapping!$A$17:$A$22,0)),$F1052)&amp;" "&amp;IF($G1052="Banking","Banking",IFERROR(INDEX(Mapping!$E$17:$E$28,MATCH($J1052,Mapping!$D$17:$D$28,0)),"(unmapped)")))))</f>
        <v/>
      </c>
    </row>
    <row r="1053" spans="11:11" x14ac:dyDescent="0.3">
      <c r="K1053" t="str">
        <f>IF($D1053="","",IFERROR(INDEX(Mapping!$H$3:$H$32,MATCH($B1053,Mapping!$G$3:$G$32,0)),IF(LEFT($F1053,3)="P2P",IFERROR(INDEX(Mapping!$E$3:$E$6,MATCH($G1053,Mapping!$D$3:$D$6,0)),IFERROR(INDEX(Mapping!$B$3:$B$13,MATCH($J1053,Mapping!$A$3:$A$13,0)),"(unmapped)")),IFERROR(INDEX(Mapping!$B$17:$B$22,MATCH($F1053,Mapping!$A$17:$A$22,0)),$F1053)&amp;" "&amp;IF($G1053="Banking","Banking",IFERROR(INDEX(Mapping!$E$17:$E$28,MATCH($J1053,Mapping!$D$17:$D$28,0)),"(unmapped)")))))</f>
        <v/>
      </c>
    </row>
    <row r="1054" spans="11:11" x14ac:dyDescent="0.3">
      <c r="K1054" t="str">
        <f>IF($D1054="","",IFERROR(INDEX(Mapping!$H$3:$H$32,MATCH($B1054,Mapping!$G$3:$G$32,0)),IF(LEFT($F1054,3)="P2P",IFERROR(INDEX(Mapping!$E$3:$E$6,MATCH($G1054,Mapping!$D$3:$D$6,0)),IFERROR(INDEX(Mapping!$B$3:$B$13,MATCH($J1054,Mapping!$A$3:$A$13,0)),"(unmapped)")),IFERROR(INDEX(Mapping!$B$17:$B$22,MATCH($F1054,Mapping!$A$17:$A$22,0)),$F1054)&amp;" "&amp;IF($G1054="Banking","Banking",IFERROR(INDEX(Mapping!$E$17:$E$28,MATCH($J1054,Mapping!$D$17:$D$28,0)),"(unmapped)")))))</f>
        <v/>
      </c>
    </row>
    <row r="1055" spans="11:11" x14ac:dyDescent="0.3">
      <c r="K1055" t="str">
        <f>IF($D1055="","",IFERROR(INDEX(Mapping!$H$3:$H$32,MATCH($B1055,Mapping!$G$3:$G$32,0)),IF(LEFT($F1055,3)="P2P",IFERROR(INDEX(Mapping!$E$3:$E$6,MATCH($G1055,Mapping!$D$3:$D$6,0)),IFERROR(INDEX(Mapping!$B$3:$B$13,MATCH($J1055,Mapping!$A$3:$A$13,0)),"(unmapped)")),IFERROR(INDEX(Mapping!$B$17:$B$22,MATCH($F1055,Mapping!$A$17:$A$22,0)),$F1055)&amp;" "&amp;IF($G1055="Banking","Banking",IFERROR(INDEX(Mapping!$E$17:$E$28,MATCH($J1055,Mapping!$D$17:$D$28,0)),"(unmapped)")))))</f>
        <v/>
      </c>
    </row>
    <row r="1056" spans="11:11" x14ac:dyDescent="0.3">
      <c r="K1056" t="str">
        <f>IF($D1056="","",IFERROR(INDEX(Mapping!$H$3:$H$32,MATCH($B1056,Mapping!$G$3:$G$32,0)),IF(LEFT($F1056,3)="P2P",IFERROR(INDEX(Mapping!$E$3:$E$6,MATCH($G1056,Mapping!$D$3:$D$6,0)),IFERROR(INDEX(Mapping!$B$3:$B$13,MATCH($J1056,Mapping!$A$3:$A$13,0)),"(unmapped)")),IFERROR(INDEX(Mapping!$B$17:$B$22,MATCH($F1056,Mapping!$A$17:$A$22,0)),$F1056)&amp;" "&amp;IF($G1056="Banking","Banking",IFERROR(INDEX(Mapping!$E$17:$E$28,MATCH($J1056,Mapping!$D$17:$D$28,0)),"(unmapped)")))))</f>
        <v/>
      </c>
    </row>
    <row r="1057" spans="11:11" x14ac:dyDescent="0.3">
      <c r="K1057" t="str">
        <f>IF($D1057="","",IFERROR(INDEX(Mapping!$H$3:$H$32,MATCH($B1057,Mapping!$G$3:$G$32,0)),IF(LEFT($F1057,3)="P2P",IFERROR(INDEX(Mapping!$E$3:$E$6,MATCH($G1057,Mapping!$D$3:$D$6,0)),IFERROR(INDEX(Mapping!$B$3:$B$13,MATCH($J1057,Mapping!$A$3:$A$13,0)),"(unmapped)")),IFERROR(INDEX(Mapping!$B$17:$B$22,MATCH($F1057,Mapping!$A$17:$A$22,0)),$F1057)&amp;" "&amp;IF($G1057="Banking","Banking",IFERROR(INDEX(Mapping!$E$17:$E$28,MATCH($J1057,Mapping!$D$17:$D$28,0)),"(unmapped)")))))</f>
        <v/>
      </c>
    </row>
    <row r="1058" spans="11:11" x14ac:dyDescent="0.3">
      <c r="K1058" t="str">
        <f>IF($D1058="","",IFERROR(INDEX(Mapping!$H$3:$H$32,MATCH($B1058,Mapping!$G$3:$G$32,0)),IF(LEFT($F1058,3)="P2P",IFERROR(INDEX(Mapping!$E$3:$E$6,MATCH($G1058,Mapping!$D$3:$D$6,0)),IFERROR(INDEX(Mapping!$B$3:$B$13,MATCH($J1058,Mapping!$A$3:$A$13,0)),"(unmapped)")),IFERROR(INDEX(Mapping!$B$17:$B$22,MATCH($F1058,Mapping!$A$17:$A$22,0)),$F1058)&amp;" "&amp;IF($G1058="Banking","Banking",IFERROR(INDEX(Mapping!$E$17:$E$28,MATCH($J1058,Mapping!$D$17:$D$28,0)),"(unmapped)")))))</f>
        <v/>
      </c>
    </row>
    <row r="1059" spans="11:11" x14ac:dyDescent="0.3">
      <c r="K1059" t="str">
        <f>IF($D1059="","",IFERROR(INDEX(Mapping!$H$3:$H$32,MATCH($B1059,Mapping!$G$3:$G$32,0)),IF(LEFT($F1059,3)="P2P",IFERROR(INDEX(Mapping!$E$3:$E$6,MATCH($G1059,Mapping!$D$3:$D$6,0)),IFERROR(INDEX(Mapping!$B$3:$B$13,MATCH($J1059,Mapping!$A$3:$A$13,0)),"(unmapped)")),IFERROR(INDEX(Mapping!$B$17:$B$22,MATCH($F1059,Mapping!$A$17:$A$22,0)),$F1059)&amp;" "&amp;IF($G1059="Banking","Banking",IFERROR(INDEX(Mapping!$E$17:$E$28,MATCH($J1059,Mapping!$D$17:$D$28,0)),"(unmapped)")))))</f>
        <v/>
      </c>
    </row>
    <row r="1060" spans="11:11" x14ac:dyDescent="0.3">
      <c r="K1060" t="str">
        <f>IF($D1060="","",IFERROR(INDEX(Mapping!$H$3:$H$32,MATCH($B1060,Mapping!$G$3:$G$32,0)),IF(LEFT($F1060,3)="P2P",IFERROR(INDEX(Mapping!$E$3:$E$6,MATCH($G1060,Mapping!$D$3:$D$6,0)),IFERROR(INDEX(Mapping!$B$3:$B$13,MATCH($J1060,Mapping!$A$3:$A$13,0)),"(unmapped)")),IFERROR(INDEX(Mapping!$B$17:$B$22,MATCH($F1060,Mapping!$A$17:$A$22,0)),$F1060)&amp;" "&amp;IF($G1060="Banking","Banking",IFERROR(INDEX(Mapping!$E$17:$E$28,MATCH($J1060,Mapping!$D$17:$D$28,0)),"(unmapped)")))))</f>
        <v/>
      </c>
    </row>
    <row r="1061" spans="11:11" x14ac:dyDescent="0.3">
      <c r="K1061" t="str">
        <f>IF($D1061="","",IFERROR(INDEX(Mapping!$H$3:$H$32,MATCH($B1061,Mapping!$G$3:$G$32,0)),IF(LEFT($F1061,3)="P2P",IFERROR(INDEX(Mapping!$E$3:$E$6,MATCH($G1061,Mapping!$D$3:$D$6,0)),IFERROR(INDEX(Mapping!$B$3:$B$13,MATCH($J1061,Mapping!$A$3:$A$13,0)),"(unmapped)")),IFERROR(INDEX(Mapping!$B$17:$B$22,MATCH($F1061,Mapping!$A$17:$A$22,0)),$F1061)&amp;" "&amp;IF($G1061="Banking","Banking",IFERROR(INDEX(Mapping!$E$17:$E$28,MATCH($J1061,Mapping!$D$17:$D$28,0)),"(unmapped)")))))</f>
        <v/>
      </c>
    </row>
    <row r="1062" spans="11:11" x14ac:dyDescent="0.3">
      <c r="K1062" t="str">
        <f>IF($D1062="","",IFERROR(INDEX(Mapping!$H$3:$H$32,MATCH($B1062,Mapping!$G$3:$G$32,0)),IF(LEFT($F1062,3)="P2P",IFERROR(INDEX(Mapping!$E$3:$E$6,MATCH($G1062,Mapping!$D$3:$D$6,0)),IFERROR(INDEX(Mapping!$B$3:$B$13,MATCH($J1062,Mapping!$A$3:$A$13,0)),"(unmapped)")),IFERROR(INDEX(Mapping!$B$17:$B$22,MATCH($F1062,Mapping!$A$17:$A$22,0)),$F1062)&amp;" "&amp;IF($G1062="Banking","Banking",IFERROR(INDEX(Mapping!$E$17:$E$28,MATCH($J1062,Mapping!$D$17:$D$28,0)),"(unmapped)")))))</f>
        <v/>
      </c>
    </row>
    <row r="1063" spans="11:11" x14ac:dyDescent="0.3">
      <c r="K1063" t="str">
        <f>IF($D1063="","",IFERROR(INDEX(Mapping!$H$3:$H$32,MATCH($B1063,Mapping!$G$3:$G$32,0)),IF(LEFT($F1063,3)="P2P",IFERROR(INDEX(Mapping!$E$3:$E$6,MATCH($G1063,Mapping!$D$3:$D$6,0)),IFERROR(INDEX(Mapping!$B$3:$B$13,MATCH($J1063,Mapping!$A$3:$A$13,0)),"(unmapped)")),IFERROR(INDEX(Mapping!$B$17:$B$22,MATCH($F1063,Mapping!$A$17:$A$22,0)),$F1063)&amp;" "&amp;IF($G1063="Banking","Banking",IFERROR(INDEX(Mapping!$E$17:$E$28,MATCH($J1063,Mapping!$D$17:$D$28,0)),"(unmapped)")))))</f>
        <v/>
      </c>
    </row>
    <row r="1064" spans="11:11" x14ac:dyDescent="0.3">
      <c r="K1064" t="str">
        <f>IF($D1064="","",IFERROR(INDEX(Mapping!$H$3:$H$32,MATCH($B1064,Mapping!$G$3:$G$32,0)),IF(LEFT($F1064,3)="P2P",IFERROR(INDEX(Mapping!$E$3:$E$6,MATCH($G1064,Mapping!$D$3:$D$6,0)),IFERROR(INDEX(Mapping!$B$3:$B$13,MATCH($J1064,Mapping!$A$3:$A$13,0)),"(unmapped)")),IFERROR(INDEX(Mapping!$B$17:$B$22,MATCH($F1064,Mapping!$A$17:$A$22,0)),$F1064)&amp;" "&amp;IF($G1064="Banking","Banking",IFERROR(INDEX(Mapping!$E$17:$E$28,MATCH($J1064,Mapping!$D$17:$D$28,0)),"(unmapped)")))))</f>
        <v/>
      </c>
    </row>
    <row r="1065" spans="11:11" x14ac:dyDescent="0.3">
      <c r="K1065" t="str">
        <f>IF($D1065="","",IFERROR(INDEX(Mapping!$H$3:$H$32,MATCH($B1065,Mapping!$G$3:$G$32,0)),IF(LEFT($F1065,3)="P2P",IFERROR(INDEX(Mapping!$E$3:$E$6,MATCH($G1065,Mapping!$D$3:$D$6,0)),IFERROR(INDEX(Mapping!$B$3:$B$13,MATCH($J1065,Mapping!$A$3:$A$13,0)),"(unmapped)")),IFERROR(INDEX(Mapping!$B$17:$B$22,MATCH($F1065,Mapping!$A$17:$A$22,0)),$F1065)&amp;" "&amp;IF($G1065="Banking","Banking",IFERROR(INDEX(Mapping!$E$17:$E$28,MATCH($J1065,Mapping!$D$17:$D$28,0)),"(unmapped)")))))</f>
        <v/>
      </c>
    </row>
    <row r="1066" spans="11:11" x14ac:dyDescent="0.3">
      <c r="K1066" t="str">
        <f>IF($D1066="","",IFERROR(INDEX(Mapping!$H$3:$H$32,MATCH($B1066,Mapping!$G$3:$G$32,0)),IF(LEFT($F1066,3)="P2P",IFERROR(INDEX(Mapping!$E$3:$E$6,MATCH($G1066,Mapping!$D$3:$D$6,0)),IFERROR(INDEX(Mapping!$B$3:$B$13,MATCH($J1066,Mapping!$A$3:$A$13,0)),"(unmapped)")),IFERROR(INDEX(Mapping!$B$17:$B$22,MATCH($F1066,Mapping!$A$17:$A$22,0)),$F1066)&amp;" "&amp;IF($G1066="Banking","Banking",IFERROR(INDEX(Mapping!$E$17:$E$28,MATCH($J1066,Mapping!$D$17:$D$28,0)),"(unmapped)")))))</f>
        <v/>
      </c>
    </row>
    <row r="1067" spans="11:11" x14ac:dyDescent="0.3">
      <c r="K1067" t="str">
        <f>IF($D1067="","",IFERROR(INDEX(Mapping!$H$3:$H$32,MATCH($B1067,Mapping!$G$3:$G$32,0)),IF(LEFT($F1067,3)="P2P",IFERROR(INDEX(Mapping!$E$3:$E$6,MATCH($G1067,Mapping!$D$3:$D$6,0)),IFERROR(INDEX(Mapping!$B$3:$B$13,MATCH($J1067,Mapping!$A$3:$A$13,0)),"(unmapped)")),IFERROR(INDEX(Mapping!$B$17:$B$22,MATCH($F1067,Mapping!$A$17:$A$22,0)),$F1067)&amp;" "&amp;IF($G1067="Banking","Banking",IFERROR(INDEX(Mapping!$E$17:$E$28,MATCH($J1067,Mapping!$D$17:$D$28,0)),"(unmapped)")))))</f>
        <v/>
      </c>
    </row>
    <row r="1068" spans="11:11" x14ac:dyDescent="0.3">
      <c r="K1068" t="str">
        <f>IF($D1068="","",IFERROR(INDEX(Mapping!$H$3:$H$32,MATCH($B1068,Mapping!$G$3:$G$32,0)),IF(LEFT($F1068,3)="P2P",IFERROR(INDEX(Mapping!$E$3:$E$6,MATCH($G1068,Mapping!$D$3:$D$6,0)),IFERROR(INDEX(Mapping!$B$3:$B$13,MATCH($J1068,Mapping!$A$3:$A$13,0)),"(unmapped)")),IFERROR(INDEX(Mapping!$B$17:$B$22,MATCH($F1068,Mapping!$A$17:$A$22,0)),$F1068)&amp;" "&amp;IF($G1068="Banking","Banking",IFERROR(INDEX(Mapping!$E$17:$E$28,MATCH($J1068,Mapping!$D$17:$D$28,0)),"(unmapped)")))))</f>
        <v/>
      </c>
    </row>
    <row r="1069" spans="11:11" x14ac:dyDescent="0.3">
      <c r="K1069" t="str">
        <f>IF($D1069="","",IFERROR(INDEX(Mapping!$H$3:$H$32,MATCH($B1069,Mapping!$G$3:$G$32,0)),IF(LEFT($F1069,3)="P2P",IFERROR(INDEX(Mapping!$E$3:$E$6,MATCH($G1069,Mapping!$D$3:$D$6,0)),IFERROR(INDEX(Mapping!$B$3:$B$13,MATCH($J1069,Mapping!$A$3:$A$13,0)),"(unmapped)")),IFERROR(INDEX(Mapping!$B$17:$B$22,MATCH($F1069,Mapping!$A$17:$A$22,0)),$F1069)&amp;" "&amp;IF($G1069="Banking","Banking",IFERROR(INDEX(Mapping!$E$17:$E$28,MATCH($J1069,Mapping!$D$17:$D$28,0)),"(unmapped)")))))</f>
        <v/>
      </c>
    </row>
    <row r="1070" spans="11:11" x14ac:dyDescent="0.3">
      <c r="K1070" t="str">
        <f>IF($D1070="","",IFERROR(INDEX(Mapping!$H$3:$H$32,MATCH($B1070,Mapping!$G$3:$G$32,0)),IF(LEFT($F1070,3)="P2P",IFERROR(INDEX(Mapping!$E$3:$E$6,MATCH($G1070,Mapping!$D$3:$D$6,0)),IFERROR(INDEX(Mapping!$B$3:$B$13,MATCH($J1070,Mapping!$A$3:$A$13,0)),"(unmapped)")),IFERROR(INDEX(Mapping!$B$17:$B$22,MATCH($F1070,Mapping!$A$17:$A$22,0)),$F1070)&amp;" "&amp;IF($G1070="Banking","Banking",IFERROR(INDEX(Mapping!$E$17:$E$28,MATCH($J1070,Mapping!$D$17:$D$28,0)),"(unmapped)")))))</f>
        <v/>
      </c>
    </row>
    <row r="1071" spans="11:11" x14ac:dyDescent="0.3">
      <c r="K1071" t="str">
        <f>IF($D1071="","",IFERROR(INDEX(Mapping!$H$3:$H$32,MATCH($B1071,Mapping!$G$3:$G$32,0)),IF(LEFT($F1071,3)="P2P",IFERROR(INDEX(Mapping!$E$3:$E$6,MATCH($G1071,Mapping!$D$3:$D$6,0)),IFERROR(INDEX(Mapping!$B$3:$B$13,MATCH($J1071,Mapping!$A$3:$A$13,0)),"(unmapped)")),IFERROR(INDEX(Mapping!$B$17:$B$22,MATCH($F1071,Mapping!$A$17:$A$22,0)),$F1071)&amp;" "&amp;IF($G1071="Banking","Banking",IFERROR(INDEX(Mapping!$E$17:$E$28,MATCH($J1071,Mapping!$D$17:$D$28,0)),"(unmapped)")))))</f>
        <v/>
      </c>
    </row>
    <row r="1072" spans="11:11" x14ac:dyDescent="0.3">
      <c r="K1072" t="str">
        <f>IF($D1072="","",IFERROR(INDEX(Mapping!$H$3:$H$32,MATCH($B1072,Mapping!$G$3:$G$32,0)),IF(LEFT($F1072,3)="P2P",IFERROR(INDEX(Mapping!$E$3:$E$6,MATCH($G1072,Mapping!$D$3:$D$6,0)),IFERROR(INDEX(Mapping!$B$3:$B$13,MATCH($J1072,Mapping!$A$3:$A$13,0)),"(unmapped)")),IFERROR(INDEX(Mapping!$B$17:$B$22,MATCH($F1072,Mapping!$A$17:$A$22,0)),$F1072)&amp;" "&amp;IF($G1072="Banking","Banking",IFERROR(INDEX(Mapping!$E$17:$E$28,MATCH($J1072,Mapping!$D$17:$D$28,0)),"(unmapped)")))))</f>
        <v/>
      </c>
    </row>
    <row r="1073" spans="11:11" x14ac:dyDescent="0.3">
      <c r="K1073" t="str">
        <f>IF($D1073="","",IFERROR(INDEX(Mapping!$H$3:$H$32,MATCH($B1073,Mapping!$G$3:$G$32,0)),IF(LEFT($F1073,3)="P2P",IFERROR(INDEX(Mapping!$E$3:$E$6,MATCH($G1073,Mapping!$D$3:$D$6,0)),IFERROR(INDEX(Mapping!$B$3:$B$13,MATCH($J1073,Mapping!$A$3:$A$13,0)),"(unmapped)")),IFERROR(INDEX(Mapping!$B$17:$B$22,MATCH($F1073,Mapping!$A$17:$A$22,0)),$F1073)&amp;" "&amp;IF($G1073="Banking","Banking",IFERROR(INDEX(Mapping!$E$17:$E$28,MATCH($J1073,Mapping!$D$17:$D$28,0)),"(unmapped)")))))</f>
        <v/>
      </c>
    </row>
    <row r="1074" spans="11:11" x14ac:dyDescent="0.3">
      <c r="K1074" t="str">
        <f>IF($D1074="","",IFERROR(INDEX(Mapping!$H$3:$H$32,MATCH($B1074,Mapping!$G$3:$G$32,0)),IF(LEFT($F1074,3)="P2P",IFERROR(INDEX(Mapping!$E$3:$E$6,MATCH($G1074,Mapping!$D$3:$D$6,0)),IFERROR(INDEX(Mapping!$B$3:$B$13,MATCH($J1074,Mapping!$A$3:$A$13,0)),"(unmapped)")),IFERROR(INDEX(Mapping!$B$17:$B$22,MATCH($F1074,Mapping!$A$17:$A$22,0)),$F1074)&amp;" "&amp;IF($G1074="Banking","Banking",IFERROR(INDEX(Mapping!$E$17:$E$28,MATCH($J1074,Mapping!$D$17:$D$28,0)),"(unmapped)")))))</f>
        <v/>
      </c>
    </row>
    <row r="1075" spans="11:11" x14ac:dyDescent="0.3">
      <c r="K1075" t="str">
        <f>IF($D1075="","",IFERROR(INDEX(Mapping!$H$3:$H$32,MATCH($B1075,Mapping!$G$3:$G$32,0)),IF(LEFT($F1075,3)="P2P",IFERROR(INDEX(Mapping!$E$3:$E$6,MATCH($G1075,Mapping!$D$3:$D$6,0)),IFERROR(INDEX(Mapping!$B$3:$B$13,MATCH($J1075,Mapping!$A$3:$A$13,0)),"(unmapped)")),IFERROR(INDEX(Mapping!$B$17:$B$22,MATCH($F1075,Mapping!$A$17:$A$22,0)),$F1075)&amp;" "&amp;IF($G1075="Banking","Banking",IFERROR(INDEX(Mapping!$E$17:$E$28,MATCH($J1075,Mapping!$D$17:$D$28,0)),"(unmapped)")))))</f>
        <v/>
      </c>
    </row>
    <row r="1076" spans="11:11" x14ac:dyDescent="0.3">
      <c r="K1076" t="str">
        <f>IF($D1076="","",IFERROR(INDEX(Mapping!$H$3:$H$32,MATCH($B1076,Mapping!$G$3:$G$32,0)),IF(LEFT($F1076,3)="P2P",IFERROR(INDEX(Mapping!$E$3:$E$6,MATCH($G1076,Mapping!$D$3:$D$6,0)),IFERROR(INDEX(Mapping!$B$3:$B$13,MATCH($J1076,Mapping!$A$3:$A$13,0)),"(unmapped)")),IFERROR(INDEX(Mapping!$B$17:$B$22,MATCH($F1076,Mapping!$A$17:$A$22,0)),$F1076)&amp;" "&amp;IF($G1076="Banking","Banking",IFERROR(INDEX(Mapping!$E$17:$E$28,MATCH($J1076,Mapping!$D$17:$D$28,0)),"(unmapped)")))))</f>
        <v/>
      </c>
    </row>
    <row r="1077" spans="11:11" x14ac:dyDescent="0.3">
      <c r="K1077" t="str">
        <f>IF($D1077="","",IFERROR(INDEX(Mapping!$H$3:$H$32,MATCH($B1077,Mapping!$G$3:$G$32,0)),IF(LEFT($F1077,3)="P2P",IFERROR(INDEX(Mapping!$E$3:$E$6,MATCH($G1077,Mapping!$D$3:$D$6,0)),IFERROR(INDEX(Mapping!$B$3:$B$13,MATCH($J1077,Mapping!$A$3:$A$13,0)),"(unmapped)")),IFERROR(INDEX(Mapping!$B$17:$B$22,MATCH($F1077,Mapping!$A$17:$A$22,0)),$F1077)&amp;" "&amp;IF($G1077="Banking","Banking",IFERROR(INDEX(Mapping!$E$17:$E$28,MATCH($J1077,Mapping!$D$17:$D$28,0)),"(unmapped)")))))</f>
        <v/>
      </c>
    </row>
    <row r="1078" spans="11:11" x14ac:dyDescent="0.3">
      <c r="K1078" t="str">
        <f>IF($D1078="","",IFERROR(INDEX(Mapping!$H$3:$H$32,MATCH($B1078,Mapping!$G$3:$G$32,0)),IF(LEFT($F1078,3)="P2P",IFERROR(INDEX(Mapping!$E$3:$E$6,MATCH($G1078,Mapping!$D$3:$D$6,0)),IFERROR(INDEX(Mapping!$B$3:$B$13,MATCH($J1078,Mapping!$A$3:$A$13,0)),"(unmapped)")),IFERROR(INDEX(Mapping!$B$17:$B$22,MATCH($F1078,Mapping!$A$17:$A$22,0)),$F1078)&amp;" "&amp;IF($G1078="Banking","Banking",IFERROR(INDEX(Mapping!$E$17:$E$28,MATCH($J1078,Mapping!$D$17:$D$28,0)),"(unmapped)")))))</f>
        <v/>
      </c>
    </row>
    <row r="1079" spans="11:11" x14ac:dyDescent="0.3">
      <c r="K1079" t="str">
        <f>IF($D1079="","",IFERROR(INDEX(Mapping!$H$3:$H$32,MATCH($B1079,Mapping!$G$3:$G$32,0)),IF(LEFT($F1079,3)="P2P",IFERROR(INDEX(Mapping!$E$3:$E$6,MATCH($G1079,Mapping!$D$3:$D$6,0)),IFERROR(INDEX(Mapping!$B$3:$B$13,MATCH($J1079,Mapping!$A$3:$A$13,0)),"(unmapped)")),IFERROR(INDEX(Mapping!$B$17:$B$22,MATCH($F1079,Mapping!$A$17:$A$22,0)),$F1079)&amp;" "&amp;IF($G1079="Banking","Banking",IFERROR(INDEX(Mapping!$E$17:$E$28,MATCH($J1079,Mapping!$D$17:$D$28,0)),"(unmapped)")))))</f>
        <v/>
      </c>
    </row>
    <row r="1080" spans="11:11" x14ac:dyDescent="0.3">
      <c r="K1080" t="str">
        <f>IF($D1080="","",IFERROR(INDEX(Mapping!$H$3:$H$32,MATCH($B1080,Mapping!$G$3:$G$32,0)),IF(LEFT($F1080,3)="P2P",IFERROR(INDEX(Mapping!$E$3:$E$6,MATCH($G1080,Mapping!$D$3:$D$6,0)),IFERROR(INDEX(Mapping!$B$3:$B$13,MATCH($J1080,Mapping!$A$3:$A$13,0)),"(unmapped)")),IFERROR(INDEX(Mapping!$B$17:$B$22,MATCH($F1080,Mapping!$A$17:$A$22,0)),$F1080)&amp;" "&amp;IF($G1080="Banking","Banking",IFERROR(INDEX(Mapping!$E$17:$E$28,MATCH($J1080,Mapping!$D$17:$D$28,0)),"(unmapped)")))))</f>
        <v/>
      </c>
    </row>
    <row r="1081" spans="11:11" x14ac:dyDescent="0.3">
      <c r="K1081" t="str">
        <f>IF($D1081="","",IFERROR(INDEX(Mapping!$H$3:$H$32,MATCH($B1081,Mapping!$G$3:$G$32,0)),IF(LEFT($F1081,3)="P2P",IFERROR(INDEX(Mapping!$E$3:$E$6,MATCH($G1081,Mapping!$D$3:$D$6,0)),IFERROR(INDEX(Mapping!$B$3:$B$13,MATCH($J1081,Mapping!$A$3:$A$13,0)),"(unmapped)")),IFERROR(INDEX(Mapping!$B$17:$B$22,MATCH($F1081,Mapping!$A$17:$A$22,0)),$F1081)&amp;" "&amp;IF($G1081="Banking","Banking",IFERROR(INDEX(Mapping!$E$17:$E$28,MATCH($J1081,Mapping!$D$17:$D$28,0)),"(unmapped)")))))</f>
        <v/>
      </c>
    </row>
    <row r="1082" spans="11:11" x14ac:dyDescent="0.3">
      <c r="K1082" t="str">
        <f>IF($D1082="","",IFERROR(INDEX(Mapping!$H$3:$H$32,MATCH($B1082,Mapping!$G$3:$G$32,0)),IF(LEFT($F1082,3)="P2P",IFERROR(INDEX(Mapping!$E$3:$E$6,MATCH($G1082,Mapping!$D$3:$D$6,0)),IFERROR(INDEX(Mapping!$B$3:$B$13,MATCH($J1082,Mapping!$A$3:$A$13,0)),"(unmapped)")),IFERROR(INDEX(Mapping!$B$17:$B$22,MATCH($F1082,Mapping!$A$17:$A$22,0)),$F1082)&amp;" "&amp;IF($G1082="Banking","Banking",IFERROR(INDEX(Mapping!$E$17:$E$28,MATCH($J1082,Mapping!$D$17:$D$28,0)),"(unmapped)")))))</f>
        <v/>
      </c>
    </row>
    <row r="1083" spans="11:11" x14ac:dyDescent="0.3">
      <c r="K1083" t="str">
        <f>IF($D1083="","",IFERROR(INDEX(Mapping!$H$3:$H$32,MATCH($B1083,Mapping!$G$3:$G$32,0)),IF(LEFT($F1083,3)="P2P",IFERROR(INDEX(Mapping!$E$3:$E$6,MATCH($G1083,Mapping!$D$3:$D$6,0)),IFERROR(INDEX(Mapping!$B$3:$B$13,MATCH($J1083,Mapping!$A$3:$A$13,0)),"(unmapped)")),IFERROR(INDEX(Mapping!$B$17:$B$22,MATCH($F1083,Mapping!$A$17:$A$22,0)),$F1083)&amp;" "&amp;IF($G1083="Banking","Banking",IFERROR(INDEX(Mapping!$E$17:$E$28,MATCH($J1083,Mapping!$D$17:$D$28,0)),"(unmapped)")))))</f>
        <v/>
      </c>
    </row>
    <row r="1084" spans="11:11" x14ac:dyDescent="0.3">
      <c r="K1084" t="str">
        <f>IF($D1084="","",IFERROR(INDEX(Mapping!$H$3:$H$32,MATCH($B1084,Mapping!$G$3:$G$32,0)),IF(LEFT($F1084,3)="P2P",IFERROR(INDEX(Mapping!$E$3:$E$6,MATCH($G1084,Mapping!$D$3:$D$6,0)),IFERROR(INDEX(Mapping!$B$3:$B$13,MATCH($J1084,Mapping!$A$3:$A$13,0)),"(unmapped)")),IFERROR(INDEX(Mapping!$B$17:$B$22,MATCH($F1084,Mapping!$A$17:$A$22,0)),$F1084)&amp;" "&amp;IF($G1084="Banking","Banking",IFERROR(INDEX(Mapping!$E$17:$E$28,MATCH($J1084,Mapping!$D$17:$D$28,0)),"(unmapped)")))))</f>
        <v/>
      </c>
    </row>
    <row r="1085" spans="11:11" x14ac:dyDescent="0.3">
      <c r="K1085" t="str">
        <f>IF($D1085="","",IFERROR(INDEX(Mapping!$H$3:$H$32,MATCH($B1085,Mapping!$G$3:$G$32,0)),IF(LEFT($F1085,3)="P2P",IFERROR(INDEX(Mapping!$E$3:$E$6,MATCH($G1085,Mapping!$D$3:$D$6,0)),IFERROR(INDEX(Mapping!$B$3:$B$13,MATCH($J1085,Mapping!$A$3:$A$13,0)),"(unmapped)")),IFERROR(INDEX(Mapping!$B$17:$B$22,MATCH($F1085,Mapping!$A$17:$A$22,0)),$F1085)&amp;" "&amp;IF($G1085="Banking","Banking",IFERROR(INDEX(Mapping!$E$17:$E$28,MATCH($J1085,Mapping!$D$17:$D$28,0)),"(unmapped)")))))</f>
        <v/>
      </c>
    </row>
    <row r="1086" spans="11:11" x14ac:dyDescent="0.3">
      <c r="K1086" t="str">
        <f>IF($D1086="","",IFERROR(INDEX(Mapping!$H$3:$H$32,MATCH($B1086,Mapping!$G$3:$G$32,0)),IF(LEFT($F1086,3)="P2P",IFERROR(INDEX(Mapping!$E$3:$E$6,MATCH($G1086,Mapping!$D$3:$D$6,0)),IFERROR(INDEX(Mapping!$B$3:$B$13,MATCH($J1086,Mapping!$A$3:$A$13,0)),"(unmapped)")),IFERROR(INDEX(Mapping!$B$17:$B$22,MATCH($F1086,Mapping!$A$17:$A$22,0)),$F1086)&amp;" "&amp;IF($G1086="Banking","Banking",IFERROR(INDEX(Mapping!$E$17:$E$28,MATCH($J1086,Mapping!$D$17:$D$28,0)),"(unmapped)")))))</f>
        <v/>
      </c>
    </row>
    <row r="1087" spans="11:11" x14ac:dyDescent="0.3">
      <c r="K1087" t="str">
        <f>IF($D1087="","",IFERROR(INDEX(Mapping!$H$3:$H$32,MATCH($B1087,Mapping!$G$3:$G$32,0)),IF(LEFT($F1087,3)="P2P",IFERROR(INDEX(Mapping!$E$3:$E$6,MATCH($G1087,Mapping!$D$3:$D$6,0)),IFERROR(INDEX(Mapping!$B$3:$B$13,MATCH($J1087,Mapping!$A$3:$A$13,0)),"(unmapped)")),IFERROR(INDEX(Mapping!$B$17:$B$22,MATCH($F1087,Mapping!$A$17:$A$22,0)),$F1087)&amp;" "&amp;IF($G1087="Banking","Banking",IFERROR(INDEX(Mapping!$E$17:$E$28,MATCH($J1087,Mapping!$D$17:$D$28,0)),"(unmapped)")))))</f>
        <v/>
      </c>
    </row>
    <row r="1088" spans="11:11" x14ac:dyDescent="0.3">
      <c r="K1088" t="str">
        <f>IF($D1088="","",IFERROR(INDEX(Mapping!$H$3:$H$32,MATCH($B1088,Mapping!$G$3:$G$32,0)),IF(LEFT($F1088,3)="P2P",IFERROR(INDEX(Mapping!$E$3:$E$6,MATCH($G1088,Mapping!$D$3:$D$6,0)),IFERROR(INDEX(Mapping!$B$3:$B$13,MATCH($J1088,Mapping!$A$3:$A$13,0)),"(unmapped)")),IFERROR(INDEX(Mapping!$B$17:$B$22,MATCH($F1088,Mapping!$A$17:$A$22,0)),$F1088)&amp;" "&amp;IF($G1088="Banking","Banking",IFERROR(INDEX(Mapping!$E$17:$E$28,MATCH($J1088,Mapping!$D$17:$D$28,0)),"(unmapped)")))))</f>
        <v/>
      </c>
    </row>
    <row r="1089" spans="11:11" x14ac:dyDescent="0.3">
      <c r="K1089" t="str">
        <f>IF($D1089="","",IFERROR(INDEX(Mapping!$H$3:$H$32,MATCH($B1089,Mapping!$G$3:$G$32,0)),IF(LEFT($F1089,3)="P2P",IFERROR(INDEX(Mapping!$E$3:$E$6,MATCH($G1089,Mapping!$D$3:$D$6,0)),IFERROR(INDEX(Mapping!$B$3:$B$13,MATCH($J1089,Mapping!$A$3:$A$13,0)),"(unmapped)")),IFERROR(INDEX(Mapping!$B$17:$B$22,MATCH($F1089,Mapping!$A$17:$A$22,0)),$F1089)&amp;" "&amp;IF($G1089="Banking","Banking",IFERROR(INDEX(Mapping!$E$17:$E$28,MATCH($J1089,Mapping!$D$17:$D$28,0)),"(unmapped)")))))</f>
        <v/>
      </c>
    </row>
    <row r="1090" spans="11:11" x14ac:dyDescent="0.3">
      <c r="K1090" t="str">
        <f>IF($D1090="","",IFERROR(INDEX(Mapping!$H$3:$H$32,MATCH($B1090,Mapping!$G$3:$G$32,0)),IF(LEFT($F1090,3)="P2P",IFERROR(INDEX(Mapping!$E$3:$E$6,MATCH($G1090,Mapping!$D$3:$D$6,0)),IFERROR(INDEX(Mapping!$B$3:$B$13,MATCH($J1090,Mapping!$A$3:$A$13,0)),"(unmapped)")),IFERROR(INDEX(Mapping!$B$17:$B$22,MATCH($F1090,Mapping!$A$17:$A$22,0)),$F1090)&amp;" "&amp;IF($G1090="Banking","Banking",IFERROR(INDEX(Mapping!$E$17:$E$28,MATCH($J1090,Mapping!$D$17:$D$28,0)),"(unmapped)")))))</f>
        <v/>
      </c>
    </row>
    <row r="1091" spans="11:11" x14ac:dyDescent="0.3">
      <c r="K1091" t="str">
        <f>IF($D1091="","",IFERROR(INDEX(Mapping!$H$3:$H$32,MATCH($B1091,Mapping!$G$3:$G$32,0)),IF(LEFT($F1091,3)="P2P",IFERROR(INDEX(Mapping!$E$3:$E$6,MATCH($G1091,Mapping!$D$3:$D$6,0)),IFERROR(INDEX(Mapping!$B$3:$B$13,MATCH($J1091,Mapping!$A$3:$A$13,0)),"(unmapped)")),IFERROR(INDEX(Mapping!$B$17:$B$22,MATCH($F1091,Mapping!$A$17:$A$22,0)),$F1091)&amp;" "&amp;IF($G1091="Banking","Banking",IFERROR(INDEX(Mapping!$E$17:$E$28,MATCH($J1091,Mapping!$D$17:$D$28,0)),"(unmapped)")))))</f>
        <v/>
      </c>
    </row>
    <row r="1092" spans="11:11" x14ac:dyDescent="0.3">
      <c r="K1092" t="str">
        <f>IF($D1092="","",IFERROR(INDEX(Mapping!$H$3:$H$32,MATCH($B1092,Mapping!$G$3:$G$32,0)),IF(LEFT($F1092,3)="P2P",IFERROR(INDEX(Mapping!$E$3:$E$6,MATCH($G1092,Mapping!$D$3:$D$6,0)),IFERROR(INDEX(Mapping!$B$3:$B$13,MATCH($J1092,Mapping!$A$3:$A$13,0)),"(unmapped)")),IFERROR(INDEX(Mapping!$B$17:$B$22,MATCH($F1092,Mapping!$A$17:$A$22,0)),$F1092)&amp;" "&amp;IF($G1092="Banking","Banking",IFERROR(INDEX(Mapping!$E$17:$E$28,MATCH($J1092,Mapping!$D$17:$D$28,0)),"(unmapped)")))))</f>
        <v/>
      </c>
    </row>
    <row r="1093" spans="11:11" x14ac:dyDescent="0.3">
      <c r="K1093" t="str">
        <f>IF($D1093="","",IFERROR(INDEX(Mapping!$H$3:$H$32,MATCH($B1093,Mapping!$G$3:$G$32,0)),IF(LEFT($F1093,3)="P2P",IFERROR(INDEX(Mapping!$E$3:$E$6,MATCH($G1093,Mapping!$D$3:$D$6,0)),IFERROR(INDEX(Mapping!$B$3:$B$13,MATCH($J1093,Mapping!$A$3:$A$13,0)),"(unmapped)")),IFERROR(INDEX(Mapping!$B$17:$B$22,MATCH($F1093,Mapping!$A$17:$A$22,0)),$F1093)&amp;" "&amp;IF($G1093="Banking","Banking",IFERROR(INDEX(Mapping!$E$17:$E$28,MATCH($J1093,Mapping!$D$17:$D$28,0)),"(unmapped)")))))</f>
        <v/>
      </c>
    </row>
    <row r="1094" spans="11:11" x14ac:dyDescent="0.3">
      <c r="K1094" t="str">
        <f>IF($D1094="","",IFERROR(INDEX(Mapping!$H$3:$H$32,MATCH($B1094,Mapping!$G$3:$G$32,0)),IF(LEFT($F1094,3)="P2P",IFERROR(INDEX(Mapping!$E$3:$E$6,MATCH($G1094,Mapping!$D$3:$D$6,0)),IFERROR(INDEX(Mapping!$B$3:$B$13,MATCH($J1094,Mapping!$A$3:$A$13,0)),"(unmapped)")),IFERROR(INDEX(Mapping!$B$17:$B$22,MATCH($F1094,Mapping!$A$17:$A$22,0)),$F1094)&amp;" "&amp;IF($G1094="Banking","Banking",IFERROR(INDEX(Mapping!$E$17:$E$28,MATCH($J1094,Mapping!$D$17:$D$28,0)),"(unmapped)")))))</f>
        <v/>
      </c>
    </row>
    <row r="1095" spans="11:11" x14ac:dyDescent="0.3">
      <c r="K1095" t="str">
        <f>IF($D1095="","",IFERROR(INDEX(Mapping!$H$3:$H$32,MATCH($B1095,Mapping!$G$3:$G$32,0)),IF(LEFT($F1095,3)="P2P",IFERROR(INDEX(Mapping!$E$3:$E$6,MATCH($G1095,Mapping!$D$3:$D$6,0)),IFERROR(INDEX(Mapping!$B$3:$B$13,MATCH($J1095,Mapping!$A$3:$A$13,0)),"(unmapped)")),IFERROR(INDEX(Mapping!$B$17:$B$22,MATCH($F1095,Mapping!$A$17:$A$22,0)),$F1095)&amp;" "&amp;IF($G1095="Banking","Banking",IFERROR(INDEX(Mapping!$E$17:$E$28,MATCH($J1095,Mapping!$D$17:$D$28,0)),"(unmapped)")))))</f>
        <v/>
      </c>
    </row>
    <row r="1096" spans="11:11" x14ac:dyDescent="0.3">
      <c r="K1096" t="str">
        <f>IF($D1096="","",IFERROR(INDEX(Mapping!$H$3:$H$32,MATCH($B1096,Mapping!$G$3:$G$32,0)),IF(LEFT($F1096,3)="P2P",IFERROR(INDEX(Mapping!$E$3:$E$6,MATCH($G1096,Mapping!$D$3:$D$6,0)),IFERROR(INDEX(Mapping!$B$3:$B$13,MATCH($J1096,Mapping!$A$3:$A$13,0)),"(unmapped)")),IFERROR(INDEX(Mapping!$B$17:$B$22,MATCH($F1096,Mapping!$A$17:$A$22,0)),$F1096)&amp;" "&amp;IF($G1096="Banking","Banking",IFERROR(INDEX(Mapping!$E$17:$E$28,MATCH($J1096,Mapping!$D$17:$D$28,0)),"(unmapped)")))))</f>
        <v/>
      </c>
    </row>
    <row r="1097" spans="11:11" x14ac:dyDescent="0.3">
      <c r="K1097" t="str">
        <f>IF($D1097="","",IFERROR(INDEX(Mapping!$H$3:$H$32,MATCH($B1097,Mapping!$G$3:$G$32,0)),IF(LEFT($F1097,3)="P2P",IFERROR(INDEX(Mapping!$E$3:$E$6,MATCH($G1097,Mapping!$D$3:$D$6,0)),IFERROR(INDEX(Mapping!$B$3:$B$13,MATCH($J1097,Mapping!$A$3:$A$13,0)),"(unmapped)")),IFERROR(INDEX(Mapping!$B$17:$B$22,MATCH($F1097,Mapping!$A$17:$A$22,0)),$F1097)&amp;" "&amp;IF($G1097="Banking","Banking",IFERROR(INDEX(Mapping!$E$17:$E$28,MATCH($J1097,Mapping!$D$17:$D$28,0)),"(unmapped)")))))</f>
        <v/>
      </c>
    </row>
    <row r="1098" spans="11:11" x14ac:dyDescent="0.3">
      <c r="K1098" t="str">
        <f>IF($D1098="","",IFERROR(INDEX(Mapping!$H$3:$H$32,MATCH($B1098,Mapping!$G$3:$G$32,0)),IF(LEFT($F1098,3)="P2P",IFERROR(INDEX(Mapping!$E$3:$E$6,MATCH($G1098,Mapping!$D$3:$D$6,0)),IFERROR(INDEX(Mapping!$B$3:$B$13,MATCH($J1098,Mapping!$A$3:$A$13,0)),"(unmapped)")),IFERROR(INDEX(Mapping!$B$17:$B$22,MATCH($F1098,Mapping!$A$17:$A$22,0)),$F1098)&amp;" "&amp;IF($G1098="Banking","Banking",IFERROR(INDEX(Mapping!$E$17:$E$28,MATCH($J1098,Mapping!$D$17:$D$28,0)),"(unmapped)")))))</f>
        <v/>
      </c>
    </row>
    <row r="1099" spans="11:11" x14ac:dyDescent="0.3">
      <c r="K1099" t="str">
        <f>IF($D1099="","",IFERROR(INDEX(Mapping!$H$3:$H$32,MATCH($B1099,Mapping!$G$3:$G$32,0)),IF(LEFT($F1099,3)="P2P",IFERROR(INDEX(Mapping!$E$3:$E$6,MATCH($G1099,Mapping!$D$3:$D$6,0)),IFERROR(INDEX(Mapping!$B$3:$B$13,MATCH($J1099,Mapping!$A$3:$A$13,0)),"(unmapped)")),IFERROR(INDEX(Mapping!$B$17:$B$22,MATCH($F1099,Mapping!$A$17:$A$22,0)),$F1099)&amp;" "&amp;IF($G1099="Banking","Banking",IFERROR(INDEX(Mapping!$E$17:$E$28,MATCH($J1099,Mapping!$D$17:$D$28,0)),"(unmapped)")))))</f>
        <v/>
      </c>
    </row>
    <row r="1100" spans="11:11" x14ac:dyDescent="0.3">
      <c r="K1100" t="str">
        <f>IF($D1100="","",IFERROR(INDEX(Mapping!$H$3:$H$32,MATCH($B1100,Mapping!$G$3:$G$32,0)),IF(LEFT($F1100,3)="P2P",IFERROR(INDEX(Mapping!$E$3:$E$6,MATCH($G1100,Mapping!$D$3:$D$6,0)),IFERROR(INDEX(Mapping!$B$3:$B$13,MATCH($J1100,Mapping!$A$3:$A$13,0)),"(unmapped)")),IFERROR(INDEX(Mapping!$B$17:$B$22,MATCH($F1100,Mapping!$A$17:$A$22,0)),$F1100)&amp;" "&amp;IF($G1100="Banking","Banking",IFERROR(INDEX(Mapping!$E$17:$E$28,MATCH($J1100,Mapping!$D$17:$D$28,0)),"(unmapped)")))))</f>
        <v/>
      </c>
    </row>
    <row r="1101" spans="11:11" x14ac:dyDescent="0.3">
      <c r="K1101" t="str">
        <f>IF($D1101="","",IFERROR(INDEX(Mapping!$H$3:$H$32,MATCH($B1101,Mapping!$G$3:$G$32,0)),IF(LEFT($F1101,3)="P2P",IFERROR(INDEX(Mapping!$E$3:$E$6,MATCH($G1101,Mapping!$D$3:$D$6,0)),IFERROR(INDEX(Mapping!$B$3:$B$13,MATCH($J1101,Mapping!$A$3:$A$13,0)),"(unmapped)")),IFERROR(INDEX(Mapping!$B$17:$B$22,MATCH($F1101,Mapping!$A$17:$A$22,0)),$F1101)&amp;" "&amp;IF($G1101="Banking","Banking",IFERROR(INDEX(Mapping!$E$17:$E$28,MATCH($J1101,Mapping!$D$17:$D$28,0)),"(unmapped)")))))</f>
        <v/>
      </c>
    </row>
    <row r="1102" spans="11:11" x14ac:dyDescent="0.3">
      <c r="K1102" t="str">
        <f>IF($D1102="","",IFERROR(INDEX(Mapping!$H$3:$H$32,MATCH($B1102,Mapping!$G$3:$G$32,0)),IF(LEFT($F1102,3)="P2P",IFERROR(INDEX(Mapping!$E$3:$E$6,MATCH($G1102,Mapping!$D$3:$D$6,0)),IFERROR(INDEX(Mapping!$B$3:$B$13,MATCH($J1102,Mapping!$A$3:$A$13,0)),"(unmapped)")),IFERROR(INDEX(Mapping!$B$17:$B$22,MATCH($F1102,Mapping!$A$17:$A$22,0)),$F1102)&amp;" "&amp;IF($G1102="Banking","Banking",IFERROR(INDEX(Mapping!$E$17:$E$28,MATCH($J1102,Mapping!$D$17:$D$28,0)),"(unmapped)")))))</f>
        <v/>
      </c>
    </row>
    <row r="1103" spans="11:11" x14ac:dyDescent="0.3">
      <c r="K1103" t="str">
        <f>IF($D1103="","",IFERROR(INDEX(Mapping!$H$3:$H$32,MATCH($B1103,Mapping!$G$3:$G$32,0)),IF(LEFT($F1103,3)="P2P",IFERROR(INDEX(Mapping!$E$3:$E$6,MATCH($G1103,Mapping!$D$3:$D$6,0)),IFERROR(INDEX(Mapping!$B$3:$B$13,MATCH($J1103,Mapping!$A$3:$A$13,0)),"(unmapped)")),IFERROR(INDEX(Mapping!$B$17:$B$22,MATCH($F1103,Mapping!$A$17:$A$22,0)),$F1103)&amp;" "&amp;IF($G1103="Banking","Banking",IFERROR(INDEX(Mapping!$E$17:$E$28,MATCH($J1103,Mapping!$D$17:$D$28,0)),"(unmapped)")))))</f>
        <v/>
      </c>
    </row>
    <row r="1104" spans="11:11" x14ac:dyDescent="0.3">
      <c r="K1104" t="str">
        <f>IF($D1104="","",IFERROR(INDEX(Mapping!$H$3:$H$32,MATCH($B1104,Mapping!$G$3:$G$32,0)),IF(LEFT($F1104,3)="P2P",IFERROR(INDEX(Mapping!$E$3:$E$6,MATCH($G1104,Mapping!$D$3:$D$6,0)),IFERROR(INDEX(Mapping!$B$3:$B$13,MATCH($J1104,Mapping!$A$3:$A$13,0)),"(unmapped)")),IFERROR(INDEX(Mapping!$B$17:$B$22,MATCH($F1104,Mapping!$A$17:$A$22,0)),$F1104)&amp;" "&amp;IF($G1104="Banking","Banking",IFERROR(INDEX(Mapping!$E$17:$E$28,MATCH($J1104,Mapping!$D$17:$D$28,0)),"(unmapped)")))))</f>
        <v/>
      </c>
    </row>
    <row r="1105" spans="11:11" x14ac:dyDescent="0.3">
      <c r="K1105" t="str">
        <f>IF($D1105="","",IFERROR(INDEX(Mapping!$H$3:$H$32,MATCH($B1105,Mapping!$G$3:$G$32,0)),IF(LEFT($F1105,3)="P2P",IFERROR(INDEX(Mapping!$E$3:$E$6,MATCH($G1105,Mapping!$D$3:$D$6,0)),IFERROR(INDEX(Mapping!$B$3:$B$13,MATCH($J1105,Mapping!$A$3:$A$13,0)),"(unmapped)")),IFERROR(INDEX(Mapping!$B$17:$B$22,MATCH($F1105,Mapping!$A$17:$A$22,0)),$F1105)&amp;" "&amp;IF($G1105="Banking","Banking",IFERROR(INDEX(Mapping!$E$17:$E$28,MATCH($J1105,Mapping!$D$17:$D$28,0)),"(unmapped)")))))</f>
        <v/>
      </c>
    </row>
    <row r="1106" spans="11:11" x14ac:dyDescent="0.3">
      <c r="K1106" t="str">
        <f>IF($D1106="","",IFERROR(INDEX(Mapping!$H$3:$H$32,MATCH($B1106,Mapping!$G$3:$G$32,0)),IF(LEFT($F1106,3)="P2P",IFERROR(INDEX(Mapping!$E$3:$E$6,MATCH($G1106,Mapping!$D$3:$D$6,0)),IFERROR(INDEX(Mapping!$B$3:$B$13,MATCH($J1106,Mapping!$A$3:$A$13,0)),"(unmapped)")),IFERROR(INDEX(Mapping!$B$17:$B$22,MATCH($F1106,Mapping!$A$17:$A$22,0)),$F1106)&amp;" "&amp;IF($G1106="Banking","Banking",IFERROR(INDEX(Mapping!$E$17:$E$28,MATCH($J1106,Mapping!$D$17:$D$28,0)),"(unmapped)")))))</f>
        <v/>
      </c>
    </row>
    <row r="1107" spans="11:11" x14ac:dyDescent="0.3">
      <c r="K1107" t="str">
        <f>IF($D1107="","",IFERROR(INDEX(Mapping!$H$3:$H$32,MATCH($B1107,Mapping!$G$3:$G$32,0)),IF(LEFT($F1107,3)="P2P",IFERROR(INDEX(Mapping!$E$3:$E$6,MATCH($G1107,Mapping!$D$3:$D$6,0)),IFERROR(INDEX(Mapping!$B$3:$B$13,MATCH($J1107,Mapping!$A$3:$A$13,0)),"(unmapped)")),IFERROR(INDEX(Mapping!$B$17:$B$22,MATCH($F1107,Mapping!$A$17:$A$22,0)),$F1107)&amp;" "&amp;IF($G1107="Banking","Banking",IFERROR(INDEX(Mapping!$E$17:$E$28,MATCH($J1107,Mapping!$D$17:$D$28,0)),"(unmapped)")))))</f>
        <v/>
      </c>
    </row>
    <row r="1108" spans="11:11" x14ac:dyDescent="0.3">
      <c r="K1108" t="str">
        <f>IF($D1108="","",IFERROR(INDEX(Mapping!$H$3:$H$32,MATCH($B1108,Mapping!$G$3:$G$32,0)),IF(LEFT($F1108,3)="P2P",IFERROR(INDEX(Mapping!$E$3:$E$6,MATCH($G1108,Mapping!$D$3:$D$6,0)),IFERROR(INDEX(Mapping!$B$3:$B$13,MATCH($J1108,Mapping!$A$3:$A$13,0)),"(unmapped)")),IFERROR(INDEX(Mapping!$B$17:$B$22,MATCH($F1108,Mapping!$A$17:$A$22,0)),$F1108)&amp;" "&amp;IF($G1108="Banking","Banking",IFERROR(INDEX(Mapping!$E$17:$E$28,MATCH($J1108,Mapping!$D$17:$D$28,0)),"(unmapped)")))))</f>
        <v/>
      </c>
    </row>
    <row r="1109" spans="11:11" x14ac:dyDescent="0.3">
      <c r="K1109" t="str">
        <f>IF($D1109="","",IFERROR(INDEX(Mapping!$H$3:$H$32,MATCH($B1109,Mapping!$G$3:$G$32,0)),IF(LEFT($F1109,3)="P2P",IFERROR(INDEX(Mapping!$E$3:$E$6,MATCH($G1109,Mapping!$D$3:$D$6,0)),IFERROR(INDEX(Mapping!$B$3:$B$13,MATCH($J1109,Mapping!$A$3:$A$13,0)),"(unmapped)")),IFERROR(INDEX(Mapping!$B$17:$B$22,MATCH($F1109,Mapping!$A$17:$A$22,0)),$F1109)&amp;" "&amp;IF($G1109="Banking","Banking",IFERROR(INDEX(Mapping!$E$17:$E$28,MATCH($J1109,Mapping!$D$17:$D$28,0)),"(unmapped)")))))</f>
        <v/>
      </c>
    </row>
    <row r="1110" spans="11:11" x14ac:dyDescent="0.3">
      <c r="K1110" t="str">
        <f>IF($D1110="","",IFERROR(INDEX(Mapping!$H$3:$H$32,MATCH($B1110,Mapping!$G$3:$G$32,0)),IF(LEFT($F1110,3)="P2P",IFERROR(INDEX(Mapping!$E$3:$E$6,MATCH($G1110,Mapping!$D$3:$D$6,0)),IFERROR(INDEX(Mapping!$B$3:$B$13,MATCH($J1110,Mapping!$A$3:$A$13,0)),"(unmapped)")),IFERROR(INDEX(Mapping!$B$17:$B$22,MATCH($F1110,Mapping!$A$17:$A$22,0)),$F1110)&amp;" "&amp;IF($G1110="Banking","Banking",IFERROR(INDEX(Mapping!$E$17:$E$28,MATCH($J1110,Mapping!$D$17:$D$28,0)),"(unmapped)")))))</f>
        <v/>
      </c>
    </row>
    <row r="1111" spans="11:11" x14ac:dyDescent="0.3">
      <c r="K1111" t="str">
        <f>IF($D1111="","",IFERROR(INDEX(Mapping!$H$3:$H$32,MATCH($B1111,Mapping!$G$3:$G$32,0)),IF(LEFT($F1111,3)="P2P",IFERROR(INDEX(Mapping!$E$3:$E$6,MATCH($G1111,Mapping!$D$3:$D$6,0)),IFERROR(INDEX(Mapping!$B$3:$B$13,MATCH($J1111,Mapping!$A$3:$A$13,0)),"(unmapped)")),IFERROR(INDEX(Mapping!$B$17:$B$22,MATCH($F1111,Mapping!$A$17:$A$22,0)),$F1111)&amp;" "&amp;IF($G1111="Banking","Banking",IFERROR(INDEX(Mapping!$E$17:$E$28,MATCH($J1111,Mapping!$D$17:$D$28,0)),"(unmapped)")))))</f>
        <v/>
      </c>
    </row>
    <row r="1112" spans="11:11" x14ac:dyDescent="0.3">
      <c r="K1112" t="str">
        <f>IF($D1112="","",IFERROR(INDEX(Mapping!$H$3:$H$32,MATCH($B1112,Mapping!$G$3:$G$32,0)),IF(LEFT($F1112,3)="P2P",IFERROR(INDEX(Mapping!$E$3:$E$6,MATCH($G1112,Mapping!$D$3:$D$6,0)),IFERROR(INDEX(Mapping!$B$3:$B$13,MATCH($J1112,Mapping!$A$3:$A$13,0)),"(unmapped)")),IFERROR(INDEX(Mapping!$B$17:$B$22,MATCH($F1112,Mapping!$A$17:$A$22,0)),$F1112)&amp;" "&amp;IF($G1112="Banking","Banking",IFERROR(INDEX(Mapping!$E$17:$E$28,MATCH($J1112,Mapping!$D$17:$D$28,0)),"(unmapped)")))))</f>
        <v/>
      </c>
    </row>
    <row r="1113" spans="11:11" x14ac:dyDescent="0.3">
      <c r="K1113" t="str">
        <f>IF($D1113="","",IFERROR(INDEX(Mapping!$H$3:$H$32,MATCH($B1113,Mapping!$G$3:$G$32,0)),IF(LEFT($F1113,3)="P2P",IFERROR(INDEX(Mapping!$E$3:$E$6,MATCH($G1113,Mapping!$D$3:$D$6,0)),IFERROR(INDEX(Mapping!$B$3:$B$13,MATCH($J1113,Mapping!$A$3:$A$13,0)),"(unmapped)")),IFERROR(INDEX(Mapping!$B$17:$B$22,MATCH($F1113,Mapping!$A$17:$A$22,0)),$F1113)&amp;" "&amp;IF($G1113="Banking","Banking",IFERROR(INDEX(Mapping!$E$17:$E$28,MATCH($J1113,Mapping!$D$17:$D$28,0)),"(unmapped)")))))</f>
        <v/>
      </c>
    </row>
    <row r="1114" spans="11:11" x14ac:dyDescent="0.3">
      <c r="K1114" t="str">
        <f>IF($D1114="","",IFERROR(INDEX(Mapping!$H$3:$H$32,MATCH($B1114,Mapping!$G$3:$G$32,0)),IF(LEFT($F1114,3)="P2P",IFERROR(INDEX(Mapping!$E$3:$E$6,MATCH($G1114,Mapping!$D$3:$D$6,0)),IFERROR(INDEX(Mapping!$B$3:$B$13,MATCH($J1114,Mapping!$A$3:$A$13,0)),"(unmapped)")),IFERROR(INDEX(Mapping!$B$17:$B$22,MATCH($F1114,Mapping!$A$17:$A$22,0)),$F1114)&amp;" "&amp;IF($G1114="Banking","Banking",IFERROR(INDEX(Mapping!$E$17:$E$28,MATCH($J1114,Mapping!$D$17:$D$28,0)),"(unmapped)")))))</f>
        <v/>
      </c>
    </row>
    <row r="1115" spans="11:11" x14ac:dyDescent="0.3">
      <c r="K1115" t="str">
        <f>IF($D1115="","",IFERROR(INDEX(Mapping!$H$3:$H$32,MATCH($B1115,Mapping!$G$3:$G$32,0)),IF(LEFT($F1115,3)="P2P",IFERROR(INDEX(Mapping!$E$3:$E$6,MATCH($G1115,Mapping!$D$3:$D$6,0)),IFERROR(INDEX(Mapping!$B$3:$B$13,MATCH($J1115,Mapping!$A$3:$A$13,0)),"(unmapped)")),IFERROR(INDEX(Mapping!$B$17:$B$22,MATCH($F1115,Mapping!$A$17:$A$22,0)),$F1115)&amp;" "&amp;IF($G1115="Banking","Banking",IFERROR(INDEX(Mapping!$E$17:$E$28,MATCH($J1115,Mapping!$D$17:$D$28,0)),"(unmapped)")))))</f>
        <v/>
      </c>
    </row>
    <row r="1116" spans="11:11" x14ac:dyDescent="0.3">
      <c r="K1116" t="str">
        <f>IF($D1116="","",IFERROR(INDEX(Mapping!$H$3:$H$32,MATCH($B1116,Mapping!$G$3:$G$32,0)),IF(LEFT($F1116,3)="P2P",IFERROR(INDEX(Mapping!$E$3:$E$6,MATCH($G1116,Mapping!$D$3:$D$6,0)),IFERROR(INDEX(Mapping!$B$3:$B$13,MATCH($J1116,Mapping!$A$3:$A$13,0)),"(unmapped)")),IFERROR(INDEX(Mapping!$B$17:$B$22,MATCH($F1116,Mapping!$A$17:$A$22,0)),$F1116)&amp;" "&amp;IF($G1116="Banking","Banking",IFERROR(INDEX(Mapping!$E$17:$E$28,MATCH($J1116,Mapping!$D$17:$D$28,0)),"(unmapped)")))))</f>
        <v/>
      </c>
    </row>
    <row r="1117" spans="11:11" x14ac:dyDescent="0.3">
      <c r="K1117" t="str">
        <f>IF($D1117="","",IFERROR(INDEX(Mapping!$H$3:$H$32,MATCH($B1117,Mapping!$G$3:$G$32,0)),IF(LEFT($F1117,3)="P2P",IFERROR(INDEX(Mapping!$E$3:$E$6,MATCH($G1117,Mapping!$D$3:$D$6,0)),IFERROR(INDEX(Mapping!$B$3:$B$13,MATCH($J1117,Mapping!$A$3:$A$13,0)),"(unmapped)")),IFERROR(INDEX(Mapping!$B$17:$B$22,MATCH($F1117,Mapping!$A$17:$A$22,0)),$F1117)&amp;" "&amp;IF($G1117="Banking","Banking",IFERROR(INDEX(Mapping!$E$17:$E$28,MATCH($J1117,Mapping!$D$17:$D$28,0)),"(unmapped)")))))</f>
        <v/>
      </c>
    </row>
    <row r="1118" spans="11:11" x14ac:dyDescent="0.3">
      <c r="K1118" t="str">
        <f>IF($D1118="","",IFERROR(INDEX(Mapping!$H$3:$H$32,MATCH($B1118,Mapping!$G$3:$G$32,0)),IF(LEFT($F1118,3)="P2P",IFERROR(INDEX(Mapping!$E$3:$E$6,MATCH($G1118,Mapping!$D$3:$D$6,0)),IFERROR(INDEX(Mapping!$B$3:$B$13,MATCH($J1118,Mapping!$A$3:$A$13,0)),"(unmapped)")),IFERROR(INDEX(Mapping!$B$17:$B$22,MATCH($F1118,Mapping!$A$17:$A$22,0)),$F1118)&amp;" "&amp;IF($G1118="Banking","Banking",IFERROR(INDEX(Mapping!$E$17:$E$28,MATCH($J1118,Mapping!$D$17:$D$28,0)),"(unmapped)")))))</f>
        <v/>
      </c>
    </row>
    <row r="1119" spans="11:11" x14ac:dyDescent="0.3">
      <c r="K1119" t="str">
        <f>IF($D1119="","",IFERROR(INDEX(Mapping!$H$3:$H$32,MATCH($B1119,Mapping!$G$3:$G$32,0)),IF(LEFT($F1119,3)="P2P",IFERROR(INDEX(Mapping!$E$3:$E$6,MATCH($G1119,Mapping!$D$3:$D$6,0)),IFERROR(INDEX(Mapping!$B$3:$B$13,MATCH($J1119,Mapping!$A$3:$A$13,0)),"(unmapped)")),IFERROR(INDEX(Mapping!$B$17:$B$22,MATCH($F1119,Mapping!$A$17:$A$22,0)),$F1119)&amp;" "&amp;IF($G1119="Banking","Banking",IFERROR(INDEX(Mapping!$E$17:$E$28,MATCH($J1119,Mapping!$D$17:$D$28,0)),"(unmapped)")))))</f>
        <v/>
      </c>
    </row>
    <row r="1120" spans="11:11" x14ac:dyDescent="0.3">
      <c r="K1120" t="str">
        <f>IF($D1120="","",IFERROR(INDEX(Mapping!$H$3:$H$32,MATCH($B1120,Mapping!$G$3:$G$32,0)),IF(LEFT($F1120,3)="P2P",IFERROR(INDEX(Mapping!$E$3:$E$6,MATCH($G1120,Mapping!$D$3:$D$6,0)),IFERROR(INDEX(Mapping!$B$3:$B$13,MATCH($J1120,Mapping!$A$3:$A$13,0)),"(unmapped)")),IFERROR(INDEX(Mapping!$B$17:$B$22,MATCH($F1120,Mapping!$A$17:$A$22,0)),$F1120)&amp;" "&amp;IF($G1120="Banking","Banking",IFERROR(INDEX(Mapping!$E$17:$E$28,MATCH($J1120,Mapping!$D$17:$D$28,0)),"(unmapped)")))))</f>
        <v/>
      </c>
    </row>
    <row r="1121" spans="11:11" x14ac:dyDescent="0.3">
      <c r="K1121" t="str">
        <f>IF($D1121="","",IFERROR(INDEX(Mapping!$H$3:$H$32,MATCH($B1121,Mapping!$G$3:$G$32,0)),IF(LEFT($F1121,3)="P2P",IFERROR(INDEX(Mapping!$E$3:$E$6,MATCH($G1121,Mapping!$D$3:$D$6,0)),IFERROR(INDEX(Mapping!$B$3:$B$13,MATCH($J1121,Mapping!$A$3:$A$13,0)),"(unmapped)")),IFERROR(INDEX(Mapping!$B$17:$B$22,MATCH($F1121,Mapping!$A$17:$A$22,0)),$F1121)&amp;" "&amp;IF($G1121="Banking","Banking",IFERROR(INDEX(Mapping!$E$17:$E$28,MATCH($J1121,Mapping!$D$17:$D$28,0)),"(unmapped)")))))</f>
        <v/>
      </c>
    </row>
    <row r="1122" spans="11:11" x14ac:dyDescent="0.3">
      <c r="K1122" t="str">
        <f>IF($D1122="","",IFERROR(INDEX(Mapping!$H$3:$H$32,MATCH($B1122,Mapping!$G$3:$G$32,0)),IF(LEFT($F1122,3)="P2P",IFERROR(INDEX(Mapping!$E$3:$E$6,MATCH($G1122,Mapping!$D$3:$D$6,0)),IFERROR(INDEX(Mapping!$B$3:$B$13,MATCH($J1122,Mapping!$A$3:$A$13,0)),"(unmapped)")),IFERROR(INDEX(Mapping!$B$17:$B$22,MATCH($F1122,Mapping!$A$17:$A$22,0)),$F1122)&amp;" "&amp;IF($G1122="Banking","Banking",IFERROR(INDEX(Mapping!$E$17:$E$28,MATCH($J1122,Mapping!$D$17:$D$28,0)),"(unmapped)")))))</f>
        <v/>
      </c>
    </row>
    <row r="1123" spans="11:11" x14ac:dyDescent="0.3">
      <c r="K1123" t="str">
        <f>IF($D1123="","",IFERROR(INDEX(Mapping!$H$3:$H$32,MATCH($B1123,Mapping!$G$3:$G$32,0)),IF(LEFT($F1123,3)="P2P",IFERROR(INDEX(Mapping!$E$3:$E$6,MATCH($G1123,Mapping!$D$3:$D$6,0)),IFERROR(INDEX(Mapping!$B$3:$B$13,MATCH($J1123,Mapping!$A$3:$A$13,0)),"(unmapped)")),IFERROR(INDEX(Mapping!$B$17:$B$22,MATCH($F1123,Mapping!$A$17:$A$22,0)),$F1123)&amp;" "&amp;IF($G1123="Banking","Banking",IFERROR(INDEX(Mapping!$E$17:$E$28,MATCH($J1123,Mapping!$D$17:$D$28,0)),"(unmapped)")))))</f>
        <v/>
      </c>
    </row>
    <row r="1124" spans="11:11" x14ac:dyDescent="0.3">
      <c r="K1124" t="str">
        <f>IF($D1124="","",IFERROR(INDEX(Mapping!$H$3:$H$32,MATCH($B1124,Mapping!$G$3:$G$32,0)),IF(LEFT($F1124,3)="P2P",IFERROR(INDEX(Mapping!$E$3:$E$6,MATCH($G1124,Mapping!$D$3:$D$6,0)),IFERROR(INDEX(Mapping!$B$3:$B$13,MATCH($J1124,Mapping!$A$3:$A$13,0)),"(unmapped)")),IFERROR(INDEX(Mapping!$B$17:$B$22,MATCH($F1124,Mapping!$A$17:$A$22,0)),$F1124)&amp;" "&amp;IF($G1124="Banking","Banking",IFERROR(INDEX(Mapping!$E$17:$E$28,MATCH($J1124,Mapping!$D$17:$D$28,0)),"(unmapped)")))))</f>
        <v/>
      </c>
    </row>
    <row r="1125" spans="11:11" x14ac:dyDescent="0.3">
      <c r="K1125" t="str">
        <f>IF($D1125="","",IFERROR(INDEX(Mapping!$H$3:$H$32,MATCH($B1125,Mapping!$G$3:$G$32,0)),IF(LEFT($F1125,3)="P2P",IFERROR(INDEX(Mapping!$E$3:$E$6,MATCH($G1125,Mapping!$D$3:$D$6,0)),IFERROR(INDEX(Mapping!$B$3:$B$13,MATCH($J1125,Mapping!$A$3:$A$13,0)),"(unmapped)")),IFERROR(INDEX(Mapping!$B$17:$B$22,MATCH($F1125,Mapping!$A$17:$A$22,0)),$F1125)&amp;" "&amp;IF($G1125="Banking","Banking",IFERROR(INDEX(Mapping!$E$17:$E$28,MATCH($J1125,Mapping!$D$17:$D$28,0)),"(unmapped)")))))</f>
        <v/>
      </c>
    </row>
    <row r="1126" spans="11:11" x14ac:dyDescent="0.3">
      <c r="K1126" t="str">
        <f>IF($D1126="","",IFERROR(INDEX(Mapping!$H$3:$H$32,MATCH($B1126,Mapping!$G$3:$G$32,0)),IF(LEFT($F1126,3)="P2P",IFERROR(INDEX(Mapping!$E$3:$E$6,MATCH($G1126,Mapping!$D$3:$D$6,0)),IFERROR(INDEX(Mapping!$B$3:$B$13,MATCH($J1126,Mapping!$A$3:$A$13,0)),"(unmapped)")),IFERROR(INDEX(Mapping!$B$17:$B$22,MATCH($F1126,Mapping!$A$17:$A$22,0)),$F1126)&amp;" "&amp;IF($G1126="Banking","Banking",IFERROR(INDEX(Mapping!$E$17:$E$28,MATCH($J1126,Mapping!$D$17:$D$28,0)),"(unmapped)")))))</f>
        <v/>
      </c>
    </row>
    <row r="1127" spans="11:11" x14ac:dyDescent="0.3">
      <c r="K1127" t="str">
        <f>IF($D1127="","",IFERROR(INDEX(Mapping!$H$3:$H$32,MATCH($B1127,Mapping!$G$3:$G$32,0)),IF(LEFT($F1127,3)="P2P",IFERROR(INDEX(Mapping!$E$3:$E$6,MATCH($G1127,Mapping!$D$3:$D$6,0)),IFERROR(INDEX(Mapping!$B$3:$B$13,MATCH($J1127,Mapping!$A$3:$A$13,0)),"(unmapped)")),IFERROR(INDEX(Mapping!$B$17:$B$22,MATCH($F1127,Mapping!$A$17:$A$22,0)),$F1127)&amp;" "&amp;IF($G1127="Banking","Banking",IFERROR(INDEX(Mapping!$E$17:$E$28,MATCH($J1127,Mapping!$D$17:$D$28,0)),"(unmapped)")))))</f>
        <v/>
      </c>
    </row>
    <row r="1128" spans="11:11" x14ac:dyDescent="0.3">
      <c r="K1128" t="str">
        <f>IF($D1128="","",IFERROR(INDEX(Mapping!$H$3:$H$32,MATCH($B1128,Mapping!$G$3:$G$32,0)),IF(LEFT($F1128,3)="P2P",IFERROR(INDEX(Mapping!$E$3:$E$6,MATCH($G1128,Mapping!$D$3:$D$6,0)),IFERROR(INDEX(Mapping!$B$3:$B$13,MATCH($J1128,Mapping!$A$3:$A$13,0)),"(unmapped)")),IFERROR(INDEX(Mapping!$B$17:$B$22,MATCH($F1128,Mapping!$A$17:$A$22,0)),$F1128)&amp;" "&amp;IF($G1128="Banking","Banking",IFERROR(INDEX(Mapping!$E$17:$E$28,MATCH($J1128,Mapping!$D$17:$D$28,0)),"(unmapped)")))))</f>
        <v/>
      </c>
    </row>
    <row r="1129" spans="11:11" x14ac:dyDescent="0.3">
      <c r="K1129" t="str">
        <f>IF($D1129="","",IFERROR(INDEX(Mapping!$H$3:$H$32,MATCH($B1129,Mapping!$G$3:$G$32,0)),IF(LEFT($F1129,3)="P2P",IFERROR(INDEX(Mapping!$E$3:$E$6,MATCH($G1129,Mapping!$D$3:$D$6,0)),IFERROR(INDEX(Mapping!$B$3:$B$13,MATCH($J1129,Mapping!$A$3:$A$13,0)),"(unmapped)")),IFERROR(INDEX(Mapping!$B$17:$B$22,MATCH($F1129,Mapping!$A$17:$A$22,0)),$F1129)&amp;" "&amp;IF($G1129="Banking","Banking",IFERROR(INDEX(Mapping!$E$17:$E$28,MATCH($J1129,Mapping!$D$17:$D$28,0)),"(unmapped)")))))</f>
        <v/>
      </c>
    </row>
    <row r="1130" spans="11:11" x14ac:dyDescent="0.3">
      <c r="K1130" t="str">
        <f>IF($D1130="","",IFERROR(INDEX(Mapping!$H$3:$H$32,MATCH($B1130,Mapping!$G$3:$G$32,0)),IF(LEFT($F1130,3)="P2P",IFERROR(INDEX(Mapping!$E$3:$E$6,MATCH($G1130,Mapping!$D$3:$D$6,0)),IFERROR(INDEX(Mapping!$B$3:$B$13,MATCH($J1130,Mapping!$A$3:$A$13,0)),"(unmapped)")),IFERROR(INDEX(Mapping!$B$17:$B$22,MATCH($F1130,Mapping!$A$17:$A$22,0)),$F1130)&amp;" "&amp;IF($G1130="Banking","Banking",IFERROR(INDEX(Mapping!$E$17:$E$28,MATCH($J1130,Mapping!$D$17:$D$28,0)),"(unmapped)")))))</f>
        <v/>
      </c>
    </row>
    <row r="1131" spans="11:11" x14ac:dyDescent="0.3">
      <c r="K1131" t="str">
        <f>IF($D1131="","",IFERROR(INDEX(Mapping!$H$3:$H$32,MATCH($B1131,Mapping!$G$3:$G$32,0)),IF(LEFT($F1131,3)="P2P",IFERROR(INDEX(Mapping!$E$3:$E$6,MATCH($G1131,Mapping!$D$3:$D$6,0)),IFERROR(INDEX(Mapping!$B$3:$B$13,MATCH($J1131,Mapping!$A$3:$A$13,0)),"(unmapped)")),IFERROR(INDEX(Mapping!$B$17:$B$22,MATCH($F1131,Mapping!$A$17:$A$22,0)),$F1131)&amp;" "&amp;IF($G1131="Banking","Banking",IFERROR(INDEX(Mapping!$E$17:$E$28,MATCH($J1131,Mapping!$D$17:$D$28,0)),"(unmapped)")))))</f>
        <v/>
      </c>
    </row>
    <row r="1132" spans="11:11" x14ac:dyDescent="0.3">
      <c r="K1132" t="str">
        <f>IF($D1132="","",IFERROR(INDEX(Mapping!$H$3:$H$32,MATCH($B1132,Mapping!$G$3:$G$32,0)),IF(LEFT($F1132,3)="P2P",IFERROR(INDEX(Mapping!$E$3:$E$6,MATCH($G1132,Mapping!$D$3:$D$6,0)),IFERROR(INDEX(Mapping!$B$3:$B$13,MATCH($J1132,Mapping!$A$3:$A$13,0)),"(unmapped)")),IFERROR(INDEX(Mapping!$B$17:$B$22,MATCH($F1132,Mapping!$A$17:$A$22,0)),$F1132)&amp;" "&amp;IF($G1132="Banking","Banking",IFERROR(INDEX(Mapping!$E$17:$E$28,MATCH($J1132,Mapping!$D$17:$D$28,0)),"(unmapped)")))))</f>
        <v/>
      </c>
    </row>
    <row r="1133" spans="11:11" x14ac:dyDescent="0.3">
      <c r="K1133" t="str">
        <f>IF($D1133="","",IFERROR(INDEX(Mapping!$H$3:$H$32,MATCH($B1133,Mapping!$G$3:$G$32,0)),IF(LEFT($F1133,3)="P2P",IFERROR(INDEX(Mapping!$E$3:$E$6,MATCH($G1133,Mapping!$D$3:$D$6,0)),IFERROR(INDEX(Mapping!$B$3:$B$13,MATCH($J1133,Mapping!$A$3:$A$13,0)),"(unmapped)")),IFERROR(INDEX(Mapping!$B$17:$B$22,MATCH($F1133,Mapping!$A$17:$A$22,0)),$F1133)&amp;" "&amp;IF($G1133="Banking","Banking",IFERROR(INDEX(Mapping!$E$17:$E$28,MATCH($J1133,Mapping!$D$17:$D$28,0)),"(unmapped)")))))</f>
        <v/>
      </c>
    </row>
    <row r="1134" spans="11:11" x14ac:dyDescent="0.3">
      <c r="K1134" t="str">
        <f>IF($D1134="","",IFERROR(INDEX(Mapping!$H$3:$H$32,MATCH($B1134,Mapping!$G$3:$G$32,0)),IF(LEFT($F1134,3)="P2P",IFERROR(INDEX(Mapping!$E$3:$E$6,MATCH($G1134,Mapping!$D$3:$D$6,0)),IFERROR(INDEX(Mapping!$B$3:$B$13,MATCH($J1134,Mapping!$A$3:$A$13,0)),"(unmapped)")),IFERROR(INDEX(Mapping!$B$17:$B$22,MATCH($F1134,Mapping!$A$17:$A$22,0)),$F1134)&amp;" "&amp;IF($G1134="Banking","Banking",IFERROR(INDEX(Mapping!$E$17:$E$28,MATCH($J1134,Mapping!$D$17:$D$28,0)),"(unmapped)")))))</f>
        <v/>
      </c>
    </row>
    <row r="1135" spans="11:11" x14ac:dyDescent="0.3">
      <c r="K1135" t="str">
        <f>IF($D1135="","",IFERROR(INDEX(Mapping!$H$3:$H$32,MATCH($B1135,Mapping!$G$3:$G$32,0)),IF(LEFT($F1135,3)="P2P",IFERROR(INDEX(Mapping!$E$3:$E$6,MATCH($G1135,Mapping!$D$3:$D$6,0)),IFERROR(INDEX(Mapping!$B$3:$B$13,MATCH($J1135,Mapping!$A$3:$A$13,0)),"(unmapped)")),IFERROR(INDEX(Mapping!$B$17:$B$22,MATCH($F1135,Mapping!$A$17:$A$22,0)),$F1135)&amp;" "&amp;IF($G1135="Banking","Banking",IFERROR(INDEX(Mapping!$E$17:$E$28,MATCH($J1135,Mapping!$D$17:$D$28,0)),"(unmapped)")))))</f>
        <v/>
      </c>
    </row>
    <row r="1136" spans="11:11" x14ac:dyDescent="0.3">
      <c r="K1136" t="str">
        <f>IF($D1136="","",IFERROR(INDEX(Mapping!$H$3:$H$32,MATCH($B1136,Mapping!$G$3:$G$32,0)),IF(LEFT($F1136,3)="P2P",IFERROR(INDEX(Mapping!$E$3:$E$6,MATCH($G1136,Mapping!$D$3:$D$6,0)),IFERROR(INDEX(Mapping!$B$3:$B$13,MATCH($J1136,Mapping!$A$3:$A$13,0)),"(unmapped)")),IFERROR(INDEX(Mapping!$B$17:$B$22,MATCH($F1136,Mapping!$A$17:$A$22,0)),$F1136)&amp;" "&amp;IF($G1136="Banking","Banking",IFERROR(INDEX(Mapping!$E$17:$E$28,MATCH($J1136,Mapping!$D$17:$D$28,0)),"(unmapped)")))))</f>
        <v/>
      </c>
    </row>
    <row r="1137" spans="11:11" x14ac:dyDescent="0.3">
      <c r="K1137" t="str">
        <f>IF($D1137="","",IFERROR(INDEX(Mapping!$H$3:$H$32,MATCH($B1137,Mapping!$G$3:$G$32,0)),IF(LEFT($F1137,3)="P2P",IFERROR(INDEX(Mapping!$E$3:$E$6,MATCH($G1137,Mapping!$D$3:$D$6,0)),IFERROR(INDEX(Mapping!$B$3:$B$13,MATCH($J1137,Mapping!$A$3:$A$13,0)),"(unmapped)")),IFERROR(INDEX(Mapping!$B$17:$B$22,MATCH($F1137,Mapping!$A$17:$A$22,0)),$F1137)&amp;" "&amp;IF($G1137="Banking","Banking",IFERROR(INDEX(Mapping!$E$17:$E$28,MATCH($J1137,Mapping!$D$17:$D$28,0)),"(unmapped)")))))</f>
        <v/>
      </c>
    </row>
    <row r="1138" spans="11:11" x14ac:dyDescent="0.3">
      <c r="K1138" t="str">
        <f>IF($D1138="","",IFERROR(INDEX(Mapping!$H$3:$H$32,MATCH($B1138,Mapping!$G$3:$G$32,0)),IF(LEFT($F1138,3)="P2P",IFERROR(INDEX(Mapping!$E$3:$E$6,MATCH($G1138,Mapping!$D$3:$D$6,0)),IFERROR(INDEX(Mapping!$B$3:$B$13,MATCH($J1138,Mapping!$A$3:$A$13,0)),"(unmapped)")),IFERROR(INDEX(Mapping!$B$17:$B$22,MATCH($F1138,Mapping!$A$17:$A$22,0)),$F1138)&amp;" "&amp;IF($G1138="Banking","Banking",IFERROR(INDEX(Mapping!$E$17:$E$28,MATCH($J1138,Mapping!$D$17:$D$28,0)),"(unmapped)")))))</f>
        <v/>
      </c>
    </row>
    <row r="1139" spans="11:11" x14ac:dyDescent="0.3">
      <c r="K1139" t="str">
        <f>IF($D1139="","",IFERROR(INDEX(Mapping!$H$3:$H$32,MATCH($B1139,Mapping!$G$3:$G$32,0)),IF(LEFT($F1139,3)="P2P",IFERROR(INDEX(Mapping!$E$3:$E$6,MATCH($G1139,Mapping!$D$3:$D$6,0)),IFERROR(INDEX(Mapping!$B$3:$B$13,MATCH($J1139,Mapping!$A$3:$A$13,0)),"(unmapped)")),IFERROR(INDEX(Mapping!$B$17:$B$22,MATCH($F1139,Mapping!$A$17:$A$22,0)),$F1139)&amp;" "&amp;IF($G1139="Banking","Banking",IFERROR(INDEX(Mapping!$E$17:$E$28,MATCH($J1139,Mapping!$D$17:$D$28,0)),"(unmapped)")))))</f>
        <v/>
      </c>
    </row>
    <row r="1140" spans="11:11" x14ac:dyDescent="0.3">
      <c r="K1140" t="str">
        <f>IF($D1140="","",IFERROR(INDEX(Mapping!$H$3:$H$32,MATCH($B1140,Mapping!$G$3:$G$32,0)),IF(LEFT($F1140,3)="P2P",IFERROR(INDEX(Mapping!$E$3:$E$6,MATCH($G1140,Mapping!$D$3:$D$6,0)),IFERROR(INDEX(Mapping!$B$3:$B$13,MATCH($J1140,Mapping!$A$3:$A$13,0)),"(unmapped)")),IFERROR(INDEX(Mapping!$B$17:$B$22,MATCH($F1140,Mapping!$A$17:$A$22,0)),$F1140)&amp;" "&amp;IF($G1140="Banking","Banking",IFERROR(INDEX(Mapping!$E$17:$E$28,MATCH($J1140,Mapping!$D$17:$D$28,0)),"(unmapped)")))))</f>
        <v/>
      </c>
    </row>
    <row r="1141" spans="11:11" x14ac:dyDescent="0.3">
      <c r="K1141" t="str">
        <f>IF($D1141="","",IFERROR(INDEX(Mapping!$H$3:$H$32,MATCH($B1141,Mapping!$G$3:$G$32,0)),IF(LEFT($F1141,3)="P2P",IFERROR(INDEX(Mapping!$E$3:$E$6,MATCH($G1141,Mapping!$D$3:$D$6,0)),IFERROR(INDEX(Mapping!$B$3:$B$13,MATCH($J1141,Mapping!$A$3:$A$13,0)),"(unmapped)")),IFERROR(INDEX(Mapping!$B$17:$B$22,MATCH($F1141,Mapping!$A$17:$A$22,0)),$F1141)&amp;" "&amp;IF($G1141="Banking","Banking",IFERROR(INDEX(Mapping!$E$17:$E$28,MATCH($J1141,Mapping!$D$17:$D$28,0)),"(unmapped)")))))</f>
        <v/>
      </c>
    </row>
    <row r="1142" spans="11:11" x14ac:dyDescent="0.3">
      <c r="K1142" t="str">
        <f>IF($D1142="","",IFERROR(INDEX(Mapping!$H$3:$H$32,MATCH($B1142,Mapping!$G$3:$G$32,0)),IF(LEFT($F1142,3)="P2P",IFERROR(INDEX(Mapping!$E$3:$E$6,MATCH($G1142,Mapping!$D$3:$D$6,0)),IFERROR(INDEX(Mapping!$B$3:$B$13,MATCH($J1142,Mapping!$A$3:$A$13,0)),"(unmapped)")),IFERROR(INDEX(Mapping!$B$17:$B$22,MATCH($F1142,Mapping!$A$17:$A$22,0)),$F1142)&amp;" "&amp;IF($G1142="Banking","Banking",IFERROR(INDEX(Mapping!$E$17:$E$28,MATCH($J1142,Mapping!$D$17:$D$28,0)),"(unmapped)")))))</f>
        <v/>
      </c>
    </row>
    <row r="1143" spans="11:11" x14ac:dyDescent="0.3">
      <c r="K1143" t="str">
        <f>IF($D1143="","",IFERROR(INDEX(Mapping!$H$3:$H$32,MATCH($B1143,Mapping!$G$3:$G$32,0)),IF(LEFT($F1143,3)="P2P",IFERROR(INDEX(Mapping!$E$3:$E$6,MATCH($G1143,Mapping!$D$3:$D$6,0)),IFERROR(INDEX(Mapping!$B$3:$B$13,MATCH($J1143,Mapping!$A$3:$A$13,0)),"(unmapped)")),IFERROR(INDEX(Mapping!$B$17:$B$22,MATCH($F1143,Mapping!$A$17:$A$22,0)),$F1143)&amp;" "&amp;IF($G1143="Banking","Banking",IFERROR(INDEX(Mapping!$E$17:$E$28,MATCH($J1143,Mapping!$D$17:$D$28,0)),"(unmapped)")))))</f>
        <v/>
      </c>
    </row>
    <row r="1144" spans="11:11" x14ac:dyDescent="0.3">
      <c r="K1144" t="str">
        <f>IF($D1144="","",IFERROR(INDEX(Mapping!$H$3:$H$32,MATCH($B1144,Mapping!$G$3:$G$32,0)),IF(LEFT($F1144,3)="P2P",IFERROR(INDEX(Mapping!$E$3:$E$6,MATCH($G1144,Mapping!$D$3:$D$6,0)),IFERROR(INDEX(Mapping!$B$3:$B$13,MATCH($J1144,Mapping!$A$3:$A$13,0)),"(unmapped)")),IFERROR(INDEX(Mapping!$B$17:$B$22,MATCH($F1144,Mapping!$A$17:$A$22,0)),$F1144)&amp;" "&amp;IF($G1144="Banking","Banking",IFERROR(INDEX(Mapping!$E$17:$E$28,MATCH($J1144,Mapping!$D$17:$D$28,0)),"(unmapped)")))))</f>
        <v/>
      </c>
    </row>
    <row r="1145" spans="11:11" x14ac:dyDescent="0.3">
      <c r="K1145" t="str">
        <f>IF($D1145="","",IFERROR(INDEX(Mapping!$H$3:$H$32,MATCH($B1145,Mapping!$G$3:$G$32,0)),IF(LEFT($F1145,3)="P2P",IFERROR(INDEX(Mapping!$E$3:$E$6,MATCH($G1145,Mapping!$D$3:$D$6,0)),IFERROR(INDEX(Mapping!$B$3:$B$13,MATCH($J1145,Mapping!$A$3:$A$13,0)),"(unmapped)")),IFERROR(INDEX(Mapping!$B$17:$B$22,MATCH($F1145,Mapping!$A$17:$A$22,0)),$F1145)&amp;" "&amp;IF($G1145="Banking","Banking",IFERROR(INDEX(Mapping!$E$17:$E$28,MATCH($J1145,Mapping!$D$17:$D$28,0)),"(unmapped)")))))</f>
        <v/>
      </c>
    </row>
    <row r="1146" spans="11:11" x14ac:dyDescent="0.3">
      <c r="K1146" t="str">
        <f>IF($D1146="","",IFERROR(INDEX(Mapping!$H$3:$H$32,MATCH($B1146,Mapping!$G$3:$G$32,0)),IF(LEFT($F1146,3)="P2P",IFERROR(INDEX(Mapping!$E$3:$E$6,MATCH($G1146,Mapping!$D$3:$D$6,0)),IFERROR(INDEX(Mapping!$B$3:$B$13,MATCH($J1146,Mapping!$A$3:$A$13,0)),"(unmapped)")),IFERROR(INDEX(Mapping!$B$17:$B$22,MATCH($F1146,Mapping!$A$17:$A$22,0)),$F1146)&amp;" "&amp;IF($G1146="Banking","Banking",IFERROR(INDEX(Mapping!$E$17:$E$28,MATCH($J1146,Mapping!$D$17:$D$28,0)),"(unmapped)")))))</f>
        <v/>
      </c>
    </row>
    <row r="1147" spans="11:11" x14ac:dyDescent="0.3">
      <c r="K1147" t="str">
        <f>IF($D1147="","",IFERROR(INDEX(Mapping!$H$3:$H$32,MATCH($B1147,Mapping!$G$3:$G$32,0)),IF(LEFT($F1147,3)="P2P",IFERROR(INDEX(Mapping!$E$3:$E$6,MATCH($G1147,Mapping!$D$3:$D$6,0)),IFERROR(INDEX(Mapping!$B$3:$B$13,MATCH($J1147,Mapping!$A$3:$A$13,0)),"(unmapped)")),IFERROR(INDEX(Mapping!$B$17:$B$22,MATCH($F1147,Mapping!$A$17:$A$22,0)),$F1147)&amp;" "&amp;IF($G1147="Banking","Banking",IFERROR(INDEX(Mapping!$E$17:$E$28,MATCH($J1147,Mapping!$D$17:$D$28,0)),"(unmapped)")))))</f>
        <v/>
      </c>
    </row>
    <row r="1148" spans="11:11" x14ac:dyDescent="0.3">
      <c r="K1148" t="str">
        <f>IF($D1148="","",IFERROR(INDEX(Mapping!$H$3:$H$32,MATCH($B1148,Mapping!$G$3:$G$32,0)),IF(LEFT($F1148,3)="P2P",IFERROR(INDEX(Mapping!$E$3:$E$6,MATCH($G1148,Mapping!$D$3:$D$6,0)),IFERROR(INDEX(Mapping!$B$3:$B$13,MATCH($J1148,Mapping!$A$3:$A$13,0)),"(unmapped)")),IFERROR(INDEX(Mapping!$B$17:$B$22,MATCH($F1148,Mapping!$A$17:$A$22,0)),$F1148)&amp;" "&amp;IF($G1148="Banking","Banking",IFERROR(INDEX(Mapping!$E$17:$E$28,MATCH($J1148,Mapping!$D$17:$D$28,0)),"(unmapped)")))))</f>
        <v/>
      </c>
    </row>
    <row r="1149" spans="11:11" x14ac:dyDescent="0.3">
      <c r="K1149" t="str">
        <f>IF($D1149="","",IFERROR(INDEX(Mapping!$H$3:$H$32,MATCH($B1149,Mapping!$G$3:$G$32,0)),IF(LEFT($F1149,3)="P2P",IFERROR(INDEX(Mapping!$E$3:$E$6,MATCH($G1149,Mapping!$D$3:$D$6,0)),IFERROR(INDEX(Mapping!$B$3:$B$13,MATCH($J1149,Mapping!$A$3:$A$13,0)),"(unmapped)")),IFERROR(INDEX(Mapping!$B$17:$B$22,MATCH($F1149,Mapping!$A$17:$A$22,0)),$F1149)&amp;" "&amp;IF($G1149="Banking","Banking",IFERROR(INDEX(Mapping!$E$17:$E$28,MATCH($J1149,Mapping!$D$17:$D$28,0)),"(unmapped)")))))</f>
        <v/>
      </c>
    </row>
    <row r="1150" spans="11:11" x14ac:dyDescent="0.3">
      <c r="K1150" t="str">
        <f>IF($D1150="","",IFERROR(INDEX(Mapping!$H$3:$H$32,MATCH($B1150,Mapping!$G$3:$G$32,0)),IF(LEFT($F1150,3)="P2P",IFERROR(INDEX(Mapping!$E$3:$E$6,MATCH($G1150,Mapping!$D$3:$D$6,0)),IFERROR(INDEX(Mapping!$B$3:$B$13,MATCH($J1150,Mapping!$A$3:$A$13,0)),"(unmapped)")),IFERROR(INDEX(Mapping!$B$17:$B$22,MATCH($F1150,Mapping!$A$17:$A$22,0)),$F1150)&amp;" "&amp;IF($G1150="Banking","Banking",IFERROR(INDEX(Mapping!$E$17:$E$28,MATCH($J1150,Mapping!$D$17:$D$28,0)),"(unmapped)")))))</f>
        <v/>
      </c>
    </row>
    <row r="1151" spans="11:11" x14ac:dyDescent="0.3">
      <c r="K1151" t="str">
        <f>IF($D1151="","",IFERROR(INDEX(Mapping!$H$3:$H$32,MATCH($B1151,Mapping!$G$3:$G$32,0)),IF(LEFT($F1151,3)="P2P",IFERROR(INDEX(Mapping!$E$3:$E$6,MATCH($G1151,Mapping!$D$3:$D$6,0)),IFERROR(INDEX(Mapping!$B$3:$B$13,MATCH($J1151,Mapping!$A$3:$A$13,0)),"(unmapped)")),IFERROR(INDEX(Mapping!$B$17:$B$22,MATCH($F1151,Mapping!$A$17:$A$22,0)),$F1151)&amp;" "&amp;IF($G1151="Banking","Banking",IFERROR(INDEX(Mapping!$E$17:$E$28,MATCH($J1151,Mapping!$D$17:$D$28,0)),"(unmapped)")))))</f>
        <v/>
      </c>
    </row>
    <row r="1152" spans="11:11" x14ac:dyDescent="0.3">
      <c r="K1152" t="str">
        <f>IF($D1152="","",IFERROR(INDEX(Mapping!$H$3:$H$32,MATCH($B1152,Mapping!$G$3:$G$32,0)),IF(LEFT($F1152,3)="P2P",IFERROR(INDEX(Mapping!$E$3:$E$6,MATCH($G1152,Mapping!$D$3:$D$6,0)),IFERROR(INDEX(Mapping!$B$3:$B$13,MATCH($J1152,Mapping!$A$3:$A$13,0)),"(unmapped)")),IFERROR(INDEX(Mapping!$B$17:$B$22,MATCH($F1152,Mapping!$A$17:$A$22,0)),$F1152)&amp;" "&amp;IF($G1152="Banking","Banking",IFERROR(INDEX(Mapping!$E$17:$E$28,MATCH($J1152,Mapping!$D$17:$D$28,0)),"(unmapped)")))))</f>
        <v/>
      </c>
    </row>
    <row r="1153" spans="11:11" x14ac:dyDescent="0.3">
      <c r="K1153" t="str">
        <f>IF($D1153="","",IFERROR(INDEX(Mapping!$H$3:$H$32,MATCH($B1153,Mapping!$G$3:$G$32,0)),IF(LEFT($F1153,3)="P2P",IFERROR(INDEX(Mapping!$E$3:$E$6,MATCH($G1153,Mapping!$D$3:$D$6,0)),IFERROR(INDEX(Mapping!$B$3:$B$13,MATCH($J1153,Mapping!$A$3:$A$13,0)),"(unmapped)")),IFERROR(INDEX(Mapping!$B$17:$B$22,MATCH($F1153,Mapping!$A$17:$A$22,0)),$F1153)&amp;" "&amp;IF($G1153="Banking","Banking",IFERROR(INDEX(Mapping!$E$17:$E$28,MATCH($J1153,Mapping!$D$17:$D$28,0)),"(unmapped)")))))</f>
        <v/>
      </c>
    </row>
    <row r="1154" spans="11:11" x14ac:dyDescent="0.3">
      <c r="K1154" t="str">
        <f>IF($D1154="","",IFERROR(INDEX(Mapping!$H$3:$H$32,MATCH($B1154,Mapping!$G$3:$G$32,0)),IF(LEFT($F1154,3)="P2P",IFERROR(INDEX(Mapping!$E$3:$E$6,MATCH($G1154,Mapping!$D$3:$D$6,0)),IFERROR(INDEX(Mapping!$B$3:$B$13,MATCH($J1154,Mapping!$A$3:$A$13,0)),"(unmapped)")),IFERROR(INDEX(Mapping!$B$17:$B$22,MATCH($F1154,Mapping!$A$17:$A$22,0)),$F1154)&amp;" "&amp;IF($G1154="Banking","Banking",IFERROR(INDEX(Mapping!$E$17:$E$28,MATCH($J1154,Mapping!$D$17:$D$28,0)),"(unmapped)")))))</f>
        <v/>
      </c>
    </row>
    <row r="1155" spans="11:11" x14ac:dyDescent="0.3">
      <c r="K1155" t="str">
        <f>IF($D1155="","",IFERROR(INDEX(Mapping!$H$3:$H$32,MATCH($B1155,Mapping!$G$3:$G$32,0)),IF(LEFT($F1155,3)="P2P",IFERROR(INDEX(Mapping!$E$3:$E$6,MATCH($G1155,Mapping!$D$3:$D$6,0)),IFERROR(INDEX(Mapping!$B$3:$B$13,MATCH($J1155,Mapping!$A$3:$A$13,0)),"(unmapped)")),IFERROR(INDEX(Mapping!$B$17:$B$22,MATCH($F1155,Mapping!$A$17:$A$22,0)),$F1155)&amp;" "&amp;IF($G1155="Banking","Banking",IFERROR(INDEX(Mapping!$E$17:$E$28,MATCH($J1155,Mapping!$D$17:$D$28,0)),"(unmapped)")))))</f>
        <v/>
      </c>
    </row>
    <row r="1156" spans="11:11" x14ac:dyDescent="0.3">
      <c r="K1156" t="str">
        <f>IF($D1156="","",IFERROR(INDEX(Mapping!$H$3:$H$32,MATCH($B1156,Mapping!$G$3:$G$32,0)),IF(LEFT($F1156,3)="P2P",IFERROR(INDEX(Mapping!$E$3:$E$6,MATCH($G1156,Mapping!$D$3:$D$6,0)),IFERROR(INDEX(Mapping!$B$3:$B$13,MATCH($J1156,Mapping!$A$3:$A$13,0)),"(unmapped)")),IFERROR(INDEX(Mapping!$B$17:$B$22,MATCH($F1156,Mapping!$A$17:$A$22,0)),$F1156)&amp;" "&amp;IF($G1156="Banking","Banking",IFERROR(INDEX(Mapping!$E$17:$E$28,MATCH($J1156,Mapping!$D$17:$D$28,0)),"(unmapped)")))))</f>
        <v/>
      </c>
    </row>
    <row r="1157" spans="11:11" x14ac:dyDescent="0.3">
      <c r="K1157" t="str">
        <f>IF($D1157="","",IFERROR(INDEX(Mapping!$H$3:$H$32,MATCH($B1157,Mapping!$G$3:$G$32,0)),IF(LEFT($F1157,3)="P2P",IFERROR(INDEX(Mapping!$E$3:$E$6,MATCH($G1157,Mapping!$D$3:$D$6,0)),IFERROR(INDEX(Mapping!$B$3:$B$13,MATCH($J1157,Mapping!$A$3:$A$13,0)),"(unmapped)")),IFERROR(INDEX(Mapping!$B$17:$B$22,MATCH($F1157,Mapping!$A$17:$A$22,0)),$F1157)&amp;" "&amp;IF($G1157="Banking","Banking",IFERROR(INDEX(Mapping!$E$17:$E$28,MATCH($J1157,Mapping!$D$17:$D$28,0)),"(unmapped)")))))</f>
        <v/>
      </c>
    </row>
    <row r="1158" spans="11:11" x14ac:dyDescent="0.3">
      <c r="K1158" t="str">
        <f>IF($D1158="","",IFERROR(INDEX(Mapping!$H$3:$H$32,MATCH($B1158,Mapping!$G$3:$G$32,0)),IF(LEFT($F1158,3)="P2P",IFERROR(INDEX(Mapping!$E$3:$E$6,MATCH($G1158,Mapping!$D$3:$D$6,0)),IFERROR(INDEX(Mapping!$B$3:$B$13,MATCH($J1158,Mapping!$A$3:$A$13,0)),"(unmapped)")),IFERROR(INDEX(Mapping!$B$17:$B$22,MATCH($F1158,Mapping!$A$17:$A$22,0)),$F1158)&amp;" "&amp;IF($G1158="Banking","Banking",IFERROR(INDEX(Mapping!$E$17:$E$28,MATCH($J1158,Mapping!$D$17:$D$28,0)),"(unmapped)")))))</f>
        <v/>
      </c>
    </row>
    <row r="1159" spans="11:11" x14ac:dyDescent="0.3">
      <c r="K1159" t="str">
        <f>IF($D1159="","",IFERROR(INDEX(Mapping!$H$3:$H$32,MATCH($B1159,Mapping!$G$3:$G$32,0)),IF(LEFT($F1159,3)="P2P",IFERROR(INDEX(Mapping!$E$3:$E$6,MATCH($G1159,Mapping!$D$3:$D$6,0)),IFERROR(INDEX(Mapping!$B$3:$B$13,MATCH($J1159,Mapping!$A$3:$A$13,0)),"(unmapped)")),IFERROR(INDEX(Mapping!$B$17:$B$22,MATCH($F1159,Mapping!$A$17:$A$22,0)),$F1159)&amp;" "&amp;IF($G1159="Banking","Banking",IFERROR(INDEX(Mapping!$E$17:$E$28,MATCH($J1159,Mapping!$D$17:$D$28,0)),"(unmapped)")))))</f>
        <v/>
      </c>
    </row>
    <row r="1160" spans="11:11" x14ac:dyDescent="0.3">
      <c r="K1160" t="str">
        <f>IF($D1160="","",IFERROR(INDEX(Mapping!$H$3:$H$32,MATCH($B1160,Mapping!$G$3:$G$32,0)),IF(LEFT($F1160,3)="P2P",IFERROR(INDEX(Mapping!$E$3:$E$6,MATCH($G1160,Mapping!$D$3:$D$6,0)),IFERROR(INDEX(Mapping!$B$3:$B$13,MATCH($J1160,Mapping!$A$3:$A$13,0)),"(unmapped)")),IFERROR(INDEX(Mapping!$B$17:$B$22,MATCH($F1160,Mapping!$A$17:$A$22,0)),$F1160)&amp;" "&amp;IF($G1160="Banking","Banking",IFERROR(INDEX(Mapping!$E$17:$E$28,MATCH($J1160,Mapping!$D$17:$D$28,0)),"(unmapped)")))))</f>
        <v/>
      </c>
    </row>
    <row r="1161" spans="11:11" x14ac:dyDescent="0.3">
      <c r="K1161" t="str">
        <f>IF($D1161="","",IFERROR(INDEX(Mapping!$H$3:$H$32,MATCH($B1161,Mapping!$G$3:$G$32,0)),IF(LEFT($F1161,3)="P2P",IFERROR(INDEX(Mapping!$E$3:$E$6,MATCH($G1161,Mapping!$D$3:$D$6,0)),IFERROR(INDEX(Mapping!$B$3:$B$13,MATCH($J1161,Mapping!$A$3:$A$13,0)),"(unmapped)")),IFERROR(INDEX(Mapping!$B$17:$B$22,MATCH($F1161,Mapping!$A$17:$A$22,0)),$F1161)&amp;" "&amp;IF($G1161="Banking","Banking",IFERROR(INDEX(Mapping!$E$17:$E$28,MATCH($J1161,Mapping!$D$17:$D$28,0)),"(unmapped)")))))</f>
        <v/>
      </c>
    </row>
    <row r="1162" spans="11:11" x14ac:dyDescent="0.3">
      <c r="K1162" t="str">
        <f>IF($D1162="","",IFERROR(INDEX(Mapping!$H$3:$H$32,MATCH($B1162,Mapping!$G$3:$G$32,0)),IF(LEFT($F1162,3)="P2P",IFERROR(INDEX(Mapping!$E$3:$E$6,MATCH($G1162,Mapping!$D$3:$D$6,0)),IFERROR(INDEX(Mapping!$B$3:$B$13,MATCH($J1162,Mapping!$A$3:$A$13,0)),"(unmapped)")),IFERROR(INDEX(Mapping!$B$17:$B$22,MATCH($F1162,Mapping!$A$17:$A$22,0)),$F1162)&amp;" "&amp;IF($G1162="Banking","Banking",IFERROR(INDEX(Mapping!$E$17:$E$28,MATCH($J1162,Mapping!$D$17:$D$28,0)),"(unmapped)")))))</f>
        <v/>
      </c>
    </row>
    <row r="1163" spans="11:11" x14ac:dyDescent="0.3">
      <c r="K1163" t="str">
        <f>IF($D1163="","",IFERROR(INDEX(Mapping!$H$3:$H$32,MATCH($B1163,Mapping!$G$3:$G$32,0)),IF(LEFT($F1163,3)="P2P",IFERROR(INDEX(Mapping!$E$3:$E$6,MATCH($G1163,Mapping!$D$3:$D$6,0)),IFERROR(INDEX(Mapping!$B$3:$B$13,MATCH($J1163,Mapping!$A$3:$A$13,0)),"(unmapped)")),IFERROR(INDEX(Mapping!$B$17:$B$22,MATCH($F1163,Mapping!$A$17:$A$22,0)),$F1163)&amp;" "&amp;IF($G1163="Banking","Banking",IFERROR(INDEX(Mapping!$E$17:$E$28,MATCH($J1163,Mapping!$D$17:$D$28,0)),"(unmapped)")))))</f>
        <v/>
      </c>
    </row>
    <row r="1164" spans="11:11" x14ac:dyDescent="0.3">
      <c r="K1164" t="str">
        <f>IF($D1164="","",IFERROR(INDEX(Mapping!$H$3:$H$32,MATCH($B1164,Mapping!$G$3:$G$32,0)),IF(LEFT($F1164,3)="P2P",IFERROR(INDEX(Mapping!$E$3:$E$6,MATCH($G1164,Mapping!$D$3:$D$6,0)),IFERROR(INDEX(Mapping!$B$3:$B$13,MATCH($J1164,Mapping!$A$3:$A$13,0)),"(unmapped)")),IFERROR(INDEX(Mapping!$B$17:$B$22,MATCH($F1164,Mapping!$A$17:$A$22,0)),$F1164)&amp;" "&amp;IF($G1164="Banking","Banking",IFERROR(INDEX(Mapping!$E$17:$E$28,MATCH($J1164,Mapping!$D$17:$D$28,0)),"(unmapped)")))))</f>
        <v/>
      </c>
    </row>
    <row r="1165" spans="11:11" x14ac:dyDescent="0.3">
      <c r="K1165" t="str">
        <f>IF($D1165="","",IFERROR(INDEX(Mapping!$H$3:$H$32,MATCH($B1165,Mapping!$G$3:$G$32,0)),IF(LEFT($F1165,3)="P2P",IFERROR(INDEX(Mapping!$E$3:$E$6,MATCH($G1165,Mapping!$D$3:$D$6,0)),IFERROR(INDEX(Mapping!$B$3:$B$13,MATCH($J1165,Mapping!$A$3:$A$13,0)),"(unmapped)")),IFERROR(INDEX(Mapping!$B$17:$B$22,MATCH($F1165,Mapping!$A$17:$A$22,0)),$F1165)&amp;" "&amp;IF($G1165="Banking","Banking",IFERROR(INDEX(Mapping!$E$17:$E$28,MATCH($J1165,Mapping!$D$17:$D$28,0)),"(unmapped)")))))</f>
        <v/>
      </c>
    </row>
    <row r="1166" spans="11:11" x14ac:dyDescent="0.3">
      <c r="K1166" t="str">
        <f>IF($D1166="","",IFERROR(INDEX(Mapping!$H$3:$H$32,MATCH($B1166,Mapping!$G$3:$G$32,0)),IF(LEFT($F1166,3)="P2P",IFERROR(INDEX(Mapping!$E$3:$E$6,MATCH($G1166,Mapping!$D$3:$D$6,0)),IFERROR(INDEX(Mapping!$B$3:$B$13,MATCH($J1166,Mapping!$A$3:$A$13,0)),"(unmapped)")),IFERROR(INDEX(Mapping!$B$17:$B$22,MATCH($F1166,Mapping!$A$17:$A$22,0)),$F1166)&amp;" "&amp;IF($G1166="Banking","Banking",IFERROR(INDEX(Mapping!$E$17:$E$28,MATCH($J1166,Mapping!$D$17:$D$28,0)),"(unmapped)")))))</f>
        <v/>
      </c>
    </row>
    <row r="1167" spans="11:11" x14ac:dyDescent="0.3">
      <c r="K1167" t="str">
        <f>IF($D1167="","",IFERROR(INDEX(Mapping!$H$3:$H$32,MATCH($B1167,Mapping!$G$3:$G$32,0)),IF(LEFT($F1167,3)="P2P",IFERROR(INDEX(Mapping!$E$3:$E$6,MATCH($G1167,Mapping!$D$3:$D$6,0)),IFERROR(INDEX(Mapping!$B$3:$B$13,MATCH($J1167,Mapping!$A$3:$A$13,0)),"(unmapped)")),IFERROR(INDEX(Mapping!$B$17:$B$22,MATCH($F1167,Mapping!$A$17:$A$22,0)),$F1167)&amp;" "&amp;IF($G1167="Banking","Banking",IFERROR(INDEX(Mapping!$E$17:$E$28,MATCH($J1167,Mapping!$D$17:$D$28,0)),"(unmapped)")))))</f>
        <v/>
      </c>
    </row>
    <row r="1168" spans="11:11" x14ac:dyDescent="0.3">
      <c r="K1168" t="str">
        <f>IF($D1168="","",IFERROR(INDEX(Mapping!$H$3:$H$32,MATCH($B1168,Mapping!$G$3:$G$32,0)),IF(LEFT($F1168,3)="P2P",IFERROR(INDEX(Mapping!$E$3:$E$6,MATCH($G1168,Mapping!$D$3:$D$6,0)),IFERROR(INDEX(Mapping!$B$3:$B$13,MATCH($J1168,Mapping!$A$3:$A$13,0)),"(unmapped)")),IFERROR(INDEX(Mapping!$B$17:$B$22,MATCH($F1168,Mapping!$A$17:$A$22,0)),$F1168)&amp;" "&amp;IF($G1168="Banking","Banking",IFERROR(INDEX(Mapping!$E$17:$E$28,MATCH($J1168,Mapping!$D$17:$D$28,0)),"(unmapped)")))))</f>
        <v/>
      </c>
    </row>
    <row r="1169" spans="11:11" x14ac:dyDescent="0.3">
      <c r="K1169" t="str">
        <f>IF($D1169="","",IFERROR(INDEX(Mapping!$H$3:$H$32,MATCH($B1169,Mapping!$G$3:$G$32,0)),IF(LEFT($F1169,3)="P2P",IFERROR(INDEX(Mapping!$E$3:$E$6,MATCH($G1169,Mapping!$D$3:$D$6,0)),IFERROR(INDEX(Mapping!$B$3:$B$13,MATCH($J1169,Mapping!$A$3:$A$13,0)),"(unmapped)")),IFERROR(INDEX(Mapping!$B$17:$B$22,MATCH($F1169,Mapping!$A$17:$A$22,0)),$F1169)&amp;" "&amp;IF($G1169="Banking","Banking",IFERROR(INDEX(Mapping!$E$17:$E$28,MATCH($J1169,Mapping!$D$17:$D$28,0)),"(unmapped)")))))</f>
        <v/>
      </c>
    </row>
    <row r="1170" spans="11:11" x14ac:dyDescent="0.3">
      <c r="K1170" t="str">
        <f>IF($D1170="","",IFERROR(INDEX(Mapping!$H$3:$H$32,MATCH($B1170,Mapping!$G$3:$G$32,0)),IF(LEFT($F1170,3)="P2P",IFERROR(INDEX(Mapping!$E$3:$E$6,MATCH($G1170,Mapping!$D$3:$D$6,0)),IFERROR(INDEX(Mapping!$B$3:$B$13,MATCH($J1170,Mapping!$A$3:$A$13,0)),"(unmapped)")),IFERROR(INDEX(Mapping!$B$17:$B$22,MATCH($F1170,Mapping!$A$17:$A$22,0)),$F1170)&amp;" "&amp;IF($G1170="Banking","Banking",IFERROR(INDEX(Mapping!$E$17:$E$28,MATCH($J1170,Mapping!$D$17:$D$28,0)),"(unmapped)")))))</f>
        <v/>
      </c>
    </row>
    <row r="1171" spans="11:11" x14ac:dyDescent="0.3">
      <c r="K1171" t="str">
        <f>IF($D1171="","",IFERROR(INDEX(Mapping!$H$3:$H$32,MATCH($B1171,Mapping!$G$3:$G$32,0)),IF(LEFT($F1171,3)="P2P",IFERROR(INDEX(Mapping!$E$3:$E$6,MATCH($G1171,Mapping!$D$3:$D$6,0)),IFERROR(INDEX(Mapping!$B$3:$B$13,MATCH($J1171,Mapping!$A$3:$A$13,0)),"(unmapped)")),IFERROR(INDEX(Mapping!$B$17:$B$22,MATCH($F1171,Mapping!$A$17:$A$22,0)),$F1171)&amp;" "&amp;IF($G1171="Banking","Banking",IFERROR(INDEX(Mapping!$E$17:$E$28,MATCH($J1171,Mapping!$D$17:$D$28,0)),"(unmapped)")))))</f>
        <v/>
      </c>
    </row>
    <row r="1172" spans="11:11" x14ac:dyDescent="0.3">
      <c r="K1172" t="str">
        <f>IF($D1172="","",IFERROR(INDEX(Mapping!$H$3:$H$32,MATCH($B1172,Mapping!$G$3:$G$32,0)),IF(LEFT($F1172,3)="P2P",IFERROR(INDEX(Mapping!$E$3:$E$6,MATCH($G1172,Mapping!$D$3:$D$6,0)),IFERROR(INDEX(Mapping!$B$3:$B$13,MATCH($J1172,Mapping!$A$3:$A$13,0)),"(unmapped)")),IFERROR(INDEX(Mapping!$B$17:$B$22,MATCH($F1172,Mapping!$A$17:$A$22,0)),$F1172)&amp;" "&amp;IF($G1172="Banking","Banking",IFERROR(INDEX(Mapping!$E$17:$E$28,MATCH($J1172,Mapping!$D$17:$D$28,0)),"(unmapped)")))))</f>
        <v/>
      </c>
    </row>
    <row r="1173" spans="11:11" x14ac:dyDescent="0.3">
      <c r="K1173" t="str">
        <f>IF($D1173="","",IFERROR(INDEX(Mapping!$H$3:$H$32,MATCH($B1173,Mapping!$G$3:$G$32,0)),IF(LEFT($F1173,3)="P2P",IFERROR(INDEX(Mapping!$E$3:$E$6,MATCH($G1173,Mapping!$D$3:$D$6,0)),IFERROR(INDEX(Mapping!$B$3:$B$13,MATCH($J1173,Mapping!$A$3:$A$13,0)),"(unmapped)")),IFERROR(INDEX(Mapping!$B$17:$B$22,MATCH($F1173,Mapping!$A$17:$A$22,0)),$F1173)&amp;" "&amp;IF($G1173="Banking","Banking",IFERROR(INDEX(Mapping!$E$17:$E$28,MATCH($J1173,Mapping!$D$17:$D$28,0)),"(unmapped)")))))</f>
        <v/>
      </c>
    </row>
    <row r="1174" spans="11:11" x14ac:dyDescent="0.3">
      <c r="K1174" t="str">
        <f>IF($D1174="","",IFERROR(INDEX(Mapping!$H$3:$H$32,MATCH($B1174,Mapping!$G$3:$G$32,0)),IF(LEFT($F1174,3)="P2P",IFERROR(INDEX(Mapping!$E$3:$E$6,MATCH($G1174,Mapping!$D$3:$D$6,0)),IFERROR(INDEX(Mapping!$B$3:$B$13,MATCH($J1174,Mapping!$A$3:$A$13,0)),"(unmapped)")),IFERROR(INDEX(Mapping!$B$17:$B$22,MATCH($F1174,Mapping!$A$17:$A$22,0)),$F1174)&amp;" "&amp;IF($G1174="Banking","Banking",IFERROR(INDEX(Mapping!$E$17:$E$28,MATCH($J1174,Mapping!$D$17:$D$28,0)),"(unmapped)")))))</f>
        <v/>
      </c>
    </row>
    <row r="1175" spans="11:11" x14ac:dyDescent="0.3">
      <c r="K1175" t="str">
        <f>IF($D1175="","",IFERROR(INDEX(Mapping!$H$3:$H$32,MATCH($B1175,Mapping!$G$3:$G$32,0)),IF(LEFT($F1175,3)="P2P",IFERROR(INDEX(Mapping!$E$3:$E$6,MATCH($G1175,Mapping!$D$3:$D$6,0)),IFERROR(INDEX(Mapping!$B$3:$B$13,MATCH($J1175,Mapping!$A$3:$A$13,0)),"(unmapped)")),IFERROR(INDEX(Mapping!$B$17:$B$22,MATCH($F1175,Mapping!$A$17:$A$22,0)),$F1175)&amp;" "&amp;IF($G1175="Banking","Banking",IFERROR(INDEX(Mapping!$E$17:$E$28,MATCH($J1175,Mapping!$D$17:$D$28,0)),"(unmapped)")))))</f>
        <v/>
      </c>
    </row>
    <row r="1176" spans="11:11" x14ac:dyDescent="0.3">
      <c r="K1176" t="str">
        <f>IF($D1176="","",IFERROR(INDEX(Mapping!$H$3:$H$32,MATCH($B1176,Mapping!$G$3:$G$32,0)),IF(LEFT($F1176,3)="P2P",IFERROR(INDEX(Mapping!$E$3:$E$6,MATCH($G1176,Mapping!$D$3:$D$6,0)),IFERROR(INDEX(Mapping!$B$3:$B$13,MATCH($J1176,Mapping!$A$3:$A$13,0)),"(unmapped)")),IFERROR(INDEX(Mapping!$B$17:$B$22,MATCH($F1176,Mapping!$A$17:$A$22,0)),$F1176)&amp;" "&amp;IF($G1176="Banking","Banking",IFERROR(INDEX(Mapping!$E$17:$E$28,MATCH($J1176,Mapping!$D$17:$D$28,0)),"(unmapped)")))))</f>
        <v/>
      </c>
    </row>
    <row r="1177" spans="11:11" x14ac:dyDescent="0.3">
      <c r="K1177" t="str">
        <f>IF($D1177="","",IFERROR(INDEX(Mapping!$H$3:$H$32,MATCH($B1177,Mapping!$G$3:$G$32,0)),IF(LEFT($F1177,3)="P2P",IFERROR(INDEX(Mapping!$E$3:$E$6,MATCH($G1177,Mapping!$D$3:$D$6,0)),IFERROR(INDEX(Mapping!$B$3:$B$13,MATCH($J1177,Mapping!$A$3:$A$13,0)),"(unmapped)")),IFERROR(INDEX(Mapping!$B$17:$B$22,MATCH($F1177,Mapping!$A$17:$A$22,0)),$F1177)&amp;" "&amp;IF($G1177="Banking","Banking",IFERROR(INDEX(Mapping!$E$17:$E$28,MATCH($J1177,Mapping!$D$17:$D$28,0)),"(unmapped)")))))</f>
        <v/>
      </c>
    </row>
    <row r="1178" spans="11:11" x14ac:dyDescent="0.3">
      <c r="K1178" t="str">
        <f>IF($D1178="","",IFERROR(INDEX(Mapping!$H$3:$H$32,MATCH($B1178,Mapping!$G$3:$G$32,0)),IF(LEFT($F1178,3)="P2P",IFERROR(INDEX(Mapping!$E$3:$E$6,MATCH($G1178,Mapping!$D$3:$D$6,0)),IFERROR(INDEX(Mapping!$B$3:$B$13,MATCH($J1178,Mapping!$A$3:$A$13,0)),"(unmapped)")),IFERROR(INDEX(Mapping!$B$17:$B$22,MATCH($F1178,Mapping!$A$17:$A$22,0)),$F1178)&amp;" "&amp;IF($G1178="Banking","Banking",IFERROR(INDEX(Mapping!$E$17:$E$28,MATCH($J1178,Mapping!$D$17:$D$28,0)),"(unmapped)")))))</f>
        <v/>
      </c>
    </row>
    <row r="1179" spans="11:11" x14ac:dyDescent="0.3">
      <c r="K1179" t="str">
        <f>IF($D1179="","",IFERROR(INDEX(Mapping!$H$3:$H$32,MATCH($B1179,Mapping!$G$3:$G$32,0)),IF(LEFT($F1179,3)="P2P",IFERROR(INDEX(Mapping!$E$3:$E$6,MATCH($G1179,Mapping!$D$3:$D$6,0)),IFERROR(INDEX(Mapping!$B$3:$B$13,MATCH($J1179,Mapping!$A$3:$A$13,0)),"(unmapped)")),IFERROR(INDEX(Mapping!$B$17:$B$22,MATCH($F1179,Mapping!$A$17:$A$22,0)),$F1179)&amp;" "&amp;IF($G1179="Banking","Banking",IFERROR(INDEX(Mapping!$E$17:$E$28,MATCH($J1179,Mapping!$D$17:$D$28,0)),"(unmapped)")))))</f>
        <v/>
      </c>
    </row>
    <row r="1180" spans="11:11" x14ac:dyDescent="0.3">
      <c r="K1180" t="str">
        <f>IF($D1180="","",IFERROR(INDEX(Mapping!$H$3:$H$32,MATCH($B1180,Mapping!$G$3:$G$32,0)),IF(LEFT($F1180,3)="P2P",IFERROR(INDEX(Mapping!$E$3:$E$6,MATCH($G1180,Mapping!$D$3:$D$6,0)),IFERROR(INDEX(Mapping!$B$3:$B$13,MATCH($J1180,Mapping!$A$3:$A$13,0)),"(unmapped)")),IFERROR(INDEX(Mapping!$B$17:$B$22,MATCH($F1180,Mapping!$A$17:$A$22,0)),$F1180)&amp;" "&amp;IF($G1180="Banking","Banking",IFERROR(INDEX(Mapping!$E$17:$E$28,MATCH($J1180,Mapping!$D$17:$D$28,0)),"(unmapped)")))))</f>
        <v/>
      </c>
    </row>
    <row r="1181" spans="11:11" x14ac:dyDescent="0.3">
      <c r="K1181" t="str">
        <f>IF($D1181="","",IFERROR(INDEX(Mapping!$H$3:$H$32,MATCH($B1181,Mapping!$G$3:$G$32,0)),IF(LEFT($F1181,3)="P2P",IFERROR(INDEX(Mapping!$E$3:$E$6,MATCH($G1181,Mapping!$D$3:$D$6,0)),IFERROR(INDEX(Mapping!$B$3:$B$13,MATCH($J1181,Mapping!$A$3:$A$13,0)),"(unmapped)")),IFERROR(INDEX(Mapping!$B$17:$B$22,MATCH($F1181,Mapping!$A$17:$A$22,0)),$F1181)&amp;" "&amp;IF($G1181="Banking","Banking",IFERROR(INDEX(Mapping!$E$17:$E$28,MATCH($J1181,Mapping!$D$17:$D$28,0)),"(unmapped)")))))</f>
        <v/>
      </c>
    </row>
    <row r="1182" spans="11:11" x14ac:dyDescent="0.3">
      <c r="K1182" t="str">
        <f>IF($D1182="","",IFERROR(INDEX(Mapping!$H$3:$H$32,MATCH($B1182,Mapping!$G$3:$G$32,0)),IF(LEFT($F1182,3)="P2P",IFERROR(INDEX(Mapping!$E$3:$E$6,MATCH($G1182,Mapping!$D$3:$D$6,0)),IFERROR(INDEX(Mapping!$B$3:$B$13,MATCH($J1182,Mapping!$A$3:$A$13,0)),"(unmapped)")),IFERROR(INDEX(Mapping!$B$17:$B$22,MATCH($F1182,Mapping!$A$17:$A$22,0)),$F1182)&amp;" "&amp;IF($G1182="Banking","Banking",IFERROR(INDEX(Mapping!$E$17:$E$28,MATCH($J1182,Mapping!$D$17:$D$28,0)),"(unmapped)")))))</f>
        <v/>
      </c>
    </row>
    <row r="1183" spans="11:11" x14ac:dyDescent="0.3">
      <c r="K1183" t="str">
        <f>IF($D1183="","",IFERROR(INDEX(Mapping!$H$3:$H$32,MATCH($B1183,Mapping!$G$3:$G$32,0)),IF(LEFT($F1183,3)="P2P",IFERROR(INDEX(Mapping!$E$3:$E$6,MATCH($G1183,Mapping!$D$3:$D$6,0)),IFERROR(INDEX(Mapping!$B$3:$B$13,MATCH($J1183,Mapping!$A$3:$A$13,0)),"(unmapped)")),IFERROR(INDEX(Mapping!$B$17:$B$22,MATCH($F1183,Mapping!$A$17:$A$22,0)),$F1183)&amp;" "&amp;IF($G1183="Banking","Banking",IFERROR(INDEX(Mapping!$E$17:$E$28,MATCH($J1183,Mapping!$D$17:$D$28,0)),"(unmapped)")))))</f>
        <v/>
      </c>
    </row>
    <row r="1184" spans="11:11" x14ac:dyDescent="0.3">
      <c r="K1184" t="str">
        <f>IF($D1184="","",IFERROR(INDEX(Mapping!$H$3:$H$32,MATCH($B1184,Mapping!$G$3:$G$32,0)),IF(LEFT($F1184,3)="P2P",IFERROR(INDEX(Mapping!$E$3:$E$6,MATCH($G1184,Mapping!$D$3:$D$6,0)),IFERROR(INDEX(Mapping!$B$3:$B$13,MATCH($J1184,Mapping!$A$3:$A$13,0)),"(unmapped)")),IFERROR(INDEX(Mapping!$B$17:$B$22,MATCH($F1184,Mapping!$A$17:$A$22,0)),$F1184)&amp;" "&amp;IF($G1184="Banking","Banking",IFERROR(INDEX(Mapping!$E$17:$E$28,MATCH($J1184,Mapping!$D$17:$D$28,0)),"(unmapped)")))))</f>
        <v/>
      </c>
    </row>
    <row r="1185" spans="11:11" x14ac:dyDescent="0.3">
      <c r="K1185" t="str">
        <f>IF($D1185="","",IFERROR(INDEX(Mapping!$H$3:$H$32,MATCH($B1185,Mapping!$G$3:$G$32,0)),IF(LEFT($F1185,3)="P2P",IFERROR(INDEX(Mapping!$E$3:$E$6,MATCH($G1185,Mapping!$D$3:$D$6,0)),IFERROR(INDEX(Mapping!$B$3:$B$13,MATCH($J1185,Mapping!$A$3:$A$13,0)),"(unmapped)")),IFERROR(INDEX(Mapping!$B$17:$B$22,MATCH($F1185,Mapping!$A$17:$A$22,0)),$F1185)&amp;" "&amp;IF($G1185="Banking","Banking",IFERROR(INDEX(Mapping!$E$17:$E$28,MATCH($J1185,Mapping!$D$17:$D$28,0)),"(unmapped)")))))</f>
        <v/>
      </c>
    </row>
    <row r="1186" spans="11:11" x14ac:dyDescent="0.3">
      <c r="K1186" t="str">
        <f>IF($D1186="","",IFERROR(INDEX(Mapping!$H$3:$H$32,MATCH($B1186,Mapping!$G$3:$G$32,0)),IF(LEFT($F1186,3)="P2P",IFERROR(INDEX(Mapping!$E$3:$E$6,MATCH($G1186,Mapping!$D$3:$D$6,0)),IFERROR(INDEX(Mapping!$B$3:$B$13,MATCH($J1186,Mapping!$A$3:$A$13,0)),"(unmapped)")),IFERROR(INDEX(Mapping!$B$17:$B$22,MATCH($F1186,Mapping!$A$17:$A$22,0)),$F1186)&amp;" "&amp;IF($G1186="Banking","Banking",IFERROR(INDEX(Mapping!$E$17:$E$28,MATCH($J1186,Mapping!$D$17:$D$28,0)),"(unmapped)")))))</f>
        <v/>
      </c>
    </row>
    <row r="1187" spans="11:11" x14ac:dyDescent="0.3">
      <c r="K1187" t="str">
        <f>IF($D1187="","",IFERROR(INDEX(Mapping!$H$3:$H$32,MATCH($B1187,Mapping!$G$3:$G$32,0)),IF(LEFT($F1187,3)="P2P",IFERROR(INDEX(Mapping!$E$3:$E$6,MATCH($G1187,Mapping!$D$3:$D$6,0)),IFERROR(INDEX(Mapping!$B$3:$B$13,MATCH($J1187,Mapping!$A$3:$A$13,0)),"(unmapped)")),IFERROR(INDEX(Mapping!$B$17:$B$22,MATCH($F1187,Mapping!$A$17:$A$22,0)),$F1187)&amp;" "&amp;IF($G1187="Banking","Banking",IFERROR(INDEX(Mapping!$E$17:$E$28,MATCH($J1187,Mapping!$D$17:$D$28,0)),"(unmapped)")))))</f>
        <v/>
      </c>
    </row>
    <row r="1188" spans="11:11" x14ac:dyDescent="0.3">
      <c r="K1188" t="str">
        <f>IF($D1188="","",IFERROR(INDEX(Mapping!$H$3:$H$32,MATCH($B1188,Mapping!$G$3:$G$32,0)),IF(LEFT($F1188,3)="P2P",IFERROR(INDEX(Mapping!$E$3:$E$6,MATCH($G1188,Mapping!$D$3:$D$6,0)),IFERROR(INDEX(Mapping!$B$3:$B$13,MATCH($J1188,Mapping!$A$3:$A$13,0)),"(unmapped)")),IFERROR(INDEX(Mapping!$B$17:$B$22,MATCH($F1188,Mapping!$A$17:$A$22,0)),$F1188)&amp;" "&amp;IF($G1188="Banking","Banking",IFERROR(INDEX(Mapping!$E$17:$E$28,MATCH($J1188,Mapping!$D$17:$D$28,0)),"(unmapped)")))))</f>
        <v/>
      </c>
    </row>
    <row r="1189" spans="11:11" x14ac:dyDescent="0.3">
      <c r="K1189" t="str">
        <f>IF($D1189="","",IFERROR(INDEX(Mapping!$H$3:$H$32,MATCH($B1189,Mapping!$G$3:$G$32,0)),IF(LEFT($F1189,3)="P2P",IFERROR(INDEX(Mapping!$E$3:$E$6,MATCH($G1189,Mapping!$D$3:$D$6,0)),IFERROR(INDEX(Mapping!$B$3:$B$13,MATCH($J1189,Mapping!$A$3:$A$13,0)),"(unmapped)")),IFERROR(INDEX(Mapping!$B$17:$B$22,MATCH($F1189,Mapping!$A$17:$A$22,0)),$F1189)&amp;" "&amp;IF($G1189="Banking","Banking",IFERROR(INDEX(Mapping!$E$17:$E$28,MATCH($J1189,Mapping!$D$17:$D$28,0)),"(unmapped)")))))</f>
        <v/>
      </c>
    </row>
    <row r="1190" spans="11:11" x14ac:dyDescent="0.3">
      <c r="K1190" t="str">
        <f>IF($D1190="","",IFERROR(INDEX(Mapping!$H$3:$H$32,MATCH($B1190,Mapping!$G$3:$G$32,0)),IF(LEFT($F1190,3)="P2P",IFERROR(INDEX(Mapping!$E$3:$E$6,MATCH($G1190,Mapping!$D$3:$D$6,0)),IFERROR(INDEX(Mapping!$B$3:$B$13,MATCH($J1190,Mapping!$A$3:$A$13,0)),"(unmapped)")),IFERROR(INDEX(Mapping!$B$17:$B$22,MATCH($F1190,Mapping!$A$17:$A$22,0)),$F1190)&amp;" "&amp;IF($G1190="Banking","Banking",IFERROR(INDEX(Mapping!$E$17:$E$28,MATCH($J1190,Mapping!$D$17:$D$28,0)),"(unmapped)")))))</f>
        <v/>
      </c>
    </row>
    <row r="1191" spans="11:11" x14ac:dyDescent="0.3">
      <c r="K1191" t="str">
        <f>IF($D1191="","",IFERROR(INDEX(Mapping!$H$3:$H$32,MATCH($B1191,Mapping!$G$3:$G$32,0)),IF(LEFT($F1191,3)="P2P",IFERROR(INDEX(Mapping!$E$3:$E$6,MATCH($G1191,Mapping!$D$3:$D$6,0)),IFERROR(INDEX(Mapping!$B$3:$B$13,MATCH($J1191,Mapping!$A$3:$A$13,0)),"(unmapped)")),IFERROR(INDEX(Mapping!$B$17:$B$22,MATCH($F1191,Mapping!$A$17:$A$22,0)),$F1191)&amp;" "&amp;IF($G1191="Banking","Banking",IFERROR(INDEX(Mapping!$E$17:$E$28,MATCH($J1191,Mapping!$D$17:$D$28,0)),"(unmapped)")))))</f>
        <v/>
      </c>
    </row>
    <row r="1192" spans="11:11" x14ac:dyDescent="0.3">
      <c r="K1192" t="str">
        <f>IF($D1192="","",IFERROR(INDEX(Mapping!$H$3:$H$32,MATCH($B1192,Mapping!$G$3:$G$32,0)),IF(LEFT($F1192,3)="P2P",IFERROR(INDEX(Mapping!$E$3:$E$6,MATCH($G1192,Mapping!$D$3:$D$6,0)),IFERROR(INDEX(Mapping!$B$3:$B$13,MATCH($J1192,Mapping!$A$3:$A$13,0)),"(unmapped)")),IFERROR(INDEX(Mapping!$B$17:$B$22,MATCH($F1192,Mapping!$A$17:$A$22,0)),$F1192)&amp;" "&amp;IF($G1192="Banking","Banking",IFERROR(INDEX(Mapping!$E$17:$E$28,MATCH($J1192,Mapping!$D$17:$D$28,0)),"(unmapped)")))))</f>
        <v/>
      </c>
    </row>
    <row r="1193" spans="11:11" x14ac:dyDescent="0.3">
      <c r="K1193" t="str">
        <f>IF($D1193="","",IFERROR(INDEX(Mapping!$H$3:$H$32,MATCH($B1193,Mapping!$G$3:$G$32,0)),IF(LEFT($F1193,3)="P2P",IFERROR(INDEX(Mapping!$E$3:$E$6,MATCH($G1193,Mapping!$D$3:$D$6,0)),IFERROR(INDEX(Mapping!$B$3:$B$13,MATCH($J1193,Mapping!$A$3:$A$13,0)),"(unmapped)")),IFERROR(INDEX(Mapping!$B$17:$B$22,MATCH($F1193,Mapping!$A$17:$A$22,0)),$F1193)&amp;" "&amp;IF($G1193="Banking","Banking",IFERROR(INDEX(Mapping!$E$17:$E$28,MATCH($J1193,Mapping!$D$17:$D$28,0)),"(unmapped)")))))</f>
        <v/>
      </c>
    </row>
    <row r="1194" spans="11:11" x14ac:dyDescent="0.3">
      <c r="K1194" t="str">
        <f>IF($D1194="","",IFERROR(INDEX(Mapping!$H$3:$H$32,MATCH($B1194,Mapping!$G$3:$G$32,0)),IF(LEFT($F1194,3)="P2P",IFERROR(INDEX(Mapping!$E$3:$E$6,MATCH($G1194,Mapping!$D$3:$D$6,0)),IFERROR(INDEX(Mapping!$B$3:$B$13,MATCH($J1194,Mapping!$A$3:$A$13,0)),"(unmapped)")),IFERROR(INDEX(Mapping!$B$17:$B$22,MATCH($F1194,Mapping!$A$17:$A$22,0)),$F1194)&amp;" "&amp;IF($G1194="Banking","Banking",IFERROR(INDEX(Mapping!$E$17:$E$28,MATCH($J1194,Mapping!$D$17:$D$28,0)),"(unmapped)")))))</f>
        <v/>
      </c>
    </row>
    <row r="1195" spans="11:11" x14ac:dyDescent="0.3">
      <c r="K1195" t="str">
        <f>IF($D1195="","",IFERROR(INDEX(Mapping!$H$3:$H$32,MATCH($B1195,Mapping!$G$3:$G$32,0)),IF(LEFT($F1195,3)="P2P",IFERROR(INDEX(Mapping!$E$3:$E$6,MATCH($G1195,Mapping!$D$3:$D$6,0)),IFERROR(INDEX(Mapping!$B$3:$B$13,MATCH($J1195,Mapping!$A$3:$A$13,0)),"(unmapped)")),IFERROR(INDEX(Mapping!$B$17:$B$22,MATCH($F1195,Mapping!$A$17:$A$22,0)),$F1195)&amp;" "&amp;IF($G1195="Banking","Banking",IFERROR(INDEX(Mapping!$E$17:$E$28,MATCH($J1195,Mapping!$D$17:$D$28,0)),"(unmapped)")))))</f>
        <v/>
      </c>
    </row>
    <row r="1196" spans="11:11" x14ac:dyDescent="0.3">
      <c r="K1196" t="str">
        <f>IF($D1196="","",IFERROR(INDEX(Mapping!$H$3:$H$32,MATCH($B1196,Mapping!$G$3:$G$32,0)),IF(LEFT($F1196,3)="P2P",IFERROR(INDEX(Mapping!$E$3:$E$6,MATCH($G1196,Mapping!$D$3:$D$6,0)),IFERROR(INDEX(Mapping!$B$3:$B$13,MATCH($J1196,Mapping!$A$3:$A$13,0)),"(unmapped)")),IFERROR(INDEX(Mapping!$B$17:$B$22,MATCH($F1196,Mapping!$A$17:$A$22,0)),$F1196)&amp;" "&amp;IF($G1196="Banking","Banking",IFERROR(INDEX(Mapping!$E$17:$E$28,MATCH($J1196,Mapping!$D$17:$D$28,0)),"(unmapped)")))))</f>
        <v/>
      </c>
    </row>
    <row r="1197" spans="11:11" x14ac:dyDescent="0.3">
      <c r="K1197" t="str">
        <f>IF($D1197="","",IFERROR(INDEX(Mapping!$H$3:$H$32,MATCH($B1197,Mapping!$G$3:$G$32,0)),IF(LEFT($F1197,3)="P2P",IFERROR(INDEX(Mapping!$E$3:$E$6,MATCH($G1197,Mapping!$D$3:$D$6,0)),IFERROR(INDEX(Mapping!$B$3:$B$13,MATCH($J1197,Mapping!$A$3:$A$13,0)),"(unmapped)")),IFERROR(INDEX(Mapping!$B$17:$B$22,MATCH($F1197,Mapping!$A$17:$A$22,0)),$F1197)&amp;" "&amp;IF($G1197="Banking","Banking",IFERROR(INDEX(Mapping!$E$17:$E$28,MATCH($J1197,Mapping!$D$17:$D$28,0)),"(unmapped)")))))</f>
        <v/>
      </c>
    </row>
    <row r="1198" spans="11:11" x14ac:dyDescent="0.3">
      <c r="K1198" t="str">
        <f>IF($D1198="","",IFERROR(INDEX(Mapping!$H$3:$H$32,MATCH($B1198,Mapping!$G$3:$G$32,0)),IF(LEFT($F1198,3)="P2P",IFERROR(INDEX(Mapping!$E$3:$E$6,MATCH($G1198,Mapping!$D$3:$D$6,0)),IFERROR(INDEX(Mapping!$B$3:$B$13,MATCH($J1198,Mapping!$A$3:$A$13,0)),"(unmapped)")),IFERROR(INDEX(Mapping!$B$17:$B$22,MATCH($F1198,Mapping!$A$17:$A$22,0)),$F1198)&amp;" "&amp;IF($G1198="Banking","Banking",IFERROR(INDEX(Mapping!$E$17:$E$28,MATCH($J1198,Mapping!$D$17:$D$28,0)),"(unmapped)")))))</f>
        <v/>
      </c>
    </row>
    <row r="1199" spans="11:11" x14ac:dyDescent="0.3">
      <c r="K1199" t="str">
        <f>IF($D1199="","",IFERROR(INDEX(Mapping!$H$3:$H$32,MATCH($B1199,Mapping!$G$3:$G$32,0)),IF(LEFT($F1199,3)="P2P",IFERROR(INDEX(Mapping!$E$3:$E$6,MATCH($G1199,Mapping!$D$3:$D$6,0)),IFERROR(INDEX(Mapping!$B$3:$B$13,MATCH($J1199,Mapping!$A$3:$A$13,0)),"(unmapped)")),IFERROR(INDEX(Mapping!$B$17:$B$22,MATCH($F1199,Mapping!$A$17:$A$22,0)),$F1199)&amp;" "&amp;IF($G1199="Banking","Banking",IFERROR(INDEX(Mapping!$E$17:$E$28,MATCH($J1199,Mapping!$D$17:$D$28,0)),"(unmapped)")))))</f>
        <v/>
      </c>
    </row>
    <row r="1200" spans="11:11" x14ac:dyDescent="0.3">
      <c r="K1200" t="str">
        <f>IF($D1200="","",IFERROR(INDEX(Mapping!$H$3:$H$32,MATCH($B1200,Mapping!$G$3:$G$32,0)),IF(LEFT($F1200,3)="P2P",IFERROR(INDEX(Mapping!$E$3:$E$6,MATCH($G1200,Mapping!$D$3:$D$6,0)),IFERROR(INDEX(Mapping!$B$3:$B$13,MATCH($J1200,Mapping!$A$3:$A$13,0)),"(unmapped)")),IFERROR(INDEX(Mapping!$B$17:$B$22,MATCH($F1200,Mapping!$A$17:$A$22,0)),$F1200)&amp;" "&amp;IF($G1200="Banking","Banking",IFERROR(INDEX(Mapping!$E$17:$E$28,MATCH($J1200,Mapping!$D$17:$D$28,0)),"(unmapped)")))))</f>
        <v/>
      </c>
    </row>
    <row r="1201" spans="11:11" x14ac:dyDescent="0.3">
      <c r="K1201" t="str">
        <f>IF($D1201="","",IFERROR(INDEX(Mapping!$H$3:$H$32,MATCH($B1201,Mapping!$G$3:$G$32,0)),IF(LEFT($F1201,3)="P2P",IFERROR(INDEX(Mapping!$E$3:$E$6,MATCH($G1201,Mapping!$D$3:$D$6,0)),IFERROR(INDEX(Mapping!$B$3:$B$13,MATCH($J1201,Mapping!$A$3:$A$13,0)),"(unmapped)")),IFERROR(INDEX(Mapping!$B$17:$B$22,MATCH($F1201,Mapping!$A$17:$A$22,0)),$F1201)&amp;" "&amp;IF($G1201="Banking","Banking",IFERROR(INDEX(Mapping!$E$17:$E$28,MATCH($J1201,Mapping!$D$17:$D$28,0)),"(unmapped)")))))</f>
        <v/>
      </c>
    </row>
    <row r="1202" spans="11:11" x14ac:dyDescent="0.3">
      <c r="K1202" t="str">
        <f>IF($D1202="","",IFERROR(INDEX(Mapping!$H$3:$H$32,MATCH($B1202,Mapping!$G$3:$G$32,0)),IF(LEFT($F1202,3)="P2P",IFERROR(INDEX(Mapping!$E$3:$E$6,MATCH($G1202,Mapping!$D$3:$D$6,0)),IFERROR(INDEX(Mapping!$B$3:$B$13,MATCH($J1202,Mapping!$A$3:$A$13,0)),"(unmapped)")),IFERROR(INDEX(Mapping!$B$17:$B$22,MATCH($F1202,Mapping!$A$17:$A$22,0)),$F1202)&amp;" "&amp;IF($G1202="Banking","Banking",IFERROR(INDEX(Mapping!$E$17:$E$28,MATCH($J1202,Mapping!$D$17:$D$28,0)),"(unmapped)")))))</f>
        <v/>
      </c>
    </row>
    <row r="1203" spans="11:11" x14ac:dyDescent="0.3">
      <c r="K1203" t="str">
        <f>IF($D1203="","",IFERROR(INDEX(Mapping!$H$3:$H$32,MATCH($B1203,Mapping!$G$3:$G$32,0)),IF(LEFT($F1203,3)="P2P",IFERROR(INDEX(Mapping!$E$3:$E$6,MATCH($G1203,Mapping!$D$3:$D$6,0)),IFERROR(INDEX(Mapping!$B$3:$B$13,MATCH($J1203,Mapping!$A$3:$A$13,0)),"(unmapped)")),IFERROR(INDEX(Mapping!$B$17:$B$22,MATCH($F1203,Mapping!$A$17:$A$22,0)),$F1203)&amp;" "&amp;IF($G1203="Banking","Banking",IFERROR(INDEX(Mapping!$E$17:$E$28,MATCH($J1203,Mapping!$D$17:$D$28,0)),"(unmapped)")))))</f>
        <v/>
      </c>
    </row>
    <row r="1204" spans="11:11" x14ac:dyDescent="0.3">
      <c r="K1204" t="str">
        <f>IF($D1204="","",IFERROR(INDEX(Mapping!$H$3:$H$32,MATCH($B1204,Mapping!$G$3:$G$32,0)),IF(LEFT($F1204,3)="P2P",IFERROR(INDEX(Mapping!$E$3:$E$6,MATCH($G1204,Mapping!$D$3:$D$6,0)),IFERROR(INDEX(Mapping!$B$3:$B$13,MATCH($J1204,Mapping!$A$3:$A$13,0)),"(unmapped)")),IFERROR(INDEX(Mapping!$B$17:$B$22,MATCH($F1204,Mapping!$A$17:$A$22,0)),$F1204)&amp;" "&amp;IF($G1204="Banking","Banking",IFERROR(INDEX(Mapping!$E$17:$E$28,MATCH($J1204,Mapping!$D$17:$D$28,0)),"(unmapped)")))))</f>
        <v/>
      </c>
    </row>
    <row r="1205" spans="11:11" x14ac:dyDescent="0.3">
      <c r="K1205" t="str">
        <f>IF($D1205="","",IFERROR(INDEX(Mapping!$H$3:$H$32,MATCH($B1205,Mapping!$G$3:$G$32,0)),IF(LEFT($F1205,3)="P2P",IFERROR(INDEX(Mapping!$E$3:$E$6,MATCH($G1205,Mapping!$D$3:$D$6,0)),IFERROR(INDEX(Mapping!$B$3:$B$13,MATCH($J1205,Mapping!$A$3:$A$13,0)),"(unmapped)")),IFERROR(INDEX(Mapping!$B$17:$B$22,MATCH($F1205,Mapping!$A$17:$A$22,0)),$F1205)&amp;" "&amp;IF($G1205="Banking","Banking",IFERROR(INDEX(Mapping!$E$17:$E$28,MATCH($J1205,Mapping!$D$17:$D$28,0)),"(unmapped)")))))</f>
        <v/>
      </c>
    </row>
    <row r="1206" spans="11:11" x14ac:dyDescent="0.3">
      <c r="K1206" t="str">
        <f>IF($D1206="","",IFERROR(INDEX(Mapping!$H$3:$H$32,MATCH($B1206,Mapping!$G$3:$G$32,0)),IF(LEFT($F1206,3)="P2P",IFERROR(INDEX(Mapping!$E$3:$E$6,MATCH($G1206,Mapping!$D$3:$D$6,0)),IFERROR(INDEX(Mapping!$B$3:$B$13,MATCH($J1206,Mapping!$A$3:$A$13,0)),"(unmapped)")),IFERROR(INDEX(Mapping!$B$17:$B$22,MATCH($F1206,Mapping!$A$17:$A$22,0)),$F1206)&amp;" "&amp;IF($G1206="Banking","Banking",IFERROR(INDEX(Mapping!$E$17:$E$28,MATCH($J1206,Mapping!$D$17:$D$28,0)),"(unmapped)")))))</f>
        <v/>
      </c>
    </row>
    <row r="1207" spans="11:11" x14ac:dyDescent="0.3">
      <c r="K1207" t="str">
        <f>IF($D1207="","",IFERROR(INDEX(Mapping!$H$3:$H$32,MATCH($B1207,Mapping!$G$3:$G$32,0)),IF(LEFT($F1207,3)="P2P",IFERROR(INDEX(Mapping!$E$3:$E$6,MATCH($G1207,Mapping!$D$3:$D$6,0)),IFERROR(INDEX(Mapping!$B$3:$B$13,MATCH($J1207,Mapping!$A$3:$A$13,0)),"(unmapped)")),IFERROR(INDEX(Mapping!$B$17:$B$22,MATCH($F1207,Mapping!$A$17:$A$22,0)),$F1207)&amp;" "&amp;IF($G1207="Banking","Banking",IFERROR(INDEX(Mapping!$E$17:$E$28,MATCH($J1207,Mapping!$D$17:$D$28,0)),"(unmapped)")))))</f>
        <v/>
      </c>
    </row>
    <row r="1208" spans="11:11" x14ac:dyDescent="0.3">
      <c r="K1208" t="str">
        <f>IF($D1208="","",IFERROR(INDEX(Mapping!$H$3:$H$32,MATCH($B1208,Mapping!$G$3:$G$32,0)),IF(LEFT($F1208,3)="P2P",IFERROR(INDEX(Mapping!$E$3:$E$6,MATCH($G1208,Mapping!$D$3:$D$6,0)),IFERROR(INDEX(Mapping!$B$3:$B$13,MATCH($J1208,Mapping!$A$3:$A$13,0)),"(unmapped)")),IFERROR(INDEX(Mapping!$B$17:$B$22,MATCH($F1208,Mapping!$A$17:$A$22,0)),$F1208)&amp;" "&amp;IF($G1208="Banking","Banking",IFERROR(INDEX(Mapping!$E$17:$E$28,MATCH($J1208,Mapping!$D$17:$D$28,0)),"(unmapped)")))))</f>
        <v/>
      </c>
    </row>
    <row r="1209" spans="11:11" x14ac:dyDescent="0.3">
      <c r="K1209" t="str">
        <f>IF($D1209="","",IFERROR(INDEX(Mapping!$H$3:$H$32,MATCH($B1209,Mapping!$G$3:$G$32,0)),IF(LEFT($F1209,3)="P2P",IFERROR(INDEX(Mapping!$E$3:$E$6,MATCH($G1209,Mapping!$D$3:$D$6,0)),IFERROR(INDEX(Mapping!$B$3:$B$13,MATCH($J1209,Mapping!$A$3:$A$13,0)),"(unmapped)")),IFERROR(INDEX(Mapping!$B$17:$B$22,MATCH($F1209,Mapping!$A$17:$A$22,0)),$F1209)&amp;" "&amp;IF($G1209="Banking","Banking",IFERROR(INDEX(Mapping!$E$17:$E$28,MATCH($J1209,Mapping!$D$17:$D$28,0)),"(unmapped)")))))</f>
        <v/>
      </c>
    </row>
    <row r="1210" spans="11:11" x14ac:dyDescent="0.3">
      <c r="K1210" t="str">
        <f>IF($D1210="","",IFERROR(INDEX(Mapping!$H$3:$H$32,MATCH($B1210,Mapping!$G$3:$G$32,0)),IF(LEFT($F1210,3)="P2P",IFERROR(INDEX(Mapping!$E$3:$E$6,MATCH($G1210,Mapping!$D$3:$D$6,0)),IFERROR(INDEX(Mapping!$B$3:$B$13,MATCH($J1210,Mapping!$A$3:$A$13,0)),"(unmapped)")),IFERROR(INDEX(Mapping!$B$17:$B$22,MATCH($F1210,Mapping!$A$17:$A$22,0)),$F1210)&amp;" "&amp;IF($G1210="Banking","Banking",IFERROR(INDEX(Mapping!$E$17:$E$28,MATCH($J1210,Mapping!$D$17:$D$28,0)),"(unmapped)")))))</f>
        <v/>
      </c>
    </row>
    <row r="1211" spans="11:11" x14ac:dyDescent="0.3">
      <c r="K1211" t="str">
        <f>IF($D1211="","",IFERROR(INDEX(Mapping!$H$3:$H$32,MATCH($B1211,Mapping!$G$3:$G$32,0)),IF(LEFT($F1211,3)="P2P",IFERROR(INDEX(Mapping!$E$3:$E$6,MATCH($G1211,Mapping!$D$3:$D$6,0)),IFERROR(INDEX(Mapping!$B$3:$B$13,MATCH($J1211,Mapping!$A$3:$A$13,0)),"(unmapped)")),IFERROR(INDEX(Mapping!$B$17:$B$22,MATCH($F1211,Mapping!$A$17:$A$22,0)),$F1211)&amp;" "&amp;IF($G1211="Banking","Banking",IFERROR(INDEX(Mapping!$E$17:$E$28,MATCH($J1211,Mapping!$D$17:$D$28,0)),"(unmapped)")))))</f>
        <v/>
      </c>
    </row>
    <row r="1212" spans="11:11" x14ac:dyDescent="0.3">
      <c r="K1212" t="str">
        <f>IF($D1212="","",IFERROR(INDEX(Mapping!$H$3:$H$32,MATCH($B1212,Mapping!$G$3:$G$32,0)),IF(LEFT($F1212,3)="P2P",IFERROR(INDEX(Mapping!$E$3:$E$6,MATCH($G1212,Mapping!$D$3:$D$6,0)),IFERROR(INDEX(Mapping!$B$3:$B$13,MATCH($J1212,Mapping!$A$3:$A$13,0)),"(unmapped)")),IFERROR(INDEX(Mapping!$B$17:$B$22,MATCH($F1212,Mapping!$A$17:$A$22,0)),$F1212)&amp;" "&amp;IF($G1212="Banking","Banking",IFERROR(INDEX(Mapping!$E$17:$E$28,MATCH($J1212,Mapping!$D$17:$D$28,0)),"(unmapped)")))))</f>
        <v/>
      </c>
    </row>
    <row r="1213" spans="11:11" x14ac:dyDescent="0.3">
      <c r="K1213" t="str">
        <f>IF($D1213="","",IFERROR(INDEX(Mapping!$H$3:$H$32,MATCH($B1213,Mapping!$G$3:$G$32,0)),IF(LEFT($F1213,3)="P2P",IFERROR(INDEX(Mapping!$E$3:$E$6,MATCH($G1213,Mapping!$D$3:$D$6,0)),IFERROR(INDEX(Mapping!$B$3:$B$13,MATCH($J1213,Mapping!$A$3:$A$13,0)),"(unmapped)")),IFERROR(INDEX(Mapping!$B$17:$B$22,MATCH($F1213,Mapping!$A$17:$A$22,0)),$F1213)&amp;" "&amp;IF($G1213="Banking","Banking",IFERROR(INDEX(Mapping!$E$17:$E$28,MATCH($J1213,Mapping!$D$17:$D$28,0)),"(unmapped)")))))</f>
        <v/>
      </c>
    </row>
    <row r="1214" spans="11:11" x14ac:dyDescent="0.3">
      <c r="K1214" t="str">
        <f>IF($D1214="","",IFERROR(INDEX(Mapping!$H$3:$H$32,MATCH($B1214,Mapping!$G$3:$G$32,0)),IF(LEFT($F1214,3)="P2P",IFERROR(INDEX(Mapping!$E$3:$E$6,MATCH($G1214,Mapping!$D$3:$D$6,0)),IFERROR(INDEX(Mapping!$B$3:$B$13,MATCH($J1214,Mapping!$A$3:$A$13,0)),"(unmapped)")),IFERROR(INDEX(Mapping!$B$17:$B$22,MATCH($F1214,Mapping!$A$17:$A$22,0)),$F1214)&amp;" "&amp;IF($G1214="Banking","Banking",IFERROR(INDEX(Mapping!$E$17:$E$28,MATCH($J1214,Mapping!$D$17:$D$28,0)),"(unmapped)")))))</f>
        <v/>
      </c>
    </row>
    <row r="1215" spans="11:11" x14ac:dyDescent="0.3">
      <c r="K1215" t="str">
        <f>IF($D1215="","",IFERROR(INDEX(Mapping!$H$3:$H$32,MATCH($B1215,Mapping!$G$3:$G$32,0)),IF(LEFT($F1215,3)="P2P",IFERROR(INDEX(Mapping!$E$3:$E$6,MATCH($G1215,Mapping!$D$3:$D$6,0)),IFERROR(INDEX(Mapping!$B$3:$B$13,MATCH($J1215,Mapping!$A$3:$A$13,0)),"(unmapped)")),IFERROR(INDEX(Mapping!$B$17:$B$22,MATCH($F1215,Mapping!$A$17:$A$22,0)),$F1215)&amp;" "&amp;IF($G1215="Banking","Banking",IFERROR(INDEX(Mapping!$E$17:$E$28,MATCH($J1215,Mapping!$D$17:$D$28,0)),"(unmapped)")))))</f>
        <v/>
      </c>
    </row>
    <row r="1216" spans="11:11" x14ac:dyDescent="0.3">
      <c r="K1216" t="str">
        <f>IF($D1216="","",IFERROR(INDEX(Mapping!$H$3:$H$32,MATCH($B1216,Mapping!$G$3:$G$32,0)),IF(LEFT($F1216,3)="P2P",IFERROR(INDEX(Mapping!$E$3:$E$6,MATCH($G1216,Mapping!$D$3:$D$6,0)),IFERROR(INDEX(Mapping!$B$3:$B$13,MATCH($J1216,Mapping!$A$3:$A$13,0)),"(unmapped)")),IFERROR(INDEX(Mapping!$B$17:$B$22,MATCH($F1216,Mapping!$A$17:$A$22,0)),$F1216)&amp;" "&amp;IF($G1216="Banking","Banking",IFERROR(INDEX(Mapping!$E$17:$E$28,MATCH($J1216,Mapping!$D$17:$D$28,0)),"(unmapped)")))))</f>
        <v/>
      </c>
    </row>
    <row r="1217" spans="11:11" x14ac:dyDescent="0.3">
      <c r="K1217" t="str">
        <f>IF($D1217="","",IFERROR(INDEX(Mapping!$H$3:$H$32,MATCH($B1217,Mapping!$G$3:$G$32,0)),IF(LEFT($F1217,3)="P2P",IFERROR(INDEX(Mapping!$E$3:$E$6,MATCH($G1217,Mapping!$D$3:$D$6,0)),IFERROR(INDEX(Mapping!$B$3:$B$13,MATCH($J1217,Mapping!$A$3:$A$13,0)),"(unmapped)")),IFERROR(INDEX(Mapping!$B$17:$B$22,MATCH($F1217,Mapping!$A$17:$A$22,0)),$F1217)&amp;" "&amp;IF($G1217="Banking","Banking",IFERROR(INDEX(Mapping!$E$17:$E$28,MATCH($J1217,Mapping!$D$17:$D$28,0)),"(unmapped)")))))</f>
        <v/>
      </c>
    </row>
    <row r="1218" spans="11:11" x14ac:dyDescent="0.3">
      <c r="K1218" t="str">
        <f>IF($D1218="","",IFERROR(INDEX(Mapping!$H$3:$H$32,MATCH($B1218,Mapping!$G$3:$G$32,0)),IF(LEFT($F1218,3)="P2P",IFERROR(INDEX(Mapping!$E$3:$E$6,MATCH($G1218,Mapping!$D$3:$D$6,0)),IFERROR(INDEX(Mapping!$B$3:$B$13,MATCH($J1218,Mapping!$A$3:$A$13,0)),"(unmapped)")),IFERROR(INDEX(Mapping!$B$17:$B$22,MATCH($F1218,Mapping!$A$17:$A$22,0)),$F1218)&amp;" "&amp;IF($G1218="Banking","Banking",IFERROR(INDEX(Mapping!$E$17:$E$28,MATCH($J1218,Mapping!$D$17:$D$28,0)),"(unmapped)")))))</f>
        <v/>
      </c>
    </row>
    <row r="1219" spans="11:11" x14ac:dyDescent="0.3">
      <c r="K1219" t="str">
        <f>IF($D1219="","",IFERROR(INDEX(Mapping!$H$3:$H$32,MATCH($B1219,Mapping!$G$3:$G$32,0)),IF(LEFT($F1219,3)="P2P",IFERROR(INDEX(Mapping!$E$3:$E$6,MATCH($G1219,Mapping!$D$3:$D$6,0)),IFERROR(INDEX(Mapping!$B$3:$B$13,MATCH($J1219,Mapping!$A$3:$A$13,0)),"(unmapped)")),IFERROR(INDEX(Mapping!$B$17:$B$22,MATCH($F1219,Mapping!$A$17:$A$22,0)),$F1219)&amp;" "&amp;IF($G1219="Banking","Banking",IFERROR(INDEX(Mapping!$E$17:$E$28,MATCH($J1219,Mapping!$D$17:$D$28,0)),"(unmapped)")))))</f>
        <v/>
      </c>
    </row>
    <row r="1220" spans="11:11" x14ac:dyDescent="0.3">
      <c r="K1220" t="str">
        <f>IF($D1220="","",IFERROR(INDEX(Mapping!$H$3:$H$32,MATCH($B1220,Mapping!$G$3:$G$32,0)),IF(LEFT($F1220,3)="P2P",IFERROR(INDEX(Mapping!$E$3:$E$6,MATCH($G1220,Mapping!$D$3:$D$6,0)),IFERROR(INDEX(Mapping!$B$3:$B$13,MATCH($J1220,Mapping!$A$3:$A$13,0)),"(unmapped)")),IFERROR(INDEX(Mapping!$B$17:$B$22,MATCH($F1220,Mapping!$A$17:$A$22,0)),$F1220)&amp;" "&amp;IF($G1220="Banking","Banking",IFERROR(INDEX(Mapping!$E$17:$E$28,MATCH($J1220,Mapping!$D$17:$D$28,0)),"(unmapped)")))))</f>
        <v/>
      </c>
    </row>
    <row r="1221" spans="11:11" x14ac:dyDescent="0.3">
      <c r="K1221" t="str">
        <f>IF($D1221="","",IFERROR(INDEX(Mapping!$H$3:$H$32,MATCH($B1221,Mapping!$G$3:$G$32,0)),IF(LEFT($F1221,3)="P2P",IFERROR(INDEX(Mapping!$E$3:$E$6,MATCH($G1221,Mapping!$D$3:$D$6,0)),IFERROR(INDEX(Mapping!$B$3:$B$13,MATCH($J1221,Mapping!$A$3:$A$13,0)),"(unmapped)")),IFERROR(INDEX(Mapping!$B$17:$B$22,MATCH($F1221,Mapping!$A$17:$A$22,0)),$F1221)&amp;" "&amp;IF($G1221="Banking","Banking",IFERROR(INDEX(Mapping!$E$17:$E$28,MATCH($J1221,Mapping!$D$17:$D$28,0)),"(unmapped)")))))</f>
        <v/>
      </c>
    </row>
    <row r="1222" spans="11:11" x14ac:dyDescent="0.3">
      <c r="K1222" t="str">
        <f>IF($D1222="","",IFERROR(INDEX(Mapping!$H$3:$H$32,MATCH($B1222,Mapping!$G$3:$G$32,0)),IF(LEFT($F1222,3)="P2P",IFERROR(INDEX(Mapping!$E$3:$E$6,MATCH($G1222,Mapping!$D$3:$D$6,0)),IFERROR(INDEX(Mapping!$B$3:$B$13,MATCH($J1222,Mapping!$A$3:$A$13,0)),"(unmapped)")),IFERROR(INDEX(Mapping!$B$17:$B$22,MATCH($F1222,Mapping!$A$17:$A$22,0)),$F1222)&amp;" "&amp;IF($G1222="Banking","Banking",IFERROR(INDEX(Mapping!$E$17:$E$28,MATCH($J1222,Mapping!$D$17:$D$28,0)),"(unmapped)")))))</f>
        <v/>
      </c>
    </row>
    <row r="1223" spans="11:11" x14ac:dyDescent="0.3">
      <c r="K1223" t="str">
        <f>IF($D1223="","",IFERROR(INDEX(Mapping!$H$3:$H$32,MATCH($B1223,Mapping!$G$3:$G$32,0)),IF(LEFT($F1223,3)="P2P",IFERROR(INDEX(Mapping!$E$3:$E$6,MATCH($G1223,Mapping!$D$3:$D$6,0)),IFERROR(INDEX(Mapping!$B$3:$B$13,MATCH($J1223,Mapping!$A$3:$A$13,0)),"(unmapped)")),IFERROR(INDEX(Mapping!$B$17:$B$22,MATCH($F1223,Mapping!$A$17:$A$22,0)),$F1223)&amp;" "&amp;IF($G1223="Banking","Banking",IFERROR(INDEX(Mapping!$E$17:$E$28,MATCH($J1223,Mapping!$D$17:$D$28,0)),"(unmapped)")))))</f>
        <v/>
      </c>
    </row>
    <row r="1224" spans="11:11" x14ac:dyDescent="0.3">
      <c r="K1224" t="str">
        <f>IF($D1224="","",IFERROR(INDEX(Mapping!$H$3:$H$32,MATCH($B1224,Mapping!$G$3:$G$32,0)),IF(LEFT($F1224,3)="P2P",IFERROR(INDEX(Mapping!$E$3:$E$6,MATCH($G1224,Mapping!$D$3:$D$6,0)),IFERROR(INDEX(Mapping!$B$3:$B$13,MATCH($J1224,Mapping!$A$3:$A$13,0)),"(unmapped)")),IFERROR(INDEX(Mapping!$B$17:$B$22,MATCH($F1224,Mapping!$A$17:$A$22,0)),$F1224)&amp;" "&amp;IF($G1224="Banking","Banking",IFERROR(INDEX(Mapping!$E$17:$E$28,MATCH($J1224,Mapping!$D$17:$D$28,0)),"(unmapped)")))))</f>
        <v/>
      </c>
    </row>
    <row r="1225" spans="11:11" x14ac:dyDescent="0.3">
      <c r="K1225" t="str">
        <f>IF($D1225="","",IFERROR(INDEX(Mapping!$H$3:$H$32,MATCH($B1225,Mapping!$G$3:$G$32,0)),IF(LEFT($F1225,3)="P2P",IFERROR(INDEX(Mapping!$E$3:$E$6,MATCH($G1225,Mapping!$D$3:$D$6,0)),IFERROR(INDEX(Mapping!$B$3:$B$13,MATCH($J1225,Mapping!$A$3:$A$13,0)),"(unmapped)")),IFERROR(INDEX(Mapping!$B$17:$B$22,MATCH($F1225,Mapping!$A$17:$A$22,0)),$F1225)&amp;" "&amp;IF($G1225="Banking","Banking",IFERROR(INDEX(Mapping!$E$17:$E$28,MATCH($J1225,Mapping!$D$17:$D$28,0)),"(unmapped)")))))</f>
        <v/>
      </c>
    </row>
    <row r="1226" spans="11:11" x14ac:dyDescent="0.3">
      <c r="K1226" t="str">
        <f>IF($D1226="","",IFERROR(INDEX(Mapping!$H$3:$H$32,MATCH($B1226,Mapping!$G$3:$G$32,0)),IF(LEFT($F1226,3)="P2P",IFERROR(INDEX(Mapping!$E$3:$E$6,MATCH($G1226,Mapping!$D$3:$D$6,0)),IFERROR(INDEX(Mapping!$B$3:$B$13,MATCH($J1226,Mapping!$A$3:$A$13,0)),"(unmapped)")),IFERROR(INDEX(Mapping!$B$17:$B$22,MATCH($F1226,Mapping!$A$17:$A$22,0)),$F1226)&amp;" "&amp;IF($G1226="Banking","Banking",IFERROR(INDEX(Mapping!$E$17:$E$28,MATCH($J1226,Mapping!$D$17:$D$28,0)),"(unmapped)")))))</f>
        <v/>
      </c>
    </row>
    <row r="1227" spans="11:11" x14ac:dyDescent="0.3">
      <c r="K1227" t="str">
        <f>IF($D1227="","",IFERROR(INDEX(Mapping!$H$3:$H$32,MATCH($B1227,Mapping!$G$3:$G$32,0)),IF(LEFT($F1227,3)="P2P",IFERROR(INDEX(Mapping!$E$3:$E$6,MATCH($G1227,Mapping!$D$3:$D$6,0)),IFERROR(INDEX(Mapping!$B$3:$B$13,MATCH($J1227,Mapping!$A$3:$A$13,0)),"(unmapped)")),IFERROR(INDEX(Mapping!$B$17:$B$22,MATCH($F1227,Mapping!$A$17:$A$22,0)),$F1227)&amp;" "&amp;IF($G1227="Banking","Banking",IFERROR(INDEX(Mapping!$E$17:$E$28,MATCH($J1227,Mapping!$D$17:$D$28,0)),"(unmapped)")))))</f>
        <v/>
      </c>
    </row>
    <row r="1228" spans="11:11" x14ac:dyDescent="0.3">
      <c r="K1228" t="str">
        <f>IF($D1228="","",IFERROR(INDEX(Mapping!$H$3:$H$32,MATCH($B1228,Mapping!$G$3:$G$32,0)),IF(LEFT($F1228,3)="P2P",IFERROR(INDEX(Mapping!$E$3:$E$6,MATCH($G1228,Mapping!$D$3:$D$6,0)),IFERROR(INDEX(Mapping!$B$3:$B$13,MATCH($J1228,Mapping!$A$3:$A$13,0)),"(unmapped)")),IFERROR(INDEX(Mapping!$B$17:$B$22,MATCH($F1228,Mapping!$A$17:$A$22,0)),$F1228)&amp;" "&amp;IF($G1228="Banking","Banking",IFERROR(INDEX(Mapping!$E$17:$E$28,MATCH($J1228,Mapping!$D$17:$D$28,0)),"(unmapped)")))))</f>
        <v/>
      </c>
    </row>
    <row r="1229" spans="11:11" x14ac:dyDescent="0.3">
      <c r="K1229" t="str">
        <f>IF($D1229="","",IFERROR(INDEX(Mapping!$H$3:$H$32,MATCH($B1229,Mapping!$G$3:$G$32,0)),IF(LEFT($F1229,3)="P2P",IFERROR(INDEX(Mapping!$E$3:$E$6,MATCH($G1229,Mapping!$D$3:$D$6,0)),IFERROR(INDEX(Mapping!$B$3:$B$13,MATCH($J1229,Mapping!$A$3:$A$13,0)),"(unmapped)")),IFERROR(INDEX(Mapping!$B$17:$B$22,MATCH($F1229,Mapping!$A$17:$A$22,0)),$F1229)&amp;" "&amp;IF($G1229="Banking","Banking",IFERROR(INDEX(Mapping!$E$17:$E$28,MATCH($J1229,Mapping!$D$17:$D$28,0)),"(unmapped)")))))</f>
        <v/>
      </c>
    </row>
    <row r="1230" spans="11:11" x14ac:dyDescent="0.3">
      <c r="K1230" t="str">
        <f>IF($D1230="","",IFERROR(INDEX(Mapping!$H$3:$H$32,MATCH($B1230,Mapping!$G$3:$G$32,0)),IF(LEFT($F1230,3)="P2P",IFERROR(INDEX(Mapping!$E$3:$E$6,MATCH($G1230,Mapping!$D$3:$D$6,0)),IFERROR(INDEX(Mapping!$B$3:$B$13,MATCH($J1230,Mapping!$A$3:$A$13,0)),"(unmapped)")),IFERROR(INDEX(Mapping!$B$17:$B$22,MATCH($F1230,Mapping!$A$17:$A$22,0)),$F1230)&amp;" "&amp;IF($G1230="Banking","Banking",IFERROR(INDEX(Mapping!$E$17:$E$28,MATCH($J1230,Mapping!$D$17:$D$28,0)),"(unmapped)")))))</f>
        <v/>
      </c>
    </row>
    <row r="1231" spans="11:11" x14ac:dyDescent="0.3">
      <c r="K1231" t="str">
        <f>IF($D1231="","",IFERROR(INDEX(Mapping!$H$3:$H$32,MATCH($B1231,Mapping!$G$3:$G$32,0)),IF(LEFT($F1231,3)="P2P",IFERROR(INDEX(Mapping!$E$3:$E$6,MATCH($G1231,Mapping!$D$3:$D$6,0)),IFERROR(INDEX(Mapping!$B$3:$B$13,MATCH($J1231,Mapping!$A$3:$A$13,0)),"(unmapped)")),IFERROR(INDEX(Mapping!$B$17:$B$22,MATCH($F1231,Mapping!$A$17:$A$22,0)),$F1231)&amp;" "&amp;IF($G1231="Banking","Banking",IFERROR(INDEX(Mapping!$E$17:$E$28,MATCH($J1231,Mapping!$D$17:$D$28,0)),"(unmapped)")))))</f>
        <v/>
      </c>
    </row>
    <row r="1232" spans="11:11" x14ac:dyDescent="0.3">
      <c r="K1232" t="str">
        <f>IF($D1232="","",IFERROR(INDEX(Mapping!$H$3:$H$32,MATCH($B1232,Mapping!$G$3:$G$32,0)),IF(LEFT($F1232,3)="P2P",IFERROR(INDEX(Mapping!$E$3:$E$6,MATCH($G1232,Mapping!$D$3:$D$6,0)),IFERROR(INDEX(Mapping!$B$3:$B$13,MATCH($J1232,Mapping!$A$3:$A$13,0)),"(unmapped)")),IFERROR(INDEX(Mapping!$B$17:$B$22,MATCH($F1232,Mapping!$A$17:$A$22,0)),$F1232)&amp;" "&amp;IF($G1232="Banking","Banking",IFERROR(INDEX(Mapping!$E$17:$E$28,MATCH($J1232,Mapping!$D$17:$D$28,0)),"(unmapped)")))))</f>
        <v/>
      </c>
    </row>
    <row r="1233" spans="11:11" x14ac:dyDescent="0.3">
      <c r="K1233" t="str">
        <f>IF($D1233="","",IFERROR(INDEX(Mapping!$H$3:$H$32,MATCH($B1233,Mapping!$G$3:$G$32,0)),IF(LEFT($F1233,3)="P2P",IFERROR(INDEX(Mapping!$E$3:$E$6,MATCH($G1233,Mapping!$D$3:$D$6,0)),IFERROR(INDEX(Mapping!$B$3:$B$13,MATCH($J1233,Mapping!$A$3:$A$13,0)),"(unmapped)")),IFERROR(INDEX(Mapping!$B$17:$B$22,MATCH($F1233,Mapping!$A$17:$A$22,0)),$F1233)&amp;" "&amp;IF($G1233="Banking","Banking",IFERROR(INDEX(Mapping!$E$17:$E$28,MATCH($J1233,Mapping!$D$17:$D$28,0)),"(unmapped)")))))</f>
        <v/>
      </c>
    </row>
    <row r="1234" spans="11:11" x14ac:dyDescent="0.3">
      <c r="K1234" t="str">
        <f>IF($D1234="","",IFERROR(INDEX(Mapping!$H$3:$H$32,MATCH($B1234,Mapping!$G$3:$G$32,0)),IF(LEFT($F1234,3)="P2P",IFERROR(INDEX(Mapping!$E$3:$E$6,MATCH($G1234,Mapping!$D$3:$D$6,0)),IFERROR(INDEX(Mapping!$B$3:$B$13,MATCH($J1234,Mapping!$A$3:$A$13,0)),"(unmapped)")),IFERROR(INDEX(Mapping!$B$17:$B$22,MATCH($F1234,Mapping!$A$17:$A$22,0)),$F1234)&amp;" "&amp;IF($G1234="Banking","Banking",IFERROR(INDEX(Mapping!$E$17:$E$28,MATCH($J1234,Mapping!$D$17:$D$28,0)),"(unmapped)")))))</f>
        <v/>
      </c>
    </row>
    <row r="1235" spans="11:11" x14ac:dyDescent="0.3">
      <c r="K1235" t="str">
        <f>IF($D1235="","",IFERROR(INDEX(Mapping!$H$3:$H$32,MATCH($B1235,Mapping!$G$3:$G$32,0)),IF(LEFT($F1235,3)="P2P",IFERROR(INDEX(Mapping!$E$3:$E$6,MATCH($G1235,Mapping!$D$3:$D$6,0)),IFERROR(INDEX(Mapping!$B$3:$B$13,MATCH($J1235,Mapping!$A$3:$A$13,0)),"(unmapped)")),IFERROR(INDEX(Mapping!$B$17:$B$22,MATCH($F1235,Mapping!$A$17:$A$22,0)),$F1235)&amp;" "&amp;IF($G1235="Banking","Banking",IFERROR(INDEX(Mapping!$E$17:$E$28,MATCH($J1235,Mapping!$D$17:$D$28,0)),"(unmapped)")))))</f>
        <v/>
      </c>
    </row>
    <row r="1236" spans="11:11" x14ac:dyDescent="0.3">
      <c r="K1236" t="str">
        <f>IF($D1236="","",IFERROR(INDEX(Mapping!$H$3:$H$32,MATCH($B1236,Mapping!$G$3:$G$32,0)),IF(LEFT($F1236,3)="P2P",IFERROR(INDEX(Mapping!$E$3:$E$6,MATCH($G1236,Mapping!$D$3:$D$6,0)),IFERROR(INDEX(Mapping!$B$3:$B$13,MATCH($J1236,Mapping!$A$3:$A$13,0)),"(unmapped)")),IFERROR(INDEX(Mapping!$B$17:$B$22,MATCH($F1236,Mapping!$A$17:$A$22,0)),$F1236)&amp;" "&amp;IF($G1236="Banking","Banking",IFERROR(INDEX(Mapping!$E$17:$E$28,MATCH($J1236,Mapping!$D$17:$D$28,0)),"(unmapped)")))))</f>
        <v/>
      </c>
    </row>
    <row r="1237" spans="11:11" x14ac:dyDescent="0.3">
      <c r="K1237" t="str">
        <f>IF($D1237="","",IFERROR(INDEX(Mapping!$H$3:$H$32,MATCH($B1237,Mapping!$G$3:$G$32,0)),IF(LEFT($F1237,3)="P2P",IFERROR(INDEX(Mapping!$E$3:$E$6,MATCH($G1237,Mapping!$D$3:$D$6,0)),IFERROR(INDEX(Mapping!$B$3:$B$13,MATCH($J1237,Mapping!$A$3:$A$13,0)),"(unmapped)")),IFERROR(INDEX(Mapping!$B$17:$B$22,MATCH($F1237,Mapping!$A$17:$A$22,0)),$F1237)&amp;" "&amp;IF($G1237="Banking","Banking",IFERROR(INDEX(Mapping!$E$17:$E$28,MATCH($J1237,Mapping!$D$17:$D$28,0)),"(unmapped)")))))</f>
        <v/>
      </c>
    </row>
    <row r="1238" spans="11:11" x14ac:dyDescent="0.3">
      <c r="K1238" t="str">
        <f>IF($D1238="","",IFERROR(INDEX(Mapping!$H$3:$H$32,MATCH($B1238,Mapping!$G$3:$G$32,0)),IF(LEFT($F1238,3)="P2P",IFERROR(INDEX(Mapping!$E$3:$E$6,MATCH($G1238,Mapping!$D$3:$D$6,0)),IFERROR(INDEX(Mapping!$B$3:$B$13,MATCH($J1238,Mapping!$A$3:$A$13,0)),"(unmapped)")),IFERROR(INDEX(Mapping!$B$17:$B$22,MATCH($F1238,Mapping!$A$17:$A$22,0)),$F1238)&amp;" "&amp;IF($G1238="Banking","Banking",IFERROR(INDEX(Mapping!$E$17:$E$28,MATCH($J1238,Mapping!$D$17:$D$28,0)),"(unmapped)")))))</f>
        <v/>
      </c>
    </row>
    <row r="1239" spans="11:11" x14ac:dyDescent="0.3">
      <c r="K1239" t="str">
        <f>IF($D1239="","",IFERROR(INDEX(Mapping!$H$3:$H$32,MATCH($B1239,Mapping!$G$3:$G$32,0)),IF(LEFT($F1239,3)="P2P",IFERROR(INDEX(Mapping!$E$3:$E$6,MATCH($G1239,Mapping!$D$3:$D$6,0)),IFERROR(INDEX(Mapping!$B$3:$B$13,MATCH($J1239,Mapping!$A$3:$A$13,0)),"(unmapped)")),IFERROR(INDEX(Mapping!$B$17:$B$22,MATCH($F1239,Mapping!$A$17:$A$22,0)),$F1239)&amp;" "&amp;IF($G1239="Banking","Banking",IFERROR(INDEX(Mapping!$E$17:$E$28,MATCH($J1239,Mapping!$D$17:$D$28,0)),"(unmapped)")))))</f>
        <v/>
      </c>
    </row>
    <row r="1240" spans="11:11" x14ac:dyDescent="0.3">
      <c r="K1240" t="str">
        <f>IF($D1240="","",IFERROR(INDEX(Mapping!$H$3:$H$32,MATCH($B1240,Mapping!$G$3:$G$32,0)),IF(LEFT($F1240,3)="P2P",IFERROR(INDEX(Mapping!$E$3:$E$6,MATCH($G1240,Mapping!$D$3:$D$6,0)),IFERROR(INDEX(Mapping!$B$3:$B$13,MATCH($J1240,Mapping!$A$3:$A$13,0)),"(unmapped)")),IFERROR(INDEX(Mapping!$B$17:$B$22,MATCH($F1240,Mapping!$A$17:$A$22,0)),$F1240)&amp;" "&amp;IF($G1240="Banking","Banking",IFERROR(INDEX(Mapping!$E$17:$E$28,MATCH($J1240,Mapping!$D$17:$D$28,0)),"(unmapped)")))))</f>
        <v/>
      </c>
    </row>
    <row r="1241" spans="11:11" x14ac:dyDescent="0.3">
      <c r="K1241" t="str">
        <f>IF($D1241="","",IFERROR(INDEX(Mapping!$H$3:$H$32,MATCH($B1241,Mapping!$G$3:$G$32,0)),IF(LEFT($F1241,3)="P2P",IFERROR(INDEX(Mapping!$E$3:$E$6,MATCH($G1241,Mapping!$D$3:$D$6,0)),IFERROR(INDEX(Mapping!$B$3:$B$13,MATCH($J1241,Mapping!$A$3:$A$13,0)),"(unmapped)")),IFERROR(INDEX(Mapping!$B$17:$B$22,MATCH($F1241,Mapping!$A$17:$A$22,0)),$F1241)&amp;" "&amp;IF($G1241="Banking","Banking",IFERROR(INDEX(Mapping!$E$17:$E$28,MATCH($J1241,Mapping!$D$17:$D$28,0)),"(unmapped)")))))</f>
        <v/>
      </c>
    </row>
    <row r="1242" spans="11:11" x14ac:dyDescent="0.3">
      <c r="K1242" t="str">
        <f>IF($D1242="","",IFERROR(INDEX(Mapping!$H$3:$H$32,MATCH($B1242,Mapping!$G$3:$G$32,0)),IF(LEFT($F1242,3)="P2P",IFERROR(INDEX(Mapping!$E$3:$E$6,MATCH($G1242,Mapping!$D$3:$D$6,0)),IFERROR(INDEX(Mapping!$B$3:$B$13,MATCH($J1242,Mapping!$A$3:$A$13,0)),"(unmapped)")),IFERROR(INDEX(Mapping!$B$17:$B$22,MATCH($F1242,Mapping!$A$17:$A$22,0)),$F1242)&amp;" "&amp;IF($G1242="Banking","Banking",IFERROR(INDEX(Mapping!$E$17:$E$28,MATCH($J1242,Mapping!$D$17:$D$28,0)),"(unmapped)")))))</f>
        <v/>
      </c>
    </row>
    <row r="1243" spans="11:11" x14ac:dyDescent="0.3">
      <c r="K1243" t="str">
        <f>IF($D1243="","",IFERROR(INDEX(Mapping!$H$3:$H$32,MATCH($B1243,Mapping!$G$3:$G$32,0)),IF(LEFT($F1243,3)="P2P",IFERROR(INDEX(Mapping!$E$3:$E$6,MATCH($G1243,Mapping!$D$3:$D$6,0)),IFERROR(INDEX(Mapping!$B$3:$B$13,MATCH($J1243,Mapping!$A$3:$A$13,0)),"(unmapped)")),IFERROR(INDEX(Mapping!$B$17:$B$22,MATCH($F1243,Mapping!$A$17:$A$22,0)),$F1243)&amp;" "&amp;IF($G1243="Banking","Banking",IFERROR(INDEX(Mapping!$E$17:$E$28,MATCH($J1243,Mapping!$D$17:$D$28,0)),"(unmapped)")))))</f>
        <v/>
      </c>
    </row>
    <row r="1244" spans="11:11" x14ac:dyDescent="0.3">
      <c r="K1244" t="str">
        <f>IF($D1244="","",IFERROR(INDEX(Mapping!$H$3:$H$32,MATCH($B1244,Mapping!$G$3:$G$32,0)),IF(LEFT($F1244,3)="P2P",IFERROR(INDEX(Mapping!$E$3:$E$6,MATCH($G1244,Mapping!$D$3:$D$6,0)),IFERROR(INDEX(Mapping!$B$3:$B$13,MATCH($J1244,Mapping!$A$3:$A$13,0)),"(unmapped)")),IFERROR(INDEX(Mapping!$B$17:$B$22,MATCH($F1244,Mapping!$A$17:$A$22,0)),$F1244)&amp;" "&amp;IF($G1244="Banking","Banking",IFERROR(INDEX(Mapping!$E$17:$E$28,MATCH($J1244,Mapping!$D$17:$D$28,0)),"(unmapped)")))))</f>
        <v/>
      </c>
    </row>
    <row r="1245" spans="11:11" x14ac:dyDescent="0.3">
      <c r="K1245" t="str">
        <f>IF($D1245="","",IFERROR(INDEX(Mapping!$H$3:$H$32,MATCH($B1245,Mapping!$G$3:$G$32,0)),IF(LEFT($F1245,3)="P2P",IFERROR(INDEX(Mapping!$E$3:$E$6,MATCH($G1245,Mapping!$D$3:$D$6,0)),IFERROR(INDEX(Mapping!$B$3:$B$13,MATCH($J1245,Mapping!$A$3:$A$13,0)),"(unmapped)")),IFERROR(INDEX(Mapping!$B$17:$B$22,MATCH($F1245,Mapping!$A$17:$A$22,0)),$F1245)&amp;" "&amp;IF($G1245="Banking","Banking",IFERROR(INDEX(Mapping!$E$17:$E$28,MATCH($J1245,Mapping!$D$17:$D$28,0)),"(unmapped)")))))</f>
        <v/>
      </c>
    </row>
    <row r="1246" spans="11:11" x14ac:dyDescent="0.3">
      <c r="K1246" t="str">
        <f>IF($D1246="","",IFERROR(INDEX(Mapping!$H$3:$H$32,MATCH($B1246,Mapping!$G$3:$G$32,0)),IF(LEFT($F1246,3)="P2P",IFERROR(INDEX(Mapping!$E$3:$E$6,MATCH($G1246,Mapping!$D$3:$D$6,0)),IFERROR(INDEX(Mapping!$B$3:$B$13,MATCH($J1246,Mapping!$A$3:$A$13,0)),"(unmapped)")),IFERROR(INDEX(Mapping!$B$17:$B$22,MATCH($F1246,Mapping!$A$17:$A$22,0)),$F1246)&amp;" "&amp;IF($G1246="Banking","Banking",IFERROR(INDEX(Mapping!$E$17:$E$28,MATCH($J1246,Mapping!$D$17:$D$28,0)),"(unmapped)")))))</f>
        <v/>
      </c>
    </row>
    <row r="1247" spans="11:11" x14ac:dyDescent="0.3">
      <c r="K1247" t="str">
        <f>IF($D1247="","",IFERROR(INDEX(Mapping!$H$3:$H$32,MATCH($B1247,Mapping!$G$3:$G$32,0)),IF(LEFT($F1247,3)="P2P",IFERROR(INDEX(Mapping!$E$3:$E$6,MATCH($G1247,Mapping!$D$3:$D$6,0)),IFERROR(INDEX(Mapping!$B$3:$B$13,MATCH($J1247,Mapping!$A$3:$A$13,0)),"(unmapped)")),IFERROR(INDEX(Mapping!$B$17:$B$22,MATCH($F1247,Mapping!$A$17:$A$22,0)),$F1247)&amp;" "&amp;IF($G1247="Banking","Banking",IFERROR(INDEX(Mapping!$E$17:$E$28,MATCH($J1247,Mapping!$D$17:$D$28,0)),"(unmapped)")))))</f>
        <v/>
      </c>
    </row>
    <row r="1248" spans="11:11" x14ac:dyDescent="0.3">
      <c r="K1248" t="str">
        <f>IF($D1248="","",IFERROR(INDEX(Mapping!$H$3:$H$32,MATCH($B1248,Mapping!$G$3:$G$32,0)),IF(LEFT($F1248,3)="P2P",IFERROR(INDEX(Mapping!$E$3:$E$6,MATCH($G1248,Mapping!$D$3:$D$6,0)),IFERROR(INDEX(Mapping!$B$3:$B$13,MATCH($J1248,Mapping!$A$3:$A$13,0)),"(unmapped)")),IFERROR(INDEX(Mapping!$B$17:$B$22,MATCH($F1248,Mapping!$A$17:$A$22,0)),$F1248)&amp;" "&amp;IF($G1248="Banking","Banking",IFERROR(INDEX(Mapping!$E$17:$E$28,MATCH($J1248,Mapping!$D$17:$D$28,0)),"(unmapped)")))))</f>
        <v/>
      </c>
    </row>
    <row r="1249" spans="11:11" x14ac:dyDescent="0.3">
      <c r="K1249" t="str">
        <f>IF($D1249="","",IFERROR(INDEX(Mapping!$H$3:$H$32,MATCH($B1249,Mapping!$G$3:$G$32,0)),IF(LEFT($F1249,3)="P2P",IFERROR(INDEX(Mapping!$E$3:$E$6,MATCH($G1249,Mapping!$D$3:$D$6,0)),IFERROR(INDEX(Mapping!$B$3:$B$13,MATCH($J1249,Mapping!$A$3:$A$13,0)),"(unmapped)")),IFERROR(INDEX(Mapping!$B$17:$B$22,MATCH($F1249,Mapping!$A$17:$A$22,0)),$F1249)&amp;" "&amp;IF($G1249="Banking","Banking",IFERROR(INDEX(Mapping!$E$17:$E$28,MATCH($J1249,Mapping!$D$17:$D$28,0)),"(unmapped)")))))</f>
        <v/>
      </c>
    </row>
    <row r="1250" spans="11:11" x14ac:dyDescent="0.3">
      <c r="K1250" t="str">
        <f>IF($D1250="","",IFERROR(INDEX(Mapping!$H$3:$H$32,MATCH($B1250,Mapping!$G$3:$G$32,0)),IF(LEFT($F1250,3)="P2P",IFERROR(INDEX(Mapping!$E$3:$E$6,MATCH($G1250,Mapping!$D$3:$D$6,0)),IFERROR(INDEX(Mapping!$B$3:$B$13,MATCH($J1250,Mapping!$A$3:$A$13,0)),"(unmapped)")),IFERROR(INDEX(Mapping!$B$17:$B$22,MATCH($F1250,Mapping!$A$17:$A$22,0)),$F1250)&amp;" "&amp;IF($G1250="Banking","Banking",IFERROR(INDEX(Mapping!$E$17:$E$28,MATCH($J1250,Mapping!$D$17:$D$28,0)),"(unmapped)")))))</f>
        <v/>
      </c>
    </row>
    <row r="1251" spans="11:11" x14ac:dyDescent="0.3">
      <c r="K1251" t="str">
        <f>IF($D1251="","",IFERROR(INDEX(Mapping!$H$3:$H$32,MATCH($B1251,Mapping!$G$3:$G$32,0)),IF(LEFT($F1251,3)="P2P",IFERROR(INDEX(Mapping!$E$3:$E$6,MATCH($G1251,Mapping!$D$3:$D$6,0)),IFERROR(INDEX(Mapping!$B$3:$B$13,MATCH($J1251,Mapping!$A$3:$A$13,0)),"(unmapped)")),IFERROR(INDEX(Mapping!$B$17:$B$22,MATCH($F1251,Mapping!$A$17:$A$22,0)),$F1251)&amp;" "&amp;IF($G1251="Banking","Banking",IFERROR(INDEX(Mapping!$E$17:$E$28,MATCH($J1251,Mapping!$D$17:$D$28,0)),"(unmapped)")))))</f>
        <v/>
      </c>
    </row>
    <row r="1252" spans="11:11" x14ac:dyDescent="0.3">
      <c r="K1252" t="str">
        <f>IF($D1252="","",IFERROR(INDEX(Mapping!$H$3:$H$32,MATCH($B1252,Mapping!$G$3:$G$32,0)),IF(LEFT($F1252,3)="P2P",IFERROR(INDEX(Mapping!$E$3:$E$6,MATCH($G1252,Mapping!$D$3:$D$6,0)),IFERROR(INDEX(Mapping!$B$3:$B$13,MATCH($J1252,Mapping!$A$3:$A$13,0)),"(unmapped)")),IFERROR(INDEX(Mapping!$B$17:$B$22,MATCH($F1252,Mapping!$A$17:$A$22,0)),$F1252)&amp;" "&amp;IF($G1252="Banking","Banking",IFERROR(INDEX(Mapping!$E$17:$E$28,MATCH($J1252,Mapping!$D$17:$D$28,0)),"(unmapped)")))))</f>
        <v/>
      </c>
    </row>
    <row r="1253" spans="11:11" x14ac:dyDescent="0.3">
      <c r="K1253" t="str">
        <f>IF($D1253="","",IFERROR(INDEX(Mapping!$H$3:$H$32,MATCH($B1253,Mapping!$G$3:$G$32,0)),IF(LEFT($F1253,3)="P2P",IFERROR(INDEX(Mapping!$E$3:$E$6,MATCH($G1253,Mapping!$D$3:$D$6,0)),IFERROR(INDEX(Mapping!$B$3:$B$13,MATCH($J1253,Mapping!$A$3:$A$13,0)),"(unmapped)")),IFERROR(INDEX(Mapping!$B$17:$B$22,MATCH($F1253,Mapping!$A$17:$A$22,0)),$F1253)&amp;" "&amp;IF($G1253="Banking","Banking",IFERROR(INDEX(Mapping!$E$17:$E$28,MATCH($J1253,Mapping!$D$17:$D$28,0)),"(unmapped)")))))</f>
        <v/>
      </c>
    </row>
    <row r="1254" spans="11:11" x14ac:dyDescent="0.3">
      <c r="K1254" t="str">
        <f>IF($D1254="","",IFERROR(INDEX(Mapping!$H$3:$H$32,MATCH($B1254,Mapping!$G$3:$G$32,0)),IF(LEFT($F1254,3)="P2P",IFERROR(INDEX(Mapping!$E$3:$E$6,MATCH($G1254,Mapping!$D$3:$D$6,0)),IFERROR(INDEX(Mapping!$B$3:$B$13,MATCH($J1254,Mapping!$A$3:$A$13,0)),"(unmapped)")),IFERROR(INDEX(Mapping!$B$17:$B$22,MATCH($F1254,Mapping!$A$17:$A$22,0)),$F1254)&amp;" "&amp;IF($G1254="Banking","Banking",IFERROR(INDEX(Mapping!$E$17:$E$28,MATCH($J1254,Mapping!$D$17:$D$28,0)),"(unmapped)")))))</f>
        <v/>
      </c>
    </row>
    <row r="1255" spans="11:11" x14ac:dyDescent="0.3">
      <c r="K1255" t="str">
        <f>IF($D1255="","",IFERROR(INDEX(Mapping!$H$3:$H$32,MATCH($B1255,Mapping!$G$3:$G$32,0)),IF(LEFT($F1255,3)="P2P",IFERROR(INDEX(Mapping!$E$3:$E$6,MATCH($G1255,Mapping!$D$3:$D$6,0)),IFERROR(INDEX(Mapping!$B$3:$B$13,MATCH($J1255,Mapping!$A$3:$A$13,0)),"(unmapped)")),IFERROR(INDEX(Mapping!$B$17:$B$22,MATCH($F1255,Mapping!$A$17:$A$22,0)),$F1255)&amp;" "&amp;IF($G1255="Banking","Banking",IFERROR(INDEX(Mapping!$E$17:$E$28,MATCH($J1255,Mapping!$D$17:$D$28,0)),"(unmapped)")))))</f>
        <v/>
      </c>
    </row>
    <row r="1256" spans="11:11" x14ac:dyDescent="0.3">
      <c r="K1256" t="str">
        <f>IF($D1256="","",IFERROR(INDEX(Mapping!$H$3:$H$32,MATCH($B1256,Mapping!$G$3:$G$32,0)),IF(LEFT($F1256,3)="P2P",IFERROR(INDEX(Mapping!$E$3:$E$6,MATCH($G1256,Mapping!$D$3:$D$6,0)),IFERROR(INDEX(Mapping!$B$3:$B$13,MATCH($J1256,Mapping!$A$3:$A$13,0)),"(unmapped)")),IFERROR(INDEX(Mapping!$B$17:$B$22,MATCH($F1256,Mapping!$A$17:$A$22,0)),$F1256)&amp;" "&amp;IF($G1256="Banking","Banking",IFERROR(INDEX(Mapping!$E$17:$E$28,MATCH($J1256,Mapping!$D$17:$D$28,0)),"(unmapped)")))))</f>
        <v/>
      </c>
    </row>
    <row r="1257" spans="11:11" x14ac:dyDescent="0.3">
      <c r="K1257" t="str">
        <f>IF($D1257="","",IFERROR(INDEX(Mapping!$H$3:$H$32,MATCH($B1257,Mapping!$G$3:$G$32,0)),IF(LEFT($F1257,3)="P2P",IFERROR(INDEX(Mapping!$E$3:$E$6,MATCH($G1257,Mapping!$D$3:$D$6,0)),IFERROR(INDEX(Mapping!$B$3:$B$13,MATCH($J1257,Mapping!$A$3:$A$13,0)),"(unmapped)")),IFERROR(INDEX(Mapping!$B$17:$B$22,MATCH($F1257,Mapping!$A$17:$A$22,0)),$F1257)&amp;" "&amp;IF($G1257="Banking","Banking",IFERROR(INDEX(Mapping!$E$17:$E$28,MATCH($J1257,Mapping!$D$17:$D$28,0)),"(unmapped)")))))</f>
        <v/>
      </c>
    </row>
    <row r="1258" spans="11:11" x14ac:dyDescent="0.3">
      <c r="K1258" t="str">
        <f>IF($D1258="","",IFERROR(INDEX(Mapping!$H$3:$H$32,MATCH($B1258,Mapping!$G$3:$G$32,0)),IF(LEFT($F1258,3)="P2P",IFERROR(INDEX(Mapping!$E$3:$E$6,MATCH($G1258,Mapping!$D$3:$D$6,0)),IFERROR(INDEX(Mapping!$B$3:$B$13,MATCH($J1258,Mapping!$A$3:$A$13,0)),"(unmapped)")),IFERROR(INDEX(Mapping!$B$17:$B$22,MATCH($F1258,Mapping!$A$17:$A$22,0)),$F1258)&amp;" "&amp;IF($G1258="Banking","Banking",IFERROR(INDEX(Mapping!$E$17:$E$28,MATCH($J1258,Mapping!$D$17:$D$28,0)),"(unmapped)")))))</f>
        <v/>
      </c>
    </row>
    <row r="1259" spans="11:11" x14ac:dyDescent="0.3">
      <c r="K1259" t="str">
        <f>IF($D1259="","",IFERROR(INDEX(Mapping!$H$3:$H$32,MATCH($B1259,Mapping!$G$3:$G$32,0)),IF(LEFT($F1259,3)="P2P",IFERROR(INDEX(Mapping!$E$3:$E$6,MATCH($G1259,Mapping!$D$3:$D$6,0)),IFERROR(INDEX(Mapping!$B$3:$B$13,MATCH($J1259,Mapping!$A$3:$A$13,0)),"(unmapped)")),IFERROR(INDEX(Mapping!$B$17:$B$22,MATCH($F1259,Mapping!$A$17:$A$22,0)),$F1259)&amp;" "&amp;IF($G1259="Banking","Banking",IFERROR(INDEX(Mapping!$E$17:$E$28,MATCH($J1259,Mapping!$D$17:$D$28,0)),"(unmapped)")))))</f>
        <v/>
      </c>
    </row>
    <row r="1260" spans="11:11" x14ac:dyDescent="0.3">
      <c r="K1260" t="str">
        <f>IF($D1260="","",IFERROR(INDEX(Mapping!$H$3:$H$32,MATCH($B1260,Mapping!$G$3:$G$32,0)),IF(LEFT($F1260,3)="P2P",IFERROR(INDEX(Mapping!$E$3:$E$6,MATCH($G1260,Mapping!$D$3:$D$6,0)),IFERROR(INDEX(Mapping!$B$3:$B$13,MATCH($J1260,Mapping!$A$3:$A$13,0)),"(unmapped)")),IFERROR(INDEX(Mapping!$B$17:$B$22,MATCH($F1260,Mapping!$A$17:$A$22,0)),$F1260)&amp;" "&amp;IF($G1260="Banking","Banking",IFERROR(INDEX(Mapping!$E$17:$E$28,MATCH($J1260,Mapping!$D$17:$D$28,0)),"(unmapped)")))))</f>
        <v/>
      </c>
    </row>
    <row r="1261" spans="11:11" x14ac:dyDescent="0.3">
      <c r="K1261" t="str">
        <f>IF($D1261="","",IFERROR(INDEX(Mapping!$H$3:$H$32,MATCH($B1261,Mapping!$G$3:$G$32,0)),IF(LEFT($F1261,3)="P2P",IFERROR(INDEX(Mapping!$E$3:$E$6,MATCH($G1261,Mapping!$D$3:$D$6,0)),IFERROR(INDEX(Mapping!$B$3:$B$13,MATCH($J1261,Mapping!$A$3:$A$13,0)),"(unmapped)")),IFERROR(INDEX(Mapping!$B$17:$B$22,MATCH($F1261,Mapping!$A$17:$A$22,0)),$F1261)&amp;" "&amp;IF($G1261="Banking","Banking",IFERROR(INDEX(Mapping!$E$17:$E$28,MATCH($J1261,Mapping!$D$17:$D$28,0)),"(unmapped)")))))</f>
        <v/>
      </c>
    </row>
    <row r="1262" spans="11:11" x14ac:dyDescent="0.3">
      <c r="K1262" t="str">
        <f>IF($D1262="","",IFERROR(INDEX(Mapping!$H$3:$H$32,MATCH($B1262,Mapping!$G$3:$G$32,0)),IF(LEFT($F1262,3)="P2P",IFERROR(INDEX(Mapping!$E$3:$E$6,MATCH($G1262,Mapping!$D$3:$D$6,0)),IFERROR(INDEX(Mapping!$B$3:$B$13,MATCH($J1262,Mapping!$A$3:$A$13,0)),"(unmapped)")),IFERROR(INDEX(Mapping!$B$17:$B$22,MATCH($F1262,Mapping!$A$17:$A$22,0)),$F1262)&amp;" "&amp;IF($G1262="Banking","Banking",IFERROR(INDEX(Mapping!$E$17:$E$28,MATCH($J1262,Mapping!$D$17:$D$28,0)),"(unmapped)")))))</f>
        <v/>
      </c>
    </row>
    <row r="1263" spans="11:11" x14ac:dyDescent="0.3">
      <c r="K1263" t="str">
        <f>IF($D1263="","",IFERROR(INDEX(Mapping!$H$3:$H$32,MATCH($B1263,Mapping!$G$3:$G$32,0)),IF(LEFT($F1263,3)="P2P",IFERROR(INDEX(Mapping!$E$3:$E$6,MATCH($G1263,Mapping!$D$3:$D$6,0)),IFERROR(INDEX(Mapping!$B$3:$B$13,MATCH($J1263,Mapping!$A$3:$A$13,0)),"(unmapped)")),IFERROR(INDEX(Mapping!$B$17:$B$22,MATCH($F1263,Mapping!$A$17:$A$22,0)),$F1263)&amp;" "&amp;IF($G1263="Banking","Banking",IFERROR(INDEX(Mapping!$E$17:$E$28,MATCH($J1263,Mapping!$D$17:$D$28,0)),"(unmapped)")))))</f>
        <v/>
      </c>
    </row>
    <row r="1264" spans="11:11" x14ac:dyDescent="0.3">
      <c r="K1264" t="str">
        <f>IF($D1264="","",IFERROR(INDEX(Mapping!$H$3:$H$32,MATCH($B1264,Mapping!$G$3:$G$32,0)),IF(LEFT($F1264,3)="P2P",IFERROR(INDEX(Mapping!$E$3:$E$6,MATCH($G1264,Mapping!$D$3:$D$6,0)),IFERROR(INDEX(Mapping!$B$3:$B$13,MATCH($J1264,Mapping!$A$3:$A$13,0)),"(unmapped)")),IFERROR(INDEX(Mapping!$B$17:$B$22,MATCH($F1264,Mapping!$A$17:$A$22,0)),$F1264)&amp;" "&amp;IF($G1264="Banking","Banking",IFERROR(INDEX(Mapping!$E$17:$E$28,MATCH($J1264,Mapping!$D$17:$D$28,0)),"(unmapped)")))))</f>
        <v/>
      </c>
    </row>
    <row r="1265" spans="11:11" x14ac:dyDescent="0.3">
      <c r="K1265" t="str">
        <f>IF($D1265="","",IFERROR(INDEX(Mapping!$H$3:$H$32,MATCH($B1265,Mapping!$G$3:$G$32,0)),IF(LEFT($F1265,3)="P2P",IFERROR(INDEX(Mapping!$E$3:$E$6,MATCH($G1265,Mapping!$D$3:$D$6,0)),IFERROR(INDEX(Mapping!$B$3:$B$13,MATCH($J1265,Mapping!$A$3:$A$13,0)),"(unmapped)")),IFERROR(INDEX(Mapping!$B$17:$B$22,MATCH($F1265,Mapping!$A$17:$A$22,0)),$F1265)&amp;" "&amp;IF($G1265="Banking","Banking",IFERROR(INDEX(Mapping!$E$17:$E$28,MATCH($J1265,Mapping!$D$17:$D$28,0)),"(unmapped)")))))</f>
        <v/>
      </c>
    </row>
    <row r="1266" spans="11:11" x14ac:dyDescent="0.3">
      <c r="K1266" t="str">
        <f>IF($D1266="","",IFERROR(INDEX(Mapping!$H$3:$H$32,MATCH($B1266,Mapping!$G$3:$G$32,0)),IF(LEFT($F1266,3)="P2P",IFERROR(INDEX(Mapping!$E$3:$E$6,MATCH($G1266,Mapping!$D$3:$D$6,0)),IFERROR(INDEX(Mapping!$B$3:$B$13,MATCH($J1266,Mapping!$A$3:$A$13,0)),"(unmapped)")),IFERROR(INDEX(Mapping!$B$17:$B$22,MATCH($F1266,Mapping!$A$17:$A$22,0)),$F1266)&amp;" "&amp;IF($G1266="Banking","Banking",IFERROR(INDEX(Mapping!$E$17:$E$28,MATCH($J1266,Mapping!$D$17:$D$28,0)),"(unmapped)")))))</f>
        <v/>
      </c>
    </row>
    <row r="1267" spans="11:11" x14ac:dyDescent="0.3">
      <c r="K1267" t="str">
        <f>IF($D1267="","",IFERROR(INDEX(Mapping!$H$3:$H$32,MATCH($B1267,Mapping!$G$3:$G$32,0)),IF(LEFT($F1267,3)="P2P",IFERROR(INDEX(Mapping!$E$3:$E$6,MATCH($G1267,Mapping!$D$3:$D$6,0)),IFERROR(INDEX(Mapping!$B$3:$B$13,MATCH($J1267,Mapping!$A$3:$A$13,0)),"(unmapped)")),IFERROR(INDEX(Mapping!$B$17:$B$22,MATCH($F1267,Mapping!$A$17:$A$22,0)),$F1267)&amp;" "&amp;IF($G1267="Banking","Banking",IFERROR(INDEX(Mapping!$E$17:$E$28,MATCH($J1267,Mapping!$D$17:$D$28,0)),"(unmapped)")))))</f>
        <v/>
      </c>
    </row>
    <row r="1268" spans="11:11" x14ac:dyDescent="0.3">
      <c r="K1268" t="str">
        <f>IF($D1268="","",IFERROR(INDEX(Mapping!$H$3:$H$32,MATCH($B1268,Mapping!$G$3:$G$32,0)),IF(LEFT($F1268,3)="P2P",IFERROR(INDEX(Mapping!$E$3:$E$6,MATCH($G1268,Mapping!$D$3:$D$6,0)),IFERROR(INDEX(Mapping!$B$3:$B$13,MATCH($J1268,Mapping!$A$3:$A$13,0)),"(unmapped)")),IFERROR(INDEX(Mapping!$B$17:$B$22,MATCH($F1268,Mapping!$A$17:$A$22,0)),$F1268)&amp;" "&amp;IF($G1268="Banking","Banking",IFERROR(INDEX(Mapping!$E$17:$E$28,MATCH($J1268,Mapping!$D$17:$D$28,0)),"(unmapped)")))))</f>
        <v/>
      </c>
    </row>
    <row r="1269" spans="11:11" x14ac:dyDescent="0.3">
      <c r="K1269" t="str">
        <f>IF($D1269="","",IFERROR(INDEX(Mapping!$H$3:$H$32,MATCH($B1269,Mapping!$G$3:$G$32,0)),IF(LEFT($F1269,3)="P2P",IFERROR(INDEX(Mapping!$E$3:$E$6,MATCH($G1269,Mapping!$D$3:$D$6,0)),IFERROR(INDEX(Mapping!$B$3:$B$13,MATCH($J1269,Mapping!$A$3:$A$13,0)),"(unmapped)")),IFERROR(INDEX(Mapping!$B$17:$B$22,MATCH($F1269,Mapping!$A$17:$A$22,0)),$F1269)&amp;" "&amp;IF($G1269="Banking","Banking",IFERROR(INDEX(Mapping!$E$17:$E$28,MATCH($J1269,Mapping!$D$17:$D$28,0)),"(unmapped)")))))</f>
        <v/>
      </c>
    </row>
    <row r="1270" spans="11:11" x14ac:dyDescent="0.3">
      <c r="K1270" t="str">
        <f>IF($D1270="","",IFERROR(INDEX(Mapping!$H$3:$H$32,MATCH($B1270,Mapping!$G$3:$G$32,0)),IF(LEFT($F1270,3)="P2P",IFERROR(INDEX(Mapping!$E$3:$E$6,MATCH($G1270,Mapping!$D$3:$D$6,0)),IFERROR(INDEX(Mapping!$B$3:$B$13,MATCH($J1270,Mapping!$A$3:$A$13,0)),"(unmapped)")),IFERROR(INDEX(Mapping!$B$17:$B$22,MATCH($F1270,Mapping!$A$17:$A$22,0)),$F1270)&amp;" "&amp;IF($G1270="Banking","Banking",IFERROR(INDEX(Mapping!$E$17:$E$28,MATCH($J1270,Mapping!$D$17:$D$28,0)),"(unmapped)")))))</f>
        <v/>
      </c>
    </row>
    <row r="1271" spans="11:11" x14ac:dyDescent="0.3">
      <c r="K1271" t="str">
        <f>IF($D1271="","",IFERROR(INDEX(Mapping!$H$3:$H$32,MATCH($B1271,Mapping!$G$3:$G$32,0)),IF(LEFT($F1271,3)="P2P",IFERROR(INDEX(Mapping!$E$3:$E$6,MATCH($G1271,Mapping!$D$3:$D$6,0)),IFERROR(INDEX(Mapping!$B$3:$B$13,MATCH($J1271,Mapping!$A$3:$A$13,0)),"(unmapped)")),IFERROR(INDEX(Mapping!$B$17:$B$22,MATCH($F1271,Mapping!$A$17:$A$22,0)),$F1271)&amp;" "&amp;IF($G1271="Banking","Banking",IFERROR(INDEX(Mapping!$E$17:$E$28,MATCH($J1271,Mapping!$D$17:$D$28,0)),"(unmapped)")))))</f>
        <v/>
      </c>
    </row>
    <row r="1272" spans="11:11" x14ac:dyDescent="0.3">
      <c r="K1272" t="str">
        <f>IF($D1272="","",IFERROR(INDEX(Mapping!$H$3:$H$32,MATCH($B1272,Mapping!$G$3:$G$32,0)),IF(LEFT($F1272,3)="P2P",IFERROR(INDEX(Mapping!$E$3:$E$6,MATCH($G1272,Mapping!$D$3:$D$6,0)),IFERROR(INDEX(Mapping!$B$3:$B$13,MATCH($J1272,Mapping!$A$3:$A$13,0)),"(unmapped)")),IFERROR(INDEX(Mapping!$B$17:$B$22,MATCH($F1272,Mapping!$A$17:$A$22,0)),$F1272)&amp;" "&amp;IF($G1272="Banking","Banking",IFERROR(INDEX(Mapping!$E$17:$E$28,MATCH($J1272,Mapping!$D$17:$D$28,0)),"(unmapped)")))))</f>
        <v/>
      </c>
    </row>
    <row r="1273" spans="11:11" x14ac:dyDescent="0.3">
      <c r="K1273" t="str">
        <f>IF($D1273="","",IFERROR(INDEX(Mapping!$H$3:$H$32,MATCH($B1273,Mapping!$G$3:$G$32,0)),IF(LEFT($F1273,3)="P2P",IFERROR(INDEX(Mapping!$E$3:$E$6,MATCH($G1273,Mapping!$D$3:$D$6,0)),IFERROR(INDEX(Mapping!$B$3:$B$13,MATCH($J1273,Mapping!$A$3:$A$13,0)),"(unmapped)")),IFERROR(INDEX(Mapping!$B$17:$B$22,MATCH($F1273,Mapping!$A$17:$A$22,0)),$F1273)&amp;" "&amp;IF($G1273="Banking","Banking",IFERROR(INDEX(Mapping!$E$17:$E$28,MATCH($J1273,Mapping!$D$17:$D$28,0)),"(unmapped)")))))</f>
        <v/>
      </c>
    </row>
    <row r="1274" spans="11:11" x14ac:dyDescent="0.3">
      <c r="K1274" t="str">
        <f>IF($D1274="","",IFERROR(INDEX(Mapping!$H$3:$H$32,MATCH($B1274,Mapping!$G$3:$G$32,0)),IF(LEFT($F1274,3)="P2P",IFERROR(INDEX(Mapping!$E$3:$E$6,MATCH($G1274,Mapping!$D$3:$D$6,0)),IFERROR(INDEX(Mapping!$B$3:$B$13,MATCH($J1274,Mapping!$A$3:$A$13,0)),"(unmapped)")),IFERROR(INDEX(Mapping!$B$17:$B$22,MATCH($F1274,Mapping!$A$17:$A$22,0)),$F1274)&amp;" "&amp;IF($G1274="Banking","Banking",IFERROR(INDEX(Mapping!$E$17:$E$28,MATCH($J1274,Mapping!$D$17:$D$28,0)),"(unmapped)")))))</f>
        <v/>
      </c>
    </row>
    <row r="1275" spans="11:11" x14ac:dyDescent="0.3">
      <c r="K1275" t="str">
        <f>IF($D1275="","",IFERROR(INDEX(Mapping!$H$3:$H$32,MATCH($B1275,Mapping!$G$3:$G$32,0)),IF(LEFT($F1275,3)="P2P",IFERROR(INDEX(Mapping!$E$3:$E$6,MATCH($G1275,Mapping!$D$3:$D$6,0)),IFERROR(INDEX(Mapping!$B$3:$B$13,MATCH($J1275,Mapping!$A$3:$A$13,0)),"(unmapped)")),IFERROR(INDEX(Mapping!$B$17:$B$22,MATCH($F1275,Mapping!$A$17:$A$22,0)),$F1275)&amp;" "&amp;IF($G1275="Banking","Banking",IFERROR(INDEX(Mapping!$E$17:$E$28,MATCH($J1275,Mapping!$D$17:$D$28,0)),"(unmapped)")))))</f>
        <v/>
      </c>
    </row>
    <row r="1276" spans="11:11" x14ac:dyDescent="0.3">
      <c r="K1276" t="str">
        <f>IF($D1276="","",IFERROR(INDEX(Mapping!$H$3:$H$32,MATCH($B1276,Mapping!$G$3:$G$32,0)),IF(LEFT($F1276,3)="P2P",IFERROR(INDEX(Mapping!$E$3:$E$6,MATCH($G1276,Mapping!$D$3:$D$6,0)),IFERROR(INDEX(Mapping!$B$3:$B$13,MATCH($J1276,Mapping!$A$3:$A$13,0)),"(unmapped)")),IFERROR(INDEX(Mapping!$B$17:$B$22,MATCH($F1276,Mapping!$A$17:$A$22,0)),$F1276)&amp;" "&amp;IF($G1276="Banking","Banking",IFERROR(INDEX(Mapping!$E$17:$E$28,MATCH($J1276,Mapping!$D$17:$D$28,0)),"(unmapped)")))))</f>
        <v/>
      </c>
    </row>
    <row r="1277" spans="11:11" x14ac:dyDescent="0.3">
      <c r="K1277" t="str">
        <f>IF($D1277="","",IFERROR(INDEX(Mapping!$H$3:$H$32,MATCH($B1277,Mapping!$G$3:$G$32,0)),IF(LEFT($F1277,3)="P2P",IFERROR(INDEX(Mapping!$E$3:$E$6,MATCH($G1277,Mapping!$D$3:$D$6,0)),IFERROR(INDEX(Mapping!$B$3:$B$13,MATCH($J1277,Mapping!$A$3:$A$13,0)),"(unmapped)")),IFERROR(INDEX(Mapping!$B$17:$B$22,MATCH($F1277,Mapping!$A$17:$A$22,0)),$F1277)&amp;" "&amp;IF($G1277="Banking","Banking",IFERROR(INDEX(Mapping!$E$17:$E$28,MATCH($J1277,Mapping!$D$17:$D$28,0)),"(unmapped)")))))</f>
        <v/>
      </c>
    </row>
    <row r="1278" spans="11:11" x14ac:dyDescent="0.3">
      <c r="K1278" t="str">
        <f>IF($D1278="","",IFERROR(INDEX(Mapping!$H$3:$H$32,MATCH($B1278,Mapping!$G$3:$G$32,0)),IF(LEFT($F1278,3)="P2P",IFERROR(INDEX(Mapping!$E$3:$E$6,MATCH($G1278,Mapping!$D$3:$D$6,0)),IFERROR(INDEX(Mapping!$B$3:$B$13,MATCH($J1278,Mapping!$A$3:$A$13,0)),"(unmapped)")),IFERROR(INDEX(Mapping!$B$17:$B$22,MATCH($F1278,Mapping!$A$17:$A$22,0)),$F1278)&amp;" "&amp;IF($G1278="Banking","Banking",IFERROR(INDEX(Mapping!$E$17:$E$28,MATCH($J1278,Mapping!$D$17:$D$28,0)),"(unmapped)")))))</f>
        <v/>
      </c>
    </row>
    <row r="1279" spans="11:11" x14ac:dyDescent="0.3">
      <c r="K1279" t="str">
        <f>IF($D1279="","",IFERROR(INDEX(Mapping!$H$3:$H$32,MATCH($B1279,Mapping!$G$3:$G$32,0)),IF(LEFT($F1279,3)="P2P",IFERROR(INDEX(Mapping!$E$3:$E$6,MATCH($G1279,Mapping!$D$3:$D$6,0)),IFERROR(INDEX(Mapping!$B$3:$B$13,MATCH($J1279,Mapping!$A$3:$A$13,0)),"(unmapped)")),IFERROR(INDEX(Mapping!$B$17:$B$22,MATCH($F1279,Mapping!$A$17:$A$22,0)),$F1279)&amp;" "&amp;IF($G1279="Banking","Banking",IFERROR(INDEX(Mapping!$E$17:$E$28,MATCH($J1279,Mapping!$D$17:$D$28,0)),"(unmapped)")))))</f>
        <v/>
      </c>
    </row>
    <row r="1280" spans="11:11" x14ac:dyDescent="0.3">
      <c r="K1280" t="str">
        <f>IF($D1280="","",IFERROR(INDEX(Mapping!$H$3:$H$32,MATCH($B1280,Mapping!$G$3:$G$32,0)),IF(LEFT($F1280,3)="P2P",IFERROR(INDEX(Mapping!$E$3:$E$6,MATCH($G1280,Mapping!$D$3:$D$6,0)),IFERROR(INDEX(Mapping!$B$3:$B$13,MATCH($J1280,Mapping!$A$3:$A$13,0)),"(unmapped)")),IFERROR(INDEX(Mapping!$B$17:$B$22,MATCH($F1280,Mapping!$A$17:$A$22,0)),$F1280)&amp;" "&amp;IF($G1280="Banking","Banking",IFERROR(INDEX(Mapping!$E$17:$E$28,MATCH($J1280,Mapping!$D$17:$D$28,0)),"(unmapped)")))))</f>
        <v/>
      </c>
    </row>
    <row r="1281" spans="11:11" x14ac:dyDescent="0.3">
      <c r="K1281" t="str">
        <f>IF($D1281="","",IFERROR(INDEX(Mapping!$H$3:$H$32,MATCH($B1281,Mapping!$G$3:$G$32,0)),IF(LEFT($F1281,3)="P2P",IFERROR(INDEX(Mapping!$E$3:$E$6,MATCH($G1281,Mapping!$D$3:$D$6,0)),IFERROR(INDEX(Mapping!$B$3:$B$13,MATCH($J1281,Mapping!$A$3:$A$13,0)),"(unmapped)")),IFERROR(INDEX(Mapping!$B$17:$B$22,MATCH($F1281,Mapping!$A$17:$A$22,0)),$F1281)&amp;" "&amp;IF($G1281="Banking","Banking",IFERROR(INDEX(Mapping!$E$17:$E$28,MATCH($J1281,Mapping!$D$17:$D$28,0)),"(unmapped)")))))</f>
        <v/>
      </c>
    </row>
    <row r="1282" spans="11:11" x14ac:dyDescent="0.3">
      <c r="K1282" t="str">
        <f>IF($D1282="","",IFERROR(INDEX(Mapping!$H$3:$H$32,MATCH($B1282,Mapping!$G$3:$G$32,0)),IF(LEFT($F1282,3)="P2P",IFERROR(INDEX(Mapping!$E$3:$E$6,MATCH($G1282,Mapping!$D$3:$D$6,0)),IFERROR(INDEX(Mapping!$B$3:$B$13,MATCH($J1282,Mapping!$A$3:$A$13,0)),"(unmapped)")),IFERROR(INDEX(Mapping!$B$17:$B$22,MATCH($F1282,Mapping!$A$17:$A$22,0)),$F1282)&amp;" "&amp;IF($G1282="Banking","Banking",IFERROR(INDEX(Mapping!$E$17:$E$28,MATCH($J1282,Mapping!$D$17:$D$28,0)),"(unmapped)")))))</f>
        <v/>
      </c>
    </row>
    <row r="1283" spans="11:11" x14ac:dyDescent="0.3">
      <c r="K1283" t="str">
        <f>IF($D1283="","",IFERROR(INDEX(Mapping!$H$3:$H$32,MATCH($B1283,Mapping!$G$3:$G$32,0)),IF(LEFT($F1283,3)="P2P",IFERROR(INDEX(Mapping!$E$3:$E$6,MATCH($G1283,Mapping!$D$3:$D$6,0)),IFERROR(INDEX(Mapping!$B$3:$B$13,MATCH($J1283,Mapping!$A$3:$A$13,0)),"(unmapped)")),IFERROR(INDEX(Mapping!$B$17:$B$22,MATCH($F1283,Mapping!$A$17:$A$22,0)),$F1283)&amp;" "&amp;IF($G1283="Banking","Banking",IFERROR(INDEX(Mapping!$E$17:$E$28,MATCH($J1283,Mapping!$D$17:$D$28,0)),"(unmapped)")))))</f>
        <v/>
      </c>
    </row>
    <row r="1284" spans="11:11" x14ac:dyDescent="0.3">
      <c r="K1284" t="str">
        <f>IF($D1284="","",IFERROR(INDEX(Mapping!$H$3:$H$32,MATCH($B1284,Mapping!$G$3:$G$32,0)),IF(LEFT($F1284,3)="P2P",IFERROR(INDEX(Mapping!$E$3:$E$6,MATCH($G1284,Mapping!$D$3:$D$6,0)),IFERROR(INDEX(Mapping!$B$3:$B$13,MATCH($J1284,Mapping!$A$3:$A$13,0)),"(unmapped)")),IFERROR(INDEX(Mapping!$B$17:$B$22,MATCH($F1284,Mapping!$A$17:$A$22,0)),$F1284)&amp;" "&amp;IF($G1284="Banking","Banking",IFERROR(INDEX(Mapping!$E$17:$E$28,MATCH($J1284,Mapping!$D$17:$D$28,0)),"(unmapped)")))))</f>
        <v/>
      </c>
    </row>
    <row r="1285" spans="11:11" x14ac:dyDescent="0.3">
      <c r="K1285" t="str">
        <f>IF($D1285="","",IFERROR(INDEX(Mapping!$H$3:$H$32,MATCH($B1285,Mapping!$G$3:$G$32,0)),IF(LEFT($F1285,3)="P2P",IFERROR(INDEX(Mapping!$E$3:$E$6,MATCH($G1285,Mapping!$D$3:$D$6,0)),IFERROR(INDEX(Mapping!$B$3:$B$13,MATCH($J1285,Mapping!$A$3:$A$13,0)),"(unmapped)")),IFERROR(INDEX(Mapping!$B$17:$B$22,MATCH($F1285,Mapping!$A$17:$A$22,0)),$F1285)&amp;" "&amp;IF($G1285="Banking","Banking",IFERROR(INDEX(Mapping!$E$17:$E$28,MATCH($J1285,Mapping!$D$17:$D$28,0)),"(unmapped)")))))</f>
        <v/>
      </c>
    </row>
    <row r="1286" spans="11:11" x14ac:dyDescent="0.3">
      <c r="K1286" t="str">
        <f>IF($D1286="","",IFERROR(INDEX(Mapping!$H$3:$H$32,MATCH($B1286,Mapping!$G$3:$G$32,0)),IF(LEFT($F1286,3)="P2P",IFERROR(INDEX(Mapping!$E$3:$E$6,MATCH($G1286,Mapping!$D$3:$D$6,0)),IFERROR(INDEX(Mapping!$B$3:$B$13,MATCH($J1286,Mapping!$A$3:$A$13,0)),"(unmapped)")),IFERROR(INDEX(Mapping!$B$17:$B$22,MATCH($F1286,Mapping!$A$17:$A$22,0)),$F1286)&amp;" "&amp;IF($G1286="Banking","Banking",IFERROR(INDEX(Mapping!$E$17:$E$28,MATCH($J1286,Mapping!$D$17:$D$28,0)),"(unmapped)")))))</f>
        <v/>
      </c>
    </row>
    <row r="1287" spans="11:11" x14ac:dyDescent="0.3">
      <c r="K1287" t="str">
        <f>IF($D1287="","",IFERROR(INDEX(Mapping!$H$3:$H$32,MATCH($B1287,Mapping!$G$3:$G$32,0)),IF(LEFT($F1287,3)="P2P",IFERROR(INDEX(Mapping!$E$3:$E$6,MATCH($G1287,Mapping!$D$3:$D$6,0)),IFERROR(INDEX(Mapping!$B$3:$B$13,MATCH($J1287,Mapping!$A$3:$A$13,0)),"(unmapped)")),IFERROR(INDEX(Mapping!$B$17:$B$22,MATCH($F1287,Mapping!$A$17:$A$22,0)),$F1287)&amp;" "&amp;IF($G1287="Banking","Banking",IFERROR(INDEX(Mapping!$E$17:$E$28,MATCH($J1287,Mapping!$D$17:$D$28,0)),"(unmapped)")))))</f>
        <v/>
      </c>
    </row>
    <row r="1288" spans="11:11" x14ac:dyDescent="0.3">
      <c r="K1288" t="str">
        <f>IF($D1288="","",IFERROR(INDEX(Mapping!$H$3:$H$32,MATCH($B1288,Mapping!$G$3:$G$32,0)),IF(LEFT($F1288,3)="P2P",IFERROR(INDEX(Mapping!$E$3:$E$6,MATCH($G1288,Mapping!$D$3:$D$6,0)),IFERROR(INDEX(Mapping!$B$3:$B$13,MATCH($J1288,Mapping!$A$3:$A$13,0)),"(unmapped)")),IFERROR(INDEX(Mapping!$B$17:$B$22,MATCH($F1288,Mapping!$A$17:$A$22,0)),$F1288)&amp;" "&amp;IF($G1288="Banking","Banking",IFERROR(INDEX(Mapping!$E$17:$E$28,MATCH($J1288,Mapping!$D$17:$D$28,0)),"(unmapped)")))))</f>
        <v/>
      </c>
    </row>
    <row r="1289" spans="11:11" x14ac:dyDescent="0.3">
      <c r="K1289" t="str">
        <f>IF($D1289="","",IFERROR(INDEX(Mapping!$H$3:$H$32,MATCH($B1289,Mapping!$G$3:$G$32,0)),IF(LEFT($F1289,3)="P2P",IFERROR(INDEX(Mapping!$E$3:$E$6,MATCH($G1289,Mapping!$D$3:$D$6,0)),IFERROR(INDEX(Mapping!$B$3:$B$13,MATCH($J1289,Mapping!$A$3:$A$13,0)),"(unmapped)")),IFERROR(INDEX(Mapping!$B$17:$B$22,MATCH($F1289,Mapping!$A$17:$A$22,0)),$F1289)&amp;" "&amp;IF($G1289="Banking","Banking",IFERROR(INDEX(Mapping!$E$17:$E$28,MATCH($J1289,Mapping!$D$17:$D$28,0)),"(unmapped)")))))</f>
        <v/>
      </c>
    </row>
    <row r="1290" spans="11:11" x14ac:dyDescent="0.3">
      <c r="K1290" t="str">
        <f>IF($D1290="","",IFERROR(INDEX(Mapping!$H$3:$H$32,MATCH($B1290,Mapping!$G$3:$G$32,0)),IF(LEFT($F1290,3)="P2P",IFERROR(INDEX(Mapping!$E$3:$E$6,MATCH($G1290,Mapping!$D$3:$D$6,0)),IFERROR(INDEX(Mapping!$B$3:$B$13,MATCH($J1290,Mapping!$A$3:$A$13,0)),"(unmapped)")),IFERROR(INDEX(Mapping!$B$17:$B$22,MATCH($F1290,Mapping!$A$17:$A$22,0)),$F1290)&amp;" "&amp;IF($G1290="Banking","Banking",IFERROR(INDEX(Mapping!$E$17:$E$28,MATCH($J1290,Mapping!$D$17:$D$28,0)),"(unmapped)")))))</f>
        <v/>
      </c>
    </row>
    <row r="1291" spans="11:11" x14ac:dyDescent="0.3">
      <c r="K1291" t="str">
        <f>IF($D1291="","",IFERROR(INDEX(Mapping!$H$3:$H$32,MATCH($B1291,Mapping!$G$3:$G$32,0)),IF(LEFT($F1291,3)="P2P",IFERROR(INDEX(Mapping!$E$3:$E$6,MATCH($G1291,Mapping!$D$3:$D$6,0)),IFERROR(INDEX(Mapping!$B$3:$B$13,MATCH($J1291,Mapping!$A$3:$A$13,0)),"(unmapped)")),IFERROR(INDEX(Mapping!$B$17:$B$22,MATCH($F1291,Mapping!$A$17:$A$22,0)),$F1291)&amp;" "&amp;IF($G1291="Banking","Banking",IFERROR(INDEX(Mapping!$E$17:$E$28,MATCH($J1291,Mapping!$D$17:$D$28,0)),"(unmapped)")))))</f>
        <v/>
      </c>
    </row>
    <row r="1292" spans="11:11" x14ac:dyDescent="0.3">
      <c r="K1292" t="str">
        <f>IF($D1292="","",IFERROR(INDEX(Mapping!$H$3:$H$32,MATCH($B1292,Mapping!$G$3:$G$32,0)),IF(LEFT($F1292,3)="P2P",IFERROR(INDEX(Mapping!$E$3:$E$6,MATCH($G1292,Mapping!$D$3:$D$6,0)),IFERROR(INDEX(Mapping!$B$3:$B$13,MATCH($J1292,Mapping!$A$3:$A$13,0)),"(unmapped)")),IFERROR(INDEX(Mapping!$B$17:$B$22,MATCH($F1292,Mapping!$A$17:$A$22,0)),$F1292)&amp;" "&amp;IF($G1292="Banking","Banking",IFERROR(INDEX(Mapping!$E$17:$E$28,MATCH($J1292,Mapping!$D$17:$D$28,0)),"(unmapped)")))))</f>
        <v/>
      </c>
    </row>
    <row r="1293" spans="11:11" x14ac:dyDescent="0.3">
      <c r="K1293" t="str">
        <f>IF($D1293="","",IFERROR(INDEX(Mapping!$H$3:$H$32,MATCH($B1293,Mapping!$G$3:$G$32,0)),IF(LEFT($F1293,3)="P2P",IFERROR(INDEX(Mapping!$E$3:$E$6,MATCH($G1293,Mapping!$D$3:$D$6,0)),IFERROR(INDEX(Mapping!$B$3:$B$13,MATCH($J1293,Mapping!$A$3:$A$13,0)),"(unmapped)")),IFERROR(INDEX(Mapping!$B$17:$B$22,MATCH($F1293,Mapping!$A$17:$A$22,0)),$F1293)&amp;" "&amp;IF($G1293="Banking","Banking",IFERROR(INDEX(Mapping!$E$17:$E$28,MATCH($J1293,Mapping!$D$17:$D$28,0)),"(unmapped)")))))</f>
        <v/>
      </c>
    </row>
    <row r="1294" spans="11:11" x14ac:dyDescent="0.3">
      <c r="K1294" t="str">
        <f>IF($D1294="","",IFERROR(INDEX(Mapping!$H$3:$H$32,MATCH($B1294,Mapping!$G$3:$G$32,0)),IF(LEFT($F1294,3)="P2P",IFERROR(INDEX(Mapping!$E$3:$E$6,MATCH($G1294,Mapping!$D$3:$D$6,0)),IFERROR(INDEX(Mapping!$B$3:$B$13,MATCH($J1294,Mapping!$A$3:$A$13,0)),"(unmapped)")),IFERROR(INDEX(Mapping!$B$17:$B$22,MATCH($F1294,Mapping!$A$17:$A$22,0)),$F1294)&amp;" "&amp;IF($G1294="Banking","Banking",IFERROR(INDEX(Mapping!$E$17:$E$28,MATCH($J1294,Mapping!$D$17:$D$28,0)),"(unmapped)")))))</f>
        <v/>
      </c>
    </row>
    <row r="1295" spans="11:11" x14ac:dyDescent="0.3">
      <c r="K1295" t="str">
        <f>IF($D1295="","",IFERROR(INDEX(Mapping!$H$3:$H$32,MATCH($B1295,Mapping!$G$3:$G$32,0)),IF(LEFT($F1295,3)="P2P",IFERROR(INDEX(Mapping!$E$3:$E$6,MATCH($G1295,Mapping!$D$3:$D$6,0)),IFERROR(INDEX(Mapping!$B$3:$B$13,MATCH($J1295,Mapping!$A$3:$A$13,0)),"(unmapped)")),IFERROR(INDEX(Mapping!$B$17:$B$22,MATCH($F1295,Mapping!$A$17:$A$22,0)),$F1295)&amp;" "&amp;IF($G1295="Banking","Banking",IFERROR(INDEX(Mapping!$E$17:$E$28,MATCH($J1295,Mapping!$D$17:$D$28,0)),"(unmapped)")))))</f>
        <v/>
      </c>
    </row>
    <row r="1296" spans="11:11" x14ac:dyDescent="0.3">
      <c r="K1296" t="str">
        <f>IF($D1296="","",IFERROR(INDEX(Mapping!$H$3:$H$32,MATCH($B1296,Mapping!$G$3:$G$32,0)),IF(LEFT($F1296,3)="P2P",IFERROR(INDEX(Mapping!$E$3:$E$6,MATCH($G1296,Mapping!$D$3:$D$6,0)),IFERROR(INDEX(Mapping!$B$3:$B$13,MATCH($J1296,Mapping!$A$3:$A$13,0)),"(unmapped)")),IFERROR(INDEX(Mapping!$B$17:$B$22,MATCH($F1296,Mapping!$A$17:$A$22,0)),$F1296)&amp;" "&amp;IF($G1296="Banking","Banking",IFERROR(INDEX(Mapping!$E$17:$E$28,MATCH($J1296,Mapping!$D$17:$D$28,0)),"(unmapped)")))))</f>
        <v/>
      </c>
    </row>
    <row r="1297" spans="11:11" x14ac:dyDescent="0.3">
      <c r="K1297" t="str">
        <f>IF($D1297="","",IFERROR(INDEX(Mapping!$H$3:$H$32,MATCH($B1297,Mapping!$G$3:$G$32,0)),IF(LEFT($F1297,3)="P2P",IFERROR(INDEX(Mapping!$E$3:$E$6,MATCH($G1297,Mapping!$D$3:$D$6,0)),IFERROR(INDEX(Mapping!$B$3:$B$13,MATCH($J1297,Mapping!$A$3:$A$13,0)),"(unmapped)")),IFERROR(INDEX(Mapping!$B$17:$B$22,MATCH($F1297,Mapping!$A$17:$A$22,0)),$F1297)&amp;" "&amp;IF($G1297="Banking","Banking",IFERROR(INDEX(Mapping!$E$17:$E$28,MATCH($J1297,Mapping!$D$17:$D$28,0)),"(unmapped)")))))</f>
        <v/>
      </c>
    </row>
    <row r="1298" spans="11:11" x14ac:dyDescent="0.3">
      <c r="K1298" t="str">
        <f>IF($D1298="","",IFERROR(INDEX(Mapping!$H$3:$H$32,MATCH($B1298,Mapping!$G$3:$G$32,0)),IF(LEFT($F1298,3)="P2P",IFERROR(INDEX(Mapping!$E$3:$E$6,MATCH($G1298,Mapping!$D$3:$D$6,0)),IFERROR(INDEX(Mapping!$B$3:$B$13,MATCH($J1298,Mapping!$A$3:$A$13,0)),"(unmapped)")),IFERROR(INDEX(Mapping!$B$17:$B$22,MATCH($F1298,Mapping!$A$17:$A$22,0)),$F1298)&amp;" "&amp;IF($G1298="Banking","Banking",IFERROR(INDEX(Mapping!$E$17:$E$28,MATCH($J1298,Mapping!$D$17:$D$28,0)),"(unmapped)")))))</f>
        <v/>
      </c>
    </row>
    <row r="1299" spans="11:11" x14ac:dyDescent="0.3">
      <c r="K1299" t="str">
        <f>IF($D1299="","",IFERROR(INDEX(Mapping!$H$3:$H$32,MATCH($B1299,Mapping!$G$3:$G$32,0)),IF(LEFT($F1299,3)="P2P",IFERROR(INDEX(Mapping!$E$3:$E$6,MATCH($G1299,Mapping!$D$3:$D$6,0)),IFERROR(INDEX(Mapping!$B$3:$B$13,MATCH($J1299,Mapping!$A$3:$A$13,0)),"(unmapped)")),IFERROR(INDEX(Mapping!$B$17:$B$22,MATCH($F1299,Mapping!$A$17:$A$22,0)),$F1299)&amp;" "&amp;IF($G1299="Banking","Banking",IFERROR(INDEX(Mapping!$E$17:$E$28,MATCH($J1299,Mapping!$D$17:$D$28,0)),"(unmapped)")))))</f>
        <v/>
      </c>
    </row>
    <row r="1300" spans="11:11" x14ac:dyDescent="0.3">
      <c r="K1300" t="str">
        <f>IF($D1300="","",IFERROR(INDEX(Mapping!$H$3:$H$32,MATCH($B1300,Mapping!$G$3:$G$32,0)),IF(LEFT($F1300,3)="P2P",IFERROR(INDEX(Mapping!$E$3:$E$6,MATCH($G1300,Mapping!$D$3:$D$6,0)),IFERROR(INDEX(Mapping!$B$3:$B$13,MATCH($J1300,Mapping!$A$3:$A$13,0)),"(unmapped)")),IFERROR(INDEX(Mapping!$B$17:$B$22,MATCH($F1300,Mapping!$A$17:$A$22,0)),$F1300)&amp;" "&amp;IF($G1300="Banking","Banking",IFERROR(INDEX(Mapping!$E$17:$E$28,MATCH($J1300,Mapping!$D$17:$D$28,0)),"(unmapped)")))))</f>
        <v/>
      </c>
    </row>
    <row r="1301" spans="11:11" x14ac:dyDescent="0.3">
      <c r="K1301" t="str">
        <f>IF($D1301="","",IFERROR(INDEX(Mapping!$H$3:$H$32,MATCH($B1301,Mapping!$G$3:$G$32,0)),IF(LEFT($F1301,3)="P2P",IFERROR(INDEX(Mapping!$E$3:$E$6,MATCH($G1301,Mapping!$D$3:$D$6,0)),IFERROR(INDEX(Mapping!$B$3:$B$13,MATCH($J1301,Mapping!$A$3:$A$13,0)),"(unmapped)")),IFERROR(INDEX(Mapping!$B$17:$B$22,MATCH($F1301,Mapping!$A$17:$A$22,0)),$F1301)&amp;" "&amp;IF($G1301="Banking","Banking",IFERROR(INDEX(Mapping!$E$17:$E$28,MATCH($J1301,Mapping!$D$17:$D$28,0)),"(unmapped)")))))</f>
        <v/>
      </c>
    </row>
    <row r="1302" spans="11:11" x14ac:dyDescent="0.3">
      <c r="K1302" t="str">
        <f>IF($D1302="","",IFERROR(INDEX(Mapping!$H$3:$H$32,MATCH($B1302,Mapping!$G$3:$G$32,0)),IF(LEFT($F1302,3)="P2P",IFERROR(INDEX(Mapping!$E$3:$E$6,MATCH($G1302,Mapping!$D$3:$D$6,0)),IFERROR(INDEX(Mapping!$B$3:$B$13,MATCH($J1302,Mapping!$A$3:$A$13,0)),"(unmapped)")),IFERROR(INDEX(Mapping!$B$17:$B$22,MATCH($F1302,Mapping!$A$17:$A$22,0)),$F1302)&amp;" "&amp;IF($G1302="Banking","Banking",IFERROR(INDEX(Mapping!$E$17:$E$28,MATCH($J1302,Mapping!$D$17:$D$28,0)),"(unmapped)")))))</f>
        <v/>
      </c>
    </row>
    <row r="1303" spans="11:11" x14ac:dyDescent="0.3">
      <c r="K1303" t="str">
        <f>IF($D1303="","",IFERROR(INDEX(Mapping!$H$3:$H$32,MATCH($B1303,Mapping!$G$3:$G$32,0)),IF(LEFT($F1303,3)="P2P",IFERROR(INDEX(Mapping!$E$3:$E$6,MATCH($G1303,Mapping!$D$3:$D$6,0)),IFERROR(INDEX(Mapping!$B$3:$B$13,MATCH($J1303,Mapping!$A$3:$A$13,0)),"(unmapped)")),IFERROR(INDEX(Mapping!$B$17:$B$22,MATCH($F1303,Mapping!$A$17:$A$22,0)),$F1303)&amp;" "&amp;IF($G1303="Banking","Banking",IFERROR(INDEX(Mapping!$E$17:$E$28,MATCH($J1303,Mapping!$D$17:$D$28,0)),"(unmapped)")))))</f>
        <v/>
      </c>
    </row>
    <row r="1304" spans="11:11" x14ac:dyDescent="0.3">
      <c r="K1304" t="str">
        <f>IF($D1304="","",IFERROR(INDEX(Mapping!$H$3:$H$32,MATCH($B1304,Mapping!$G$3:$G$32,0)),IF(LEFT($F1304,3)="P2P",IFERROR(INDEX(Mapping!$E$3:$E$6,MATCH($G1304,Mapping!$D$3:$D$6,0)),IFERROR(INDEX(Mapping!$B$3:$B$13,MATCH($J1304,Mapping!$A$3:$A$13,0)),"(unmapped)")),IFERROR(INDEX(Mapping!$B$17:$B$22,MATCH($F1304,Mapping!$A$17:$A$22,0)),$F1304)&amp;" "&amp;IF($G1304="Banking","Banking",IFERROR(INDEX(Mapping!$E$17:$E$28,MATCH($J1304,Mapping!$D$17:$D$28,0)),"(unmapped)")))))</f>
        <v/>
      </c>
    </row>
    <row r="1305" spans="11:11" x14ac:dyDescent="0.3">
      <c r="K1305" t="str">
        <f>IF($D1305="","",IFERROR(INDEX(Mapping!$H$3:$H$32,MATCH($B1305,Mapping!$G$3:$G$32,0)),IF(LEFT($F1305,3)="P2P",IFERROR(INDEX(Mapping!$E$3:$E$6,MATCH($G1305,Mapping!$D$3:$D$6,0)),IFERROR(INDEX(Mapping!$B$3:$B$13,MATCH($J1305,Mapping!$A$3:$A$13,0)),"(unmapped)")),IFERROR(INDEX(Mapping!$B$17:$B$22,MATCH($F1305,Mapping!$A$17:$A$22,0)),$F1305)&amp;" "&amp;IF($G1305="Banking","Banking",IFERROR(INDEX(Mapping!$E$17:$E$28,MATCH($J1305,Mapping!$D$17:$D$28,0)),"(unmapped)")))))</f>
        <v/>
      </c>
    </row>
    <row r="1306" spans="11:11" x14ac:dyDescent="0.3">
      <c r="K1306" t="str">
        <f>IF($D1306="","",IFERROR(INDEX(Mapping!$H$3:$H$32,MATCH($B1306,Mapping!$G$3:$G$32,0)),IF(LEFT($F1306,3)="P2P",IFERROR(INDEX(Mapping!$E$3:$E$6,MATCH($G1306,Mapping!$D$3:$D$6,0)),IFERROR(INDEX(Mapping!$B$3:$B$13,MATCH($J1306,Mapping!$A$3:$A$13,0)),"(unmapped)")),IFERROR(INDEX(Mapping!$B$17:$B$22,MATCH($F1306,Mapping!$A$17:$A$22,0)),$F1306)&amp;" "&amp;IF($G1306="Banking","Banking",IFERROR(INDEX(Mapping!$E$17:$E$28,MATCH($J1306,Mapping!$D$17:$D$28,0)),"(unmapped)")))))</f>
        <v/>
      </c>
    </row>
    <row r="1307" spans="11:11" x14ac:dyDescent="0.3">
      <c r="K1307" t="str">
        <f>IF($D1307="","",IFERROR(INDEX(Mapping!$H$3:$H$32,MATCH($B1307,Mapping!$G$3:$G$32,0)),IF(LEFT($F1307,3)="P2P",IFERROR(INDEX(Mapping!$E$3:$E$6,MATCH($G1307,Mapping!$D$3:$D$6,0)),IFERROR(INDEX(Mapping!$B$3:$B$13,MATCH($J1307,Mapping!$A$3:$A$13,0)),"(unmapped)")),IFERROR(INDEX(Mapping!$B$17:$B$22,MATCH($F1307,Mapping!$A$17:$A$22,0)),$F1307)&amp;" "&amp;IF($G1307="Banking","Banking",IFERROR(INDEX(Mapping!$E$17:$E$28,MATCH($J1307,Mapping!$D$17:$D$28,0)),"(unmapped)")))))</f>
        <v/>
      </c>
    </row>
    <row r="1308" spans="11:11" x14ac:dyDescent="0.3">
      <c r="K1308" t="str">
        <f>IF($D1308="","",IFERROR(INDEX(Mapping!$H$3:$H$32,MATCH($B1308,Mapping!$G$3:$G$32,0)),IF(LEFT($F1308,3)="P2P",IFERROR(INDEX(Mapping!$E$3:$E$6,MATCH($G1308,Mapping!$D$3:$D$6,0)),IFERROR(INDEX(Mapping!$B$3:$B$13,MATCH($J1308,Mapping!$A$3:$A$13,0)),"(unmapped)")),IFERROR(INDEX(Mapping!$B$17:$B$22,MATCH($F1308,Mapping!$A$17:$A$22,0)),$F1308)&amp;" "&amp;IF($G1308="Banking","Banking",IFERROR(INDEX(Mapping!$E$17:$E$28,MATCH($J1308,Mapping!$D$17:$D$28,0)),"(unmapped)")))))</f>
        <v/>
      </c>
    </row>
    <row r="1309" spans="11:11" x14ac:dyDescent="0.3">
      <c r="K1309" t="str">
        <f>IF($D1309="","",IFERROR(INDEX(Mapping!$H$3:$H$32,MATCH($B1309,Mapping!$G$3:$G$32,0)),IF(LEFT($F1309,3)="P2P",IFERROR(INDEX(Mapping!$E$3:$E$6,MATCH($G1309,Mapping!$D$3:$D$6,0)),IFERROR(INDEX(Mapping!$B$3:$B$13,MATCH($J1309,Mapping!$A$3:$A$13,0)),"(unmapped)")),IFERROR(INDEX(Mapping!$B$17:$B$22,MATCH($F1309,Mapping!$A$17:$A$22,0)),$F1309)&amp;" "&amp;IF($G1309="Banking","Banking",IFERROR(INDEX(Mapping!$E$17:$E$28,MATCH($J1309,Mapping!$D$17:$D$28,0)),"(unmapped)")))))</f>
        <v/>
      </c>
    </row>
    <row r="1310" spans="11:11" x14ac:dyDescent="0.3">
      <c r="K1310" t="str">
        <f>IF($D1310="","",IFERROR(INDEX(Mapping!$H$3:$H$32,MATCH($B1310,Mapping!$G$3:$G$32,0)),IF(LEFT($F1310,3)="P2P",IFERROR(INDEX(Mapping!$E$3:$E$6,MATCH($G1310,Mapping!$D$3:$D$6,0)),IFERROR(INDEX(Mapping!$B$3:$B$13,MATCH($J1310,Mapping!$A$3:$A$13,0)),"(unmapped)")),IFERROR(INDEX(Mapping!$B$17:$B$22,MATCH($F1310,Mapping!$A$17:$A$22,0)),$F1310)&amp;" "&amp;IF($G1310="Banking","Banking",IFERROR(INDEX(Mapping!$E$17:$E$28,MATCH($J1310,Mapping!$D$17:$D$28,0)),"(unmapped)")))))</f>
        <v/>
      </c>
    </row>
    <row r="1311" spans="11:11" x14ac:dyDescent="0.3">
      <c r="K1311" t="str">
        <f>IF($D1311="","",IFERROR(INDEX(Mapping!$H$3:$H$32,MATCH($B1311,Mapping!$G$3:$G$32,0)),IF(LEFT($F1311,3)="P2P",IFERROR(INDEX(Mapping!$E$3:$E$6,MATCH($G1311,Mapping!$D$3:$D$6,0)),IFERROR(INDEX(Mapping!$B$3:$B$13,MATCH($J1311,Mapping!$A$3:$A$13,0)),"(unmapped)")),IFERROR(INDEX(Mapping!$B$17:$B$22,MATCH($F1311,Mapping!$A$17:$A$22,0)),$F1311)&amp;" "&amp;IF($G1311="Banking","Banking",IFERROR(INDEX(Mapping!$E$17:$E$28,MATCH($J1311,Mapping!$D$17:$D$28,0)),"(unmapped)")))))</f>
        <v/>
      </c>
    </row>
    <row r="1312" spans="11:11" x14ac:dyDescent="0.3">
      <c r="K1312" t="str">
        <f>IF($D1312="","",IFERROR(INDEX(Mapping!$H$3:$H$32,MATCH($B1312,Mapping!$G$3:$G$32,0)),IF(LEFT($F1312,3)="P2P",IFERROR(INDEX(Mapping!$E$3:$E$6,MATCH($G1312,Mapping!$D$3:$D$6,0)),IFERROR(INDEX(Mapping!$B$3:$B$13,MATCH($J1312,Mapping!$A$3:$A$13,0)),"(unmapped)")),IFERROR(INDEX(Mapping!$B$17:$B$22,MATCH($F1312,Mapping!$A$17:$A$22,0)),$F1312)&amp;" "&amp;IF($G1312="Banking","Banking",IFERROR(INDEX(Mapping!$E$17:$E$28,MATCH($J1312,Mapping!$D$17:$D$28,0)),"(unmapped)")))))</f>
        <v/>
      </c>
    </row>
    <row r="1313" spans="11:11" x14ac:dyDescent="0.3">
      <c r="K1313" t="str">
        <f>IF($D1313="","",IFERROR(INDEX(Mapping!$H$3:$H$32,MATCH($B1313,Mapping!$G$3:$G$32,0)),IF(LEFT($F1313,3)="P2P",IFERROR(INDEX(Mapping!$E$3:$E$6,MATCH($G1313,Mapping!$D$3:$D$6,0)),IFERROR(INDEX(Mapping!$B$3:$B$13,MATCH($J1313,Mapping!$A$3:$A$13,0)),"(unmapped)")),IFERROR(INDEX(Mapping!$B$17:$B$22,MATCH($F1313,Mapping!$A$17:$A$22,0)),$F1313)&amp;" "&amp;IF($G1313="Banking","Banking",IFERROR(INDEX(Mapping!$E$17:$E$28,MATCH($J1313,Mapping!$D$17:$D$28,0)),"(unmapped)")))))</f>
        <v/>
      </c>
    </row>
    <row r="1314" spans="11:11" x14ac:dyDescent="0.3">
      <c r="K1314" t="str">
        <f>IF($D1314="","",IFERROR(INDEX(Mapping!$H$3:$H$32,MATCH($B1314,Mapping!$G$3:$G$32,0)),IF(LEFT($F1314,3)="P2P",IFERROR(INDEX(Mapping!$E$3:$E$6,MATCH($G1314,Mapping!$D$3:$D$6,0)),IFERROR(INDEX(Mapping!$B$3:$B$13,MATCH($J1314,Mapping!$A$3:$A$13,0)),"(unmapped)")),IFERROR(INDEX(Mapping!$B$17:$B$22,MATCH($F1314,Mapping!$A$17:$A$22,0)),$F1314)&amp;" "&amp;IF($G1314="Banking","Banking",IFERROR(INDEX(Mapping!$E$17:$E$28,MATCH($J1314,Mapping!$D$17:$D$28,0)),"(unmapped)")))))</f>
        <v/>
      </c>
    </row>
    <row r="1315" spans="11:11" x14ac:dyDescent="0.3">
      <c r="K1315" t="str">
        <f>IF($D1315="","",IFERROR(INDEX(Mapping!$H$3:$H$32,MATCH($B1315,Mapping!$G$3:$G$32,0)),IF(LEFT($F1315,3)="P2P",IFERROR(INDEX(Mapping!$E$3:$E$6,MATCH($G1315,Mapping!$D$3:$D$6,0)),IFERROR(INDEX(Mapping!$B$3:$B$13,MATCH($J1315,Mapping!$A$3:$A$13,0)),"(unmapped)")),IFERROR(INDEX(Mapping!$B$17:$B$22,MATCH($F1315,Mapping!$A$17:$A$22,0)),$F1315)&amp;" "&amp;IF($G1315="Banking","Banking",IFERROR(INDEX(Mapping!$E$17:$E$28,MATCH($J1315,Mapping!$D$17:$D$28,0)),"(unmapped)")))))</f>
        <v/>
      </c>
    </row>
    <row r="1316" spans="11:11" x14ac:dyDescent="0.3">
      <c r="K1316" t="str">
        <f>IF($D1316="","",IFERROR(INDEX(Mapping!$H$3:$H$32,MATCH($B1316,Mapping!$G$3:$G$32,0)),IF(LEFT($F1316,3)="P2P",IFERROR(INDEX(Mapping!$E$3:$E$6,MATCH($G1316,Mapping!$D$3:$D$6,0)),IFERROR(INDEX(Mapping!$B$3:$B$13,MATCH($J1316,Mapping!$A$3:$A$13,0)),"(unmapped)")),IFERROR(INDEX(Mapping!$B$17:$B$22,MATCH($F1316,Mapping!$A$17:$A$22,0)),$F1316)&amp;" "&amp;IF($G1316="Banking","Banking",IFERROR(INDEX(Mapping!$E$17:$E$28,MATCH($J1316,Mapping!$D$17:$D$28,0)),"(unmapped)")))))</f>
        <v/>
      </c>
    </row>
    <row r="1317" spans="11:11" x14ac:dyDescent="0.3">
      <c r="K1317" t="str">
        <f>IF($D1317="","",IFERROR(INDEX(Mapping!$H$3:$H$32,MATCH($B1317,Mapping!$G$3:$G$32,0)),IF(LEFT($F1317,3)="P2P",IFERROR(INDEX(Mapping!$E$3:$E$6,MATCH($G1317,Mapping!$D$3:$D$6,0)),IFERROR(INDEX(Mapping!$B$3:$B$13,MATCH($J1317,Mapping!$A$3:$A$13,0)),"(unmapped)")),IFERROR(INDEX(Mapping!$B$17:$B$22,MATCH($F1317,Mapping!$A$17:$A$22,0)),$F1317)&amp;" "&amp;IF($G1317="Banking","Banking",IFERROR(INDEX(Mapping!$E$17:$E$28,MATCH($J1317,Mapping!$D$17:$D$28,0)),"(unmapped)")))))</f>
        <v/>
      </c>
    </row>
    <row r="1318" spans="11:11" x14ac:dyDescent="0.3">
      <c r="K1318" t="str">
        <f>IF($D1318="","",IFERROR(INDEX(Mapping!$H$3:$H$32,MATCH($B1318,Mapping!$G$3:$G$32,0)),IF(LEFT($F1318,3)="P2P",IFERROR(INDEX(Mapping!$E$3:$E$6,MATCH($G1318,Mapping!$D$3:$D$6,0)),IFERROR(INDEX(Mapping!$B$3:$B$13,MATCH($J1318,Mapping!$A$3:$A$13,0)),"(unmapped)")),IFERROR(INDEX(Mapping!$B$17:$B$22,MATCH($F1318,Mapping!$A$17:$A$22,0)),$F1318)&amp;" "&amp;IF($G1318="Banking","Banking",IFERROR(INDEX(Mapping!$E$17:$E$28,MATCH($J1318,Mapping!$D$17:$D$28,0)),"(unmapped)")))))</f>
        <v/>
      </c>
    </row>
    <row r="1319" spans="11:11" x14ac:dyDescent="0.3">
      <c r="K1319" t="str">
        <f>IF($D1319="","",IFERROR(INDEX(Mapping!$H$3:$H$32,MATCH($B1319,Mapping!$G$3:$G$32,0)),IF(LEFT($F1319,3)="P2P",IFERROR(INDEX(Mapping!$E$3:$E$6,MATCH($G1319,Mapping!$D$3:$D$6,0)),IFERROR(INDEX(Mapping!$B$3:$B$13,MATCH($J1319,Mapping!$A$3:$A$13,0)),"(unmapped)")),IFERROR(INDEX(Mapping!$B$17:$B$22,MATCH($F1319,Mapping!$A$17:$A$22,0)),$F1319)&amp;" "&amp;IF($G1319="Banking","Banking",IFERROR(INDEX(Mapping!$E$17:$E$28,MATCH($J1319,Mapping!$D$17:$D$28,0)),"(unmapped)")))))</f>
        <v/>
      </c>
    </row>
    <row r="1320" spans="11:11" x14ac:dyDescent="0.3">
      <c r="K1320" t="str">
        <f>IF($D1320="","",IFERROR(INDEX(Mapping!$H$3:$H$32,MATCH($B1320,Mapping!$G$3:$G$32,0)),IF(LEFT($F1320,3)="P2P",IFERROR(INDEX(Mapping!$E$3:$E$6,MATCH($G1320,Mapping!$D$3:$D$6,0)),IFERROR(INDEX(Mapping!$B$3:$B$13,MATCH($J1320,Mapping!$A$3:$A$13,0)),"(unmapped)")),IFERROR(INDEX(Mapping!$B$17:$B$22,MATCH($F1320,Mapping!$A$17:$A$22,0)),$F1320)&amp;" "&amp;IF($G1320="Banking","Banking",IFERROR(INDEX(Mapping!$E$17:$E$28,MATCH($J1320,Mapping!$D$17:$D$28,0)),"(unmapped)")))))</f>
        <v/>
      </c>
    </row>
    <row r="1321" spans="11:11" x14ac:dyDescent="0.3">
      <c r="K1321" t="str">
        <f>IF($D1321="","",IFERROR(INDEX(Mapping!$H$3:$H$32,MATCH($B1321,Mapping!$G$3:$G$32,0)),IF(LEFT($F1321,3)="P2P",IFERROR(INDEX(Mapping!$E$3:$E$6,MATCH($G1321,Mapping!$D$3:$D$6,0)),IFERROR(INDEX(Mapping!$B$3:$B$13,MATCH($J1321,Mapping!$A$3:$A$13,0)),"(unmapped)")),IFERROR(INDEX(Mapping!$B$17:$B$22,MATCH($F1321,Mapping!$A$17:$A$22,0)),$F1321)&amp;" "&amp;IF($G1321="Banking","Banking",IFERROR(INDEX(Mapping!$E$17:$E$28,MATCH($J1321,Mapping!$D$17:$D$28,0)),"(unmapped)")))))</f>
        <v/>
      </c>
    </row>
    <row r="1322" spans="11:11" x14ac:dyDescent="0.3">
      <c r="K1322" t="str">
        <f>IF($D1322="","",IFERROR(INDEX(Mapping!$H$3:$H$32,MATCH($B1322,Mapping!$G$3:$G$32,0)),IF(LEFT($F1322,3)="P2P",IFERROR(INDEX(Mapping!$E$3:$E$6,MATCH($G1322,Mapping!$D$3:$D$6,0)),IFERROR(INDEX(Mapping!$B$3:$B$13,MATCH($J1322,Mapping!$A$3:$A$13,0)),"(unmapped)")),IFERROR(INDEX(Mapping!$B$17:$B$22,MATCH($F1322,Mapping!$A$17:$A$22,0)),$F1322)&amp;" "&amp;IF($G1322="Banking","Banking",IFERROR(INDEX(Mapping!$E$17:$E$28,MATCH($J1322,Mapping!$D$17:$D$28,0)),"(unmapped)")))))</f>
        <v/>
      </c>
    </row>
    <row r="1323" spans="11:11" x14ac:dyDescent="0.3">
      <c r="K1323" t="str">
        <f>IF($D1323="","",IFERROR(INDEX(Mapping!$H$3:$H$32,MATCH($B1323,Mapping!$G$3:$G$32,0)),IF(LEFT($F1323,3)="P2P",IFERROR(INDEX(Mapping!$E$3:$E$6,MATCH($G1323,Mapping!$D$3:$D$6,0)),IFERROR(INDEX(Mapping!$B$3:$B$13,MATCH($J1323,Mapping!$A$3:$A$13,0)),"(unmapped)")),IFERROR(INDEX(Mapping!$B$17:$B$22,MATCH($F1323,Mapping!$A$17:$A$22,0)),$F1323)&amp;" "&amp;IF($G1323="Banking","Banking",IFERROR(INDEX(Mapping!$E$17:$E$28,MATCH($J1323,Mapping!$D$17:$D$28,0)),"(unmapped)")))))</f>
        <v/>
      </c>
    </row>
    <row r="1324" spans="11:11" x14ac:dyDescent="0.3">
      <c r="K1324" t="str">
        <f>IF($D1324="","",IFERROR(INDEX(Mapping!$H$3:$H$32,MATCH($B1324,Mapping!$G$3:$G$32,0)),IF(LEFT($F1324,3)="P2P",IFERROR(INDEX(Mapping!$E$3:$E$6,MATCH($G1324,Mapping!$D$3:$D$6,0)),IFERROR(INDEX(Mapping!$B$3:$B$13,MATCH($J1324,Mapping!$A$3:$A$13,0)),"(unmapped)")),IFERROR(INDEX(Mapping!$B$17:$B$22,MATCH($F1324,Mapping!$A$17:$A$22,0)),$F1324)&amp;" "&amp;IF($G1324="Banking","Banking",IFERROR(INDEX(Mapping!$E$17:$E$28,MATCH($J1324,Mapping!$D$17:$D$28,0)),"(unmapped)")))))</f>
        <v/>
      </c>
    </row>
    <row r="1325" spans="11:11" x14ac:dyDescent="0.3">
      <c r="K1325" t="str">
        <f>IF($D1325="","",IFERROR(INDEX(Mapping!$H$3:$H$32,MATCH($B1325,Mapping!$G$3:$G$32,0)),IF(LEFT($F1325,3)="P2P",IFERROR(INDEX(Mapping!$E$3:$E$6,MATCH($G1325,Mapping!$D$3:$D$6,0)),IFERROR(INDEX(Mapping!$B$3:$B$13,MATCH($J1325,Mapping!$A$3:$A$13,0)),"(unmapped)")),IFERROR(INDEX(Mapping!$B$17:$B$22,MATCH($F1325,Mapping!$A$17:$A$22,0)),$F1325)&amp;" "&amp;IF($G1325="Banking","Banking",IFERROR(INDEX(Mapping!$E$17:$E$28,MATCH($J1325,Mapping!$D$17:$D$28,0)),"(unmapped)")))))</f>
        <v/>
      </c>
    </row>
    <row r="1326" spans="11:11" x14ac:dyDescent="0.3">
      <c r="K1326" t="str">
        <f>IF($D1326="","",IFERROR(INDEX(Mapping!$H$3:$H$32,MATCH($B1326,Mapping!$G$3:$G$32,0)),IF(LEFT($F1326,3)="P2P",IFERROR(INDEX(Mapping!$E$3:$E$6,MATCH($G1326,Mapping!$D$3:$D$6,0)),IFERROR(INDEX(Mapping!$B$3:$B$13,MATCH($J1326,Mapping!$A$3:$A$13,0)),"(unmapped)")),IFERROR(INDEX(Mapping!$B$17:$B$22,MATCH($F1326,Mapping!$A$17:$A$22,0)),$F1326)&amp;" "&amp;IF($G1326="Banking","Banking",IFERROR(INDEX(Mapping!$E$17:$E$28,MATCH($J1326,Mapping!$D$17:$D$28,0)),"(unmapped)")))))</f>
        <v/>
      </c>
    </row>
    <row r="1327" spans="11:11" x14ac:dyDescent="0.3">
      <c r="K1327" t="str">
        <f>IF($D1327="","",IFERROR(INDEX(Mapping!$H$3:$H$32,MATCH($B1327,Mapping!$G$3:$G$32,0)),IF(LEFT($F1327,3)="P2P",IFERROR(INDEX(Mapping!$E$3:$E$6,MATCH($G1327,Mapping!$D$3:$D$6,0)),IFERROR(INDEX(Mapping!$B$3:$B$13,MATCH($J1327,Mapping!$A$3:$A$13,0)),"(unmapped)")),IFERROR(INDEX(Mapping!$B$17:$B$22,MATCH($F1327,Mapping!$A$17:$A$22,0)),$F1327)&amp;" "&amp;IF($G1327="Banking","Banking",IFERROR(INDEX(Mapping!$E$17:$E$28,MATCH($J1327,Mapping!$D$17:$D$28,0)),"(unmapped)")))))</f>
        <v/>
      </c>
    </row>
    <row r="1328" spans="11:11" x14ac:dyDescent="0.3">
      <c r="K1328" t="str">
        <f>IF($D1328="","",IFERROR(INDEX(Mapping!$H$3:$H$32,MATCH($B1328,Mapping!$G$3:$G$32,0)),IF(LEFT($F1328,3)="P2P",IFERROR(INDEX(Mapping!$E$3:$E$6,MATCH($G1328,Mapping!$D$3:$D$6,0)),IFERROR(INDEX(Mapping!$B$3:$B$13,MATCH($J1328,Mapping!$A$3:$A$13,0)),"(unmapped)")),IFERROR(INDEX(Mapping!$B$17:$B$22,MATCH($F1328,Mapping!$A$17:$A$22,0)),$F1328)&amp;" "&amp;IF($G1328="Banking","Banking",IFERROR(INDEX(Mapping!$E$17:$E$28,MATCH($J1328,Mapping!$D$17:$D$28,0)),"(unmapped)")))))</f>
        <v/>
      </c>
    </row>
    <row r="1329" spans="11:11" x14ac:dyDescent="0.3">
      <c r="K1329" t="str">
        <f>IF($D1329="","",IFERROR(INDEX(Mapping!$H$3:$H$32,MATCH($B1329,Mapping!$G$3:$G$32,0)),IF(LEFT($F1329,3)="P2P",IFERROR(INDEX(Mapping!$E$3:$E$6,MATCH($G1329,Mapping!$D$3:$D$6,0)),IFERROR(INDEX(Mapping!$B$3:$B$13,MATCH($J1329,Mapping!$A$3:$A$13,0)),"(unmapped)")),IFERROR(INDEX(Mapping!$B$17:$B$22,MATCH($F1329,Mapping!$A$17:$A$22,0)),$F1329)&amp;" "&amp;IF($G1329="Banking","Banking",IFERROR(INDEX(Mapping!$E$17:$E$28,MATCH($J1329,Mapping!$D$17:$D$28,0)),"(unmapped)")))))</f>
        <v/>
      </c>
    </row>
    <row r="1330" spans="11:11" x14ac:dyDescent="0.3">
      <c r="K1330" t="str">
        <f>IF($D1330="","",IFERROR(INDEX(Mapping!$H$3:$H$32,MATCH($B1330,Mapping!$G$3:$G$32,0)),IF(LEFT($F1330,3)="P2P",IFERROR(INDEX(Mapping!$E$3:$E$6,MATCH($G1330,Mapping!$D$3:$D$6,0)),IFERROR(INDEX(Mapping!$B$3:$B$13,MATCH($J1330,Mapping!$A$3:$A$13,0)),"(unmapped)")),IFERROR(INDEX(Mapping!$B$17:$B$22,MATCH($F1330,Mapping!$A$17:$A$22,0)),$F1330)&amp;" "&amp;IF($G1330="Banking","Banking",IFERROR(INDEX(Mapping!$E$17:$E$28,MATCH($J1330,Mapping!$D$17:$D$28,0)),"(unmapped)")))))</f>
        <v/>
      </c>
    </row>
    <row r="1331" spans="11:11" x14ac:dyDescent="0.3">
      <c r="K1331" t="str">
        <f>IF($D1331="","",IFERROR(INDEX(Mapping!$H$3:$H$32,MATCH($B1331,Mapping!$G$3:$G$32,0)),IF(LEFT($F1331,3)="P2P",IFERROR(INDEX(Mapping!$E$3:$E$6,MATCH($G1331,Mapping!$D$3:$D$6,0)),IFERROR(INDEX(Mapping!$B$3:$B$13,MATCH($J1331,Mapping!$A$3:$A$13,0)),"(unmapped)")),IFERROR(INDEX(Mapping!$B$17:$B$22,MATCH($F1331,Mapping!$A$17:$A$22,0)),$F1331)&amp;" "&amp;IF($G1331="Banking","Banking",IFERROR(INDEX(Mapping!$E$17:$E$28,MATCH($J1331,Mapping!$D$17:$D$28,0)),"(unmapped)")))))</f>
        <v/>
      </c>
    </row>
    <row r="1332" spans="11:11" x14ac:dyDescent="0.3">
      <c r="K1332" t="str">
        <f>IF($D1332="","",IFERROR(INDEX(Mapping!$H$3:$H$32,MATCH($B1332,Mapping!$G$3:$G$32,0)),IF(LEFT($F1332,3)="P2P",IFERROR(INDEX(Mapping!$E$3:$E$6,MATCH($G1332,Mapping!$D$3:$D$6,0)),IFERROR(INDEX(Mapping!$B$3:$B$13,MATCH($J1332,Mapping!$A$3:$A$13,0)),"(unmapped)")),IFERROR(INDEX(Mapping!$B$17:$B$22,MATCH($F1332,Mapping!$A$17:$A$22,0)),$F1332)&amp;" "&amp;IF($G1332="Banking","Banking",IFERROR(INDEX(Mapping!$E$17:$E$28,MATCH($J1332,Mapping!$D$17:$D$28,0)),"(unmapped)")))))</f>
        <v/>
      </c>
    </row>
    <row r="1333" spans="11:11" x14ac:dyDescent="0.3">
      <c r="K1333" t="str">
        <f>IF($D1333="","",IFERROR(INDEX(Mapping!$H$3:$H$32,MATCH($B1333,Mapping!$G$3:$G$32,0)),IF(LEFT($F1333,3)="P2P",IFERROR(INDEX(Mapping!$E$3:$E$6,MATCH($G1333,Mapping!$D$3:$D$6,0)),IFERROR(INDEX(Mapping!$B$3:$B$13,MATCH($J1333,Mapping!$A$3:$A$13,0)),"(unmapped)")),IFERROR(INDEX(Mapping!$B$17:$B$22,MATCH($F1333,Mapping!$A$17:$A$22,0)),$F1333)&amp;" "&amp;IF($G1333="Banking","Banking",IFERROR(INDEX(Mapping!$E$17:$E$28,MATCH($J1333,Mapping!$D$17:$D$28,0)),"(unmapped)")))))</f>
        <v/>
      </c>
    </row>
    <row r="1334" spans="11:11" x14ac:dyDescent="0.3">
      <c r="K1334" t="str">
        <f>IF($D1334="","",IFERROR(INDEX(Mapping!$H$3:$H$32,MATCH($B1334,Mapping!$G$3:$G$32,0)),IF(LEFT($F1334,3)="P2P",IFERROR(INDEX(Mapping!$E$3:$E$6,MATCH($G1334,Mapping!$D$3:$D$6,0)),IFERROR(INDEX(Mapping!$B$3:$B$13,MATCH($J1334,Mapping!$A$3:$A$13,0)),"(unmapped)")),IFERROR(INDEX(Mapping!$B$17:$B$22,MATCH($F1334,Mapping!$A$17:$A$22,0)),$F1334)&amp;" "&amp;IF($G1334="Banking","Banking",IFERROR(INDEX(Mapping!$E$17:$E$28,MATCH($J1334,Mapping!$D$17:$D$28,0)),"(unmapped)")))))</f>
        <v/>
      </c>
    </row>
    <row r="1335" spans="11:11" x14ac:dyDescent="0.3">
      <c r="K1335" t="str">
        <f>IF($D1335="","",IFERROR(INDEX(Mapping!$H$3:$H$32,MATCH($B1335,Mapping!$G$3:$G$32,0)),IF(LEFT($F1335,3)="P2P",IFERROR(INDEX(Mapping!$E$3:$E$6,MATCH($G1335,Mapping!$D$3:$D$6,0)),IFERROR(INDEX(Mapping!$B$3:$B$13,MATCH($J1335,Mapping!$A$3:$A$13,0)),"(unmapped)")),IFERROR(INDEX(Mapping!$B$17:$B$22,MATCH($F1335,Mapping!$A$17:$A$22,0)),$F1335)&amp;" "&amp;IF($G1335="Banking","Banking",IFERROR(INDEX(Mapping!$E$17:$E$28,MATCH($J1335,Mapping!$D$17:$D$28,0)),"(unmapped)")))))</f>
        <v/>
      </c>
    </row>
    <row r="1336" spans="11:11" x14ac:dyDescent="0.3">
      <c r="K1336" t="str">
        <f>IF($D1336="","",IFERROR(INDEX(Mapping!$H$3:$H$32,MATCH($B1336,Mapping!$G$3:$G$32,0)),IF(LEFT($F1336,3)="P2P",IFERROR(INDEX(Mapping!$E$3:$E$6,MATCH($G1336,Mapping!$D$3:$D$6,0)),IFERROR(INDEX(Mapping!$B$3:$B$13,MATCH($J1336,Mapping!$A$3:$A$13,0)),"(unmapped)")),IFERROR(INDEX(Mapping!$B$17:$B$22,MATCH($F1336,Mapping!$A$17:$A$22,0)),$F1336)&amp;" "&amp;IF($G1336="Banking","Banking",IFERROR(INDEX(Mapping!$E$17:$E$28,MATCH($J1336,Mapping!$D$17:$D$28,0)),"(unmapped)")))))</f>
        <v/>
      </c>
    </row>
    <row r="1337" spans="11:11" x14ac:dyDescent="0.3">
      <c r="K1337" t="str">
        <f>IF($D1337="","",IFERROR(INDEX(Mapping!$H$3:$H$32,MATCH($B1337,Mapping!$G$3:$G$32,0)),IF(LEFT($F1337,3)="P2P",IFERROR(INDEX(Mapping!$E$3:$E$6,MATCH($G1337,Mapping!$D$3:$D$6,0)),IFERROR(INDEX(Mapping!$B$3:$B$13,MATCH($J1337,Mapping!$A$3:$A$13,0)),"(unmapped)")),IFERROR(INDEX(Mapping!$B$17:$B$22,MATCH($F1337,Mapping!$A$17:$A$22,0)),$F1337)&amp;" "&amp;IF($G1337="Banking","Banking",IFERROR(INDEX(Mapping!$E$17:$E$28,MATCH($J1337,Mapping!$D$17:$D$28,0)),"(unmapped)")))))</f>
        <v/>
      </c>
    </row>
    <row r="1338" spans="11:11" x14ac:dyDescent="0.3">
      <c r="K1338" t="str">
        <f>IF($D1338="","",IFERROR(INDEX(Mapping!$H$3:$H$32,MATCH($B1338,Mapping!$G$3:$G$32,0)),IF(LEFT($F1338,3)="P2P",IFERROR(INDEX(Mapping!$E$3:$E$6,MATCH($G1338,Mapping!$D$3:$D$6,0)),IFERROR(INDEX(Mapping!$B$3:$B$13,MATCH($J1338,Mapping!$A$3:$A$13,0)),"(unmapped)")),IFERROR(INDEX(Mapping!$B$17:$B$22,MATCH($F1338,Mapping!$A$17:$A$22,0)),$F1338)&amp;" "&amp;IF($G1338="Banking","Banking",IFERROR(INDEX(Mapping!$E$17:$E$28,MATCH($J1338,Mapping!$D$17:$D$28,0)),"(unmapped)")))))</f>
        <v/>
      </c>
    </row>
    <row r="1339" spans="11:11" x14ac:dyDescent="0.3">
      <c r="K1339" t="str">
        <f>IF($D1339="","",IFERROR(INDEX(Mapping!$H$3:$H$32,MATCH($B1339,Mapping!$G$3:$G$32,0)),IF(LEFT($F1339,3)="P2P",IFERROR(INDEX(Mapping!$E$3:$E$6,MATCH($G1339,Mapping!$D$3:$D$6,0)),IFERROR(INDEX(Mapping!$B$3:$B$13,MATCH($J1339,Mapping!$A$3:$A$13,0)),"(unmapped)")),IFERROR(INDEX(Mapping!$B$17:$B$22,MATCH($F1339,Mapping!$A$17:$A$22,0)),$F1339)&amp;" "&amp;IF($G1339="Banking","Banking",IFERROR(INDEX(Mapping!$E$17:$E$28,MATCH($J1339,Mapping!$D$17:$D$28,0)),"(unmapped)")))))</f>
        <v/>
      </c>
    </row>
    <row r="1340" spans="11:11" x14ac:dyDescent="0.3">
      <c r="K1340" t="str">
        <f>IF($D1340="","",IFERROR(INDEX(Mapping!$H$3:$H$32,MATCH($B1340,Mapping!$G$3:$G$32,0)),IF(LEFT($F1340,3)="P2P",IFERROR(INDEX(Mapping!$E$3:$E$6,MATCH($G1340,Mapping!$D$3:$D$6,0)),IFERROR(INDEX(Mapping!$B$3:$B$13,MATCH($J1340,Mapping!$A$3:$A$13,0)),"(unmapped)")),IFERROR(INDEX(Mapping!$B$17:$B$22,MATCH($F1340,Mapping!$A$17:$A$22,0)),$F1340)&amp;" "&amp;IF($G1340="Banking","Banking",IFERROR(INDEX(Mapping!$E$17:$E$28,MATCH($J1340,Mapping!$D$17:$D$28,0)),"(unmapped)")))))</f>
        <v/>
      </c>
    </row>
    <row r="1341" spans="11:11" x14ac:dyDescent="0.3">
      <c r="K1341" t="str">
        <f>IF($D1341="","",IFERROR(INDEX(Mapping!$H$3:$H$32,MATCH($B1341,Mapping!$G$3:$G$32,0)),IF(LEFT($F1341,3)="P2P",IFERROR(INDEX(Mapping!$E$3:$E$6,MATCH($G1341,Mapping!$D$3:$D$6,0)),IFERROR(INDEX(Mapping!$B$3:$B$13,MATCH($J1341,Mapping!$A$3:$A$13,0)),"(unmapped)")),IFERROR(INDEX(Mapping!$B$17:$B$22,MATCH($F1341,Mapping!$A$17:$A$22,0)),$F1341)&amp;" "&amp;IF($G1341="Banking","Banking",IFERROR(INDEX(Mapping!$E$17:$E$28,MATCH($J1341,Mapping!$D$17:$D$28,0)),"(unmapped)")))))</f>
        <v/>
      </c>
    </row>
    <row r="1342" spans="11:11" x14ac:dyDescent="0.3">
      <c r="K1342" t="str">
        <f>IF($D1342="","",IFERROR(INDEX(Mapping!$H$3:$H$32,MATCH($B1342,Mapping!$G$3:$G$32,0)),IF(LEFT($F1342,3)="P2P",IFERROR(INDEX(Mapping!$E$3:$E$6,MATCH($G1342,Mapping!$D$3:$D$6,0)),IFERROR(INDEX(Mapping!$B$3:$B$13,MATCH($J1342,Mapping!$A$3:$A$13,0)),"(unmapped)")),IFERROR(INDEX(Mapping!$B$17:$B$22,MATCH($F1342,Mapping!$A$17:$A$22,0)),$F1342)&amp;" "&amp;IF($G1342="Banking","Banking",IFERROR(INDEX(Mapping!$E$17:$E$28,MATCH($J1342,Mapping!$D$17:$D$28,0)),"(unmapped)")))))</f>
        <v/>
      </c>
    </row>
    <row r="1343" spans="11:11" x14ac:dyDescent="0.3">
      <c r="K1343" t="str">
        <f>IF($D1343="","",IFERROR(INDEX(Mapping!$H$3:$H$32,MATCH($B1343,Mapping!$G$3:$G$32,0)),IF(LEFT($F1343,3)="P2P",IFERROR(INDEX(Mapping!$E$3:$E$6,MATCH($G1343,Mapping!$D$3:$D$6,0)),IFERROR(INDEX(Mapping!$B$3:$B$13,MATCH($J1343,Mapping!$A$3:$A$13,0)),"(unmapped)")),IFERROR(INDEX(Mapping!$B$17:$B$22,MATCH($F1343,Mapping!$A$17:$A$22,0)),$F1343)&amp;" "&amp;IF($G1343="Banking","Banking",IFERROR(INDEX(Mapping!$E$17:$E$28,MATCH($J1343,Mapping!$D$17:$D$28,0)),"(unmapped)")))))</f>
        <v/>
      </c>
    </row>
    <row r="1344" spans="11:11" x14ac:dyDescent="0.3">
      <c r="K1344" t="str">
        <f>IF($D1344="","",IFERROR(INDEX(Mapping!$H$3:$H$32,MATCH($B1344,Mapping!$G$3:$G$32,0)),IF(LEFT($F1344,3)="P2P",IFERROR(INDEX(Mapping!$E$3:$E$6,MATCH($G1344,Mapping!$D$3:$D$6,0)),IFERROR(INDEX(Mapping!$B$3:$B$13,MATCH($J1344,Mapping!$A$3:$A$13,0)),"(unmapped)")),IFERROR(INDEX(Mapping!$B$17:$B$22,MATCH($F1344,Mapping!$A$17:$A$22,0)),$F1344)&amp;" "&amp;IF($G1344="Banking","Banking",IFERROR(INDEX(Mapping!$E$17:$E$28,MATCH($J1344,Mapping!$D$17:$D$28,0)),"(unmapped)")))))</f>
        <v/>
      </c>
    </row>
    <row r="1345" spans="11:11" x14ac:dyDescent="0.3">
      <c r="K1345" t="str">
        <f>IF($D1345="","",IFERROR(INDEX(Mapping!$H$3:$H$32,MATCH($B1345,Mapping!$G$3:$G$32,0)),IF(LEFT($F1345,3)="P2P",IFERROR(INDEX(Mapping!$E$3:$E$6,MATCH($G1345,Mapping!$D$3:$D$6,0)),IFERROR(INDEX(Mapping!$B$3:$B$13,MATCH($J1345,Mapping!$A$3:$A$13,0)),"(unmapped)")),IFERROR(INDEX(Mapping!$B$17:$B$22,MATCH($F1345,Mapping!$A$17:$A$22,0)),$F1345)&amp;" "&amp;IF($G1345="Banking","Banking",IFERROR(INDEX(Mapping!$E$17:$E$28,MATCH($J1345,Mapping!$D$17:$D$28,0)),"(unmapped)")))))</f>
        <v/>
      </c>
    </row>
    <row r="1346" spans="11:11" x14ac:dyDescent="0.3">
      <c r="K1346" t="str">
        <f>IF($D1346="","",IFERROR(INDEX(Mapping!$H$3:$H$32,MATCH($B1346,Mapping!$G$3:$G$32,0)),IF(LEFT($F1346,3)="P2P",IFERROR(INDEX(Mapping!$E$3:$E$6,MATCH($G1346,Mapping!$D$3:$D$6,0)),IFERROR(INDEX(Mapping!$B$3:$B$13,MATCH($J1346,Mapping!$A$3:$A$13,0)),"(unmapped)")),IFERROR(INDEX(Mapping!$B$17:$B$22,MATCH($F1346,Mapping!$A$17:$A$22,0)),$F1346)&amp;" "&amp;IF($G1346="Banking","Banking",IFERROR(INDEX(Mapping!$E$17:$E$28,MATCH($J1346,Mapping!$D$17:$D$28,0)),"(unmapped)")))))</f>
        <v/>
      </c>
    </row>
    <row r="1347" spans="11:11" x14ac:dyDescent="0.3">
      <c r="K1347" t="str">
        <f>IF($D1347="","",IFERROR(INDEX(Mapping!$H$3:$H$32,MATCH($B1347,Mapping!$G$3:$G$32,0)),IF(LEFT($F1347,3)="P2P",IFERROR(INDEX(Mapping!$E$3:$E$6,MATCH($G1347,Mapping!$D$3:$D$6,0)),IFERROR(INDEX(Mapping!$B$3:$B$13,MATCH($J1347,Mapping!$A$3:$A$13,0)),"(unmapped)")),IFERROR(INDEX(Mapping!$B$17:$B$22,MATCH($F1347,Mapping!$A$17:$A$22,0)),$F1347)&amp;" "&amp;IF($G1347="Banking","Banking",IFERROR(INDEX(Mapping!$E$17:$E$28,MATCH($J1347,Mapping!$D$17:$D$28,0)),"(unmapped)")))))</f>
        <v/>
      </c>
    </row>
    <row r="1348" spans="11:11" x14ac:dyDescent="0.3">
      <c r="K1348" t="str">
        <f>IF($D1348="","",IFERROR(INDEX(Mapping!$H$3:$H$32,MATCH($B1348,Mapping!$G$3:$G$32,0)),IF(LEFT($F1348,3)="P2P",IFERROR(INDEX(Mapping!$E$3:$E$6,MATCH($G1348,Mapping!$D$3:$D$6,0)),IFERROR(INDEX(Mapping!$B$3:$B$13,MATCH($J1348,Mapping!$A$3:$A$13,0)),"(unmapped)")),IFERROR(INDEX(Mapping!$B$17:$B$22,MATCH($F1348,Mapping!$A$17:$A$22,0)),$F1348)&amp;" "&amp;IF($G1348="Banking","Banking",IFERROR(INDEX(Mapping!$E$17:$E$28,MATCH($J1348,Mapping!$D$17:$D$28,0)),"(unmapped)")))))</f>
        <v/>
      </c>
    </row>
    <row r="1349" spans="11:11" x14ac:dyDescent="0.3">
      <c r="K1349" t="str">
        <f>IF($D1349="","",IFERROR(INDEX(Mapping!$H$3:$H$32,MATCH($B1349,Mapping!$G$3:$G$32,0)),IF(LEFT($F1349,3)="P2P",IFERROR(INDEX(Mapping!$E$3:$E$6,MATCH($G1349,Mapping!$D$3:$D$6,0)),IFERROR(INDEX(Mapping!$B$3:$B$13,MATCH($J1349,Mapping!$A$3:$A$13,0)),"(unmapped)")),IFERROR(INDEX(Mapping!$B$17:$B$22,MATCH($F1349,Mapping!$A$17:$A$22,0)),$F1349)&amp;" "&amp;IF($G1349="Banking","Banking",IFERROR(INDEX(Mapping!$E$17:$E$28,MATCH($J1349,Mapping!$D$17:$D$28,0)),"(unmapped)")))))</f>
        <v/>
      </c>
    </row>
    <row r="1350" spans="11:11" x14ac:dyDescent="0.3">
      <c r="K1350" t="str">
        <f>IF($D1350="","",IFERROR(INDEX(Mapping!$H$3:$H$32,MATCH($B1350,Mapping!$G$3:$G$32,0)),IF(LEFT($F1350,3)="P2P",IFERROR(INDEX(Mapping!$E$3:$E$6,MATCH($G1350,Mapping!$D$3:$D$6,0)),IFERROR(INDEX(Mapping!$B$3:$B$13,MATCH($J1350,Mapping!$A$3:$A$13,0)),"(unmapped)")),IFERROR(INDEX(Mapping!$B$17:$B$22,MATCH($F1350,Mapping!$A$17:$A$22,0)),$F1350)&amp;" "&amp;IF($G1350="Banking","Banking",IFERROR(INDEX(Mapping!$E$17:$E$28,MATCH($J1350,Mapping!$D$17:$D$28,0)),"(unmapped)")))))</f>
        <v/>
      </c>
    </row>
    <row r="1351" spans="11:11" x14ac:dyDescent="0.3">
      <c r="K1351" t="str">
        <f>IF($D1351="","",IFERROR(INDEX(Mapping!$H$3:$H$32,MATCH($B1351,Mapping!$G$3:$G$32,0)),IF(LEFT($F1351,3)="P2P",IFERROR(INDEX(Mapping!$E$3:$E$6,MATCH($G1351,Mapping!$D$3:$D$6,0)),IFERROR(INDEX(Mapping!$B$3:$B$13,MATCH($J1351,Mapping!$A$3:$A$13,0)),"(unmapped)")),IFERROR(INDEX(Mapping!$B$17:$B$22,MATCH($F1351,Mapping!$A$17:$A$22,0)),$F1351)&amp;" "&amp;IF($G1351="Banking","Banking",IFERROR(INDEX(Mapping!$E$17:$E$28,MATCH($J1351,Mapping!$D$17:$D$28,0)),"(unmapped)")))))</f>
        <v/>
      </c>
    </row>
    <row r="1352" spans="11:11" x14ac:dyDescent="0.3">
      <c r="K1352" t="str">
        <f>IF($D1352="","",IFERROR(INDEX(Mapping!$H$3:$H$32,MATCH($B1352,Mapping!$G$3:$G$32,0)),IF(LEFT($F1352,3)="P2P",IFERROR(INDEX(Mapping!$E$3:$E$6,MATCH($G1352,Mapping!$D$3:$D$6,0)),IFERROR(INDEX(Mapping!$B$3:$B$13,MATCH($J1352,Mapping!$A$3:$A$13,0)),"(unmapped)")),IFERROR(INDEX(Mapping!$B$17:$B$22,MATCH($F1352,Mapping!$A$17:$A$22,0)),$F1352)&amp;" "&amp;IF($G1352="Banking","Banking",IFERROR(INDEX(Mapping!$E$17:$E$28,MATCH($J1352,Mapping!$D$17:$D$28,0)),"(unmapped)")))))</f>
        <v/>
      </c>
    </row>
    <row r="1353" spans="11:11" x14ac:dyDescent="0.3">
      <c r="K1353" t="str">
        <f>IF($D1353="","",IFERROR(INDEX(Mapping!$H$3:$H$32,MATCH($B1353,Mapping!$G$3:$G$32,0)),IF(LEFT($F1353,3)="P2P",IFERROR(INDEX(Mapping!$E$3:$E$6,MATCH($G1353,Mapping!$D$3:$D$6,0)),IFERROR(INDEX(Mapping!$B$3:$B$13,MATCH($J1353,Mapping!$A$3:$A$13,0)),"(unmapped)")),IFERROR(INDEX(Mapping!$B$17:$B$22,MATCH($F1353,Mapping!$A$17:$A$22,0)),$F1353)&amp;" "&amp;IF($G1353="Banking","Banking",IFERROR(INDEX(Mapping!$E$17:$E$28,MATCH($J1353,Mapping!$D$17:$D$28,0)),"(unmapped)")))))</f>
        <v/>
      </c>
    </row>
    <row r="1354" spans="11:11" x14ac:dyDescent="0.3">
      <c r="K1354" t="str">
        <f>IF($D1354="","",IFERROR(INDEX(Mapping!$H$3:$H$32,MATCH($B1354,Mapping!$G$3:$G$32,0)),IF(LEFT($F1354,3)="P2P",IFERROR(INDEX(Mapping!$E$3:$E$6,MATCH($G1354,Mapping!$D$3:$D$6,0)),IFERROR(INDEX(Mapping!$B$3:$B$13,MATCH($J1354,Mapping!$A$3:$A$13,0)),"(unmapped)")),IFERROR(INDEX(Mapping!$B$17:$B$22,MATCH($F1354,Mapping!$A$17:$A$22,0)),$F1354)&amp;" "&amp;IF($G1354="Banking","Banking",IFERROR(INDEX(Mapping!$E$17:$E$28,MATCH($J1354,Mapping!$D$17:$D$28,0)),"(unmapped)")))))</f>
        <v/>
      </c>
    </row>
    <row r="1355" spans="11:11" x14ac:dyDescent="0.3">
      <c r="K1355" t="str">
        <f>IF($D1355="","",IFERROR(INDEX(Mapping!$H$3:$H$32,MATCH($B1355,Mapping!$G$3:$G$32,0)),IF(LEFT($F1355,3)="P2P",IFERROR(INDEX(Mapping!$E$3:$E$6,MATCH($G1355,Mapping!$D$3:$D$6,0)),IFERROR(INDEX(Mapping!$B$3:$B$13,MATCH($J1355,Mapping!$A$3:$A$13,0)),"(unmapped)")),IFERROR(INDEX(Mapping!$B$17:$B$22,MATCH($F1355,Mapping!$A$17:$A$22,0)),$F1355)&amp;" "&amp;IF($G1355="Banking","Banking",IFERROR(INDEX(Mapping!$E$17:$E$28,MATCH($J1355,Mapping!$D$17:$D$28,0)),"(unmapped)")))))</f>
        <v/>
      </c>
    </row>
    <row r="1356" spans="11:11" x14ac:dyDescent="0.3">
      <c r="K1356" t="str">
        <f>IF($D1356="","",IFERROR(INDEX(Mapping!$H$3:$H$32,MATCH($B1356,Mapping!$G$3:$G$32,0)),IF(LEFT($F1356,3)="P2P",IFERROR(INDEX(Mapping!$E$3:$E$6,MATCH($G1356,Mapping!$D$3:$D$6,0)),IFERROR(INDEX(Mapping!$B$3:$B$13,MATCH($J1356,Mapping!$A$3:$A$13,0)),"(unmapped)")),IFERROR(INDEX(Mapping!$B$17:$B$22,MATCH($F1356,Mapping!$A$17:$A$22,0)),$F1356)&amp;" "&amp;IF($G1356="Banking","Banking",IFERROR(INDEX(Mapping!$E$17:$E$28,MATCH($J1356,Mapping!$D$17:$D$28,0)),"(unmapped)")))))</f>
        <v/>
      </c>
    </row>
    <row r="1357" spans="11:11" x14ac:dyDescent="0.3">
      <c r="K1357" t="str">
        <f>IF($D1357="","",IFERROR(INDEX(Mapping!$H$3:$H$32,MATCH($B1357,Mapping!$G$3:$G$32,0)),IF(LEFT($F1357,3)="P2P",IFERROR(INDEX(Mapping!$E$3:$E$6,MATCH($G1357,Mapping!$D$3:$D$6,0)),IFERROR(INDEX(Mapping!$B$3:$B$13,MATCH($J1357,Mapping!$A$3:$A$13,0)),"(unmapped)")),IFERROR(INDEX(Mapping!$B$17:$B$22,MATCH($F1357,Mapping!$A$17:$A$22,0)),$F1357)&amp;" "&amp;IF($G1357="Banking","Banking",IFERROR(INDEX(Mapping!$E$17:$E$28,MATCH($J1357,Mapping!$D$17:$D$28,0)),"(unmapped)")))))</f>
        <v/>
      </c>
    </row>
    <row r="1358" spans="11:11" x14ac:dyDescent="0.3">
      <c r="K1358" t="str">
        <f>IF($D1358="","",IFERROR(INDEX(Mapping!$H$3:$H$32,MATCH($B1358,Mapping!$G$3:$G$32,0)),IF(LEFT($F1358,3)="P2P",IFERROR(INDEX(Mapping!$E$3:$E$6,MATCH($G1358,Mapping!$D$3:$D$6,0)),IFERROR(INDEX(Mapping!$B$3:$B$13,MATCH($J1358,Mapping!$A$3:$A$13,0)),"(unmapped)")),IFERROR(INDEX(Mapping!$B$17:$B$22,MATCH($F1358,Mapping!$A$17:$A$22,0)),$F1358)&amp;" "&amp;IF($G1358="Banking","Banking",IFERROR(INDEX(Mapping!$E$17:$E$28,MATCH($J1358,Mapping!$D$17:$D$28,0)),"(unmapped)")))))</f>
        <v/>
      </c>
    </row>
    <row r="1359" spans="11:11" x14ac:dyDescent="0.3">
      <c r="K1359" t="str">
        <f>IF($D1359="","",IFERROR(INDEX(Mapping!$H$3:$H$32,MATCH($B1359,Mapping!$G$3:$G$32,0)),IF(LEFT($F1359,3)="P2P",IFERROR(INDEX(Mapping!$E$3:$E$6,MATCH($G1359,Mapping!$D$3:$D$6,0)),IFERROR(INDEX(Mapping!$B$3:$B$13,MATCH($J1359,Mapping!$A$3:$A$13,0)),"(unmapped)")),IFERROR(INDEX(Mapping!$B$17:$B$22,MATCH($F1359,Mapping!$A$17:$A$22,0)),$F1359)&amp;" "&amp;IF($G1359="Banking","Banking",IFERROR(INDEX(Mapping!$E$17:$E$28,MATCH($J1359,Mapping!$D$17:$D$28,0)),"(unmapped)")))))</f>
        <v/>
      </c>
    </row>
    <row r="1360" spans="11:11" x14ac:dyDescent="0.3">
      <c r="K1360" t="str">
        <f>IF($D1360="","",IFERROR(INDEX(Mapping!$H$3:$H$32,MATCH($B1360,Mapping!$G$3:$G$32,0)),IF(LEFT($F1360,3)="P2P",IFERROR(INDEX(Mapping!$E$3:$E$6,MATCH($G1360,Mapping!$D$3:$D$6,0)),IFERROR(INDEX(Mapping!$B$3:$B$13,MATCH($J1360,Mapping!$A$3:$A$13,0)),"(unmapped)")),IFERROR(INDEX(Mapping!$B$17:$B$22,MATCH($F1360,Mapping!$A$17:$A$22,0)),$F1360)&amp;" "&amp;IF($G1360="Banking","Banking",IFERROR(INDEX(Mapping!$E$17:$E$28,MATCH($J1360,Mapping!$D$17:$D$28,0)),"(unmapped)")))))</f>
        <v/>
      </c>
    </row>
    <row r="1361" spans="11:11" x14ac:dyDescent="0.3">
      <c r="K1361" t="str">
        <f>IF($D1361="","",IFERROR(INDEX(Mapping!$H$3:$H$32,MATCH($B1361,Mapping!$G$3:$G$32,0)),IF(LEFT($F1361,3)="P2P",IFERROR(INDEX(Mapping!$E$3:$E$6,MATCH($G1361,Mapping!$D$3:$D$6,0)),IFERROR(INDEX(Mapping!$B$3:$B$13,MATCH($J1361,Mapping!$A$3:$A$13,0)),"(unmapped)")),IFERROR(INDEX(Mapping!$B$17:$B$22,MATCH($F1361,Mapping!$A$17:$A$22,0)),$F1361)&amp;" "&amp;IF($G1361="Banking","Banking",IFERROR(INDEX(Mapping!$E$17:$E$28,MATCH($J1361,Mapping!$D$17:$D$28,0)),"(unmapped)")))))</f>
        <v/>
      </c>
    </row>
    <row r="1362" spans="11:11" x14ac:dyDescent="0.3">
      <c r="K1362" t="str">
        <f>IF($D1362="","",IFERROR(INDEX(Mapping!$H$3:$H$32,MATCH($B1362,Mapping!$G$3:$G$32,0)),IF(LEFT($F1362,3)="P2P",IFERROR(INDEX(Mapping!$E$3:$E$6,MATCH($G1362,Mapping!$D$3:$D$6,0)),IFERROR(INDEX(Mapping!$B$3:$B$13,MATCH($J1362,Mapping!$A$3:$A$13,0)),"(unmapped)")),IFERROR(INDEX(Mapping!$B$17:$B$22,MATCH($F1362,Mapping!$A$17:$A$22,0)),$F1362)&amp;" "&amp;IF($G1362="Banking","Banking",IFERROR(INDEX(Mapping!$E$17:$E$28,MATCH($J1362,Mapping!$D$17:$D$28,0)),"(unmapped)")))))</f>
        <v/>
      </c>
    </row>
    <row r="1363" spans="11:11" x14ac:dyDescent="0.3">
      <c r="K1363" t="str">
        <f>IF($D1363="","",IFERROR(INDEX(Mapping!$H$3:$H$32,MATCH($B1363,Mapping!$G$3:$G$32,0)),IF(LEFT($F1363,3)="P2P",IFERROR(INDEX(Mapping!$E$3:$E$6,MATCH($G1363,Mapping!$D$3:$D$6,0)),IFERROR(INDEX(Mapping!$B$3:$B$13,MATCH($J1363,Mapping!$A$3:$A$13,0)),"(unmapped)")),IFERROR(INDEX(Mapping!$B$17:$B$22,MATCH($F1363,Mapping!$A$17:$A$22,0)),$F1363)&amp;" "&amp;IF($G1363="Banking","Banking",IFERROR(INDEX(Mapping!$E$17:$E$28,MATCH($J1363,Mapping!$D$17:$D$28,0)),"(unmapped)")))))</f>
        <v/>
      </c>
    </row>
    <row r="1364" spans="11:11" x14ac:dyDescent="0.3">
      <c r="K1364" t="str">
        <f>IF($D1364="","",IFERROR(INDEX(Mapping!$H$3:$H$32,MATCH($B1364,Mapping!$G$3:$G$32,0)),IF(LEFT($F1364,3)="P2P",IFERROR(INDEX(Mapping!$E$3:$E$6,MATCH($G1364,Mapping!$D$3:$D$6,0)),IFERROR(INDEX(Mapping!$B$3:$B$13,MATCH($J1364,Mapping!$A$3:$A$13,0)),"(unmapped)")),IFERROR(INDEX(Mapping!$B$17:$B$22,MATCH($F1364,Mapping!$A$17:$A$22,0)),$F1364)&amp;" "&amp;IF($G1364="Banking","Banking",IFERROR(INDEX(Mapping!$E$17:$E$28,MATCH($J1364,Mapping!$D$17:$D$28,0)),"(unmapped)")))))</f>
        <v/>
      </c>
    </row>
    <row r="1365" spans="11:11" x14ac:dyDescent="0.3">
      <c r="K1365" t="str">
        <f>IF($D1365="","",IFERROR(INDEX(Mapping!$H$3:$H$32,MATCH($B1365,Mapping!$G$3:$G$32,0)),IF(LEFT($F1365,3)="P2P",IFERROR(INDEX(Mapping!$E$3:$E$6,MATCH($G1365,Mapping!$D$3:$D$6,0)),IFERROR(INDEX(Mapping!$B$3:$B$13,MATCH($J1365,Mapping!$A$3:$A$13,0)),"(unmapped)")),IFERROR(INDEX(Mapping!$B$17:$B$22,MATCH($F1365,Mapping!$A$17:$A$22,0)),$F1365)&amp;" "&amp;IF($G1365="Banking","Banking",IFERROR(INDEX(Mapping!$E$17:$E$28,MATCH($J1365,Mapping!$D$17:$D$28,0)),"(unmapped)")))))</f>
        <v/>
      </c>
    </row>
    <row r="1366" spans="11:11" x14ac:dyDescent="0.3">
      <c r="K1366" t="str">
        <f>IF($D1366="","",IFERROR(INDEX(Mapping!$H$3:$H$32,MATCH($B1366,Mapping!$G$3:$G$32,0)),IF(LEFT($F1366,3)="P2P",IFERROR(INDEX(Mapping!$E$3:$E$6,MATCH($G1366,Mapping!$D$3:$D$6,0)),IFERROR(INDEX(Mapping!$B$3:$B$13,MATCH($J1366,Mapping!$A$3:$A$13,0)),"(unmapped)")),IFERROR(INDEX(Mapping!$B$17:$B$22,MATCH($F1366,Mapping!$A$17:$A$22,0)),$F1366)&amp;" "&amp;IF($G1366="Banking","Banking",IFERROR(INDEX(Mapping!$E$17:$E$28,MATCH($J1366,Mapping!$D$17:$D$28,0)),"(unmapped)")))))</f>
        <v/>
      </c>
    </row>
    <row r="1367" spans="11:11" x14ac:dyDescent="0.3">
      <c r="K1367" t="str">
        <f>IF($D1367="","",IFERROR(INDEX(Mapping!$H$3:$H$32,MATCH($B1367,Mapping!$G$3:$G$32,0)),IF(LEFT($F1367,3)="P2P",IFERROR(INDEX(Mapping!$E$3:$E$6,MATCH($G1367,Mapping!$D$3:$D$6,0)),IFERROR(INDEX(Mapping!$B$3:$B$13,MATCH($J1367,Mapping!$A$3:$A$13,0)),"(unmapped)")),IFERROR(INDEX(Mapping!$B$17:$B$22,MATCH($F1367,Mapping!$A$17:$A$22,0)),$F1367)&amp;" "&amp;IF($G1367="Banking","Banking",IFERROR(INDEX(Mapping!$E$17:$E$28,MATCH($J1367,Mapping!$D$17:$D$28,0)),"(unmapped)")))))</f>
        <v/>
      </c>
    </row>
    <row r="1368" spans="11:11" x14ac:dyDescent="0.3">
      <c r="K1368" t="str">
        <f>IF($D1368="","",IFERROR(INDEX(Mapping!$H$3:$H$32,MATCH($B1368,Mapping!$G$3:$G$32,0)),IF(LEFT($F1368,3)="P2P",IFERROR(INDEX(Mapping!$E$3:$E$6,MATCH($G1368,Mapping!$D$3:$D$6,0)),IFERROR(INDEX(Mapping!$B$3:$B$13,MATCH($J1368,Mapping!$A$3:$A$13,0)),"(unmapped)")),IFERROR(INDEX(Mapping!$B$17:$B$22,MATCH($F1368,Mapping!$A$17:$A$22,0)),$F1368)&amp;" "&amp;IF($G1368="Banking","Banking",IFERROR(INDEX(Mapping!$E$17:$E$28,MATCH($J1368,Mapping!$D$17:$D$28,0)),"(unmapped)")))))</f>
        <v/>
      </c>
    </row>
    <row r="1369" spans="11:11" x14ac:dyDescent="0.3">
      <c r="K1369" t="str">
        <f>IF($D1369="","",IFERROR(INDEX(Mapping!$H$3:$H$32,MATCH($B1369,Mapping!$G$3:$G$32,0)),IF(LEFT($F1369,3)="P2P",IFERROR(INDEX(Mapping!$E$3:$E$6,MATCH($G1369,Mapping!$D$3:$D$6,0)),IFERROR(INDEX(Mapping!$B$3:$B$13,MATCH($J1369,Mapping!$A$3:$A$13,0)),"(unmapped)")),IFERROR(INDEX(Mapping!$B$17:$B$22,MATCH($F1369,Mapping!$A$17:$A$22,0)),$F1369)&amp;" "&amp;IF($G1369="Banking","Banking",IFERROR(INDEX(Mapping!$E$17:$E$28,MATCH($J1369,Mapping!$D$17:$D$28,0)),"(unmapped)")))))</f>
        <v/>
      </c>
    </row>
    <row r="1370" spans="11:11" x14ac:dyDescent="0.3">
      <c r="K1370" t="str">
        <f>IF($D1370="","",IFERROR(INDEX(Mapping!$H$3:$H$32,MATCH($B1370,Mapping!$G$3:$G$32,0)),IF(LEFT($F1370,3)="P2P",IFERROR(INDEX(Mapping!$E$3:$E$6,MATCH($G1370,Mapping!$D$3:$D$6,0)),IFERROR(INDEX(Mapping!$B$3:$B$13,MATCH($J1370,Mapping!$A$3:$A$13,0)),"(unmapped)")),IFERROR(INDEX(Mapping!$B$17:$B$22,MATCH($F1370,Mapping!$A$17:$A$22,0)),$F1370)&amp;" "&amp;IF($G1370="Banking","Banking",IFERROR(INDEX(Mapping!$E$17:$E$28,MATCH($J1370,Mapping!$D$17:$D$28,0)),"(unmapped)")))))</f>
        <v/>
      </c>
    </row>
    <row r="1371" spans="11:11" x14ac:dyDescent="0.3">
      <c r="K1371" t="str">
        <f>IF($D1371="","",IFERROR(INDEX(Mapping!$H$3:$H$32,MATCH($B1371,Mapping!$G$3:$G$32,0)),IF(LEFT($F1371,3)="P2P",IFERROR(INDEX(Mapping!$E$3:$E$6,MATCH($G1371,Mapping!$D$3:$D$6,0)),IFERROR(INDEX(Mapping!$B$3:$B$13,MATCH($J1371,Mapping!$A$3:$A$13,0)),"(unmapped)")),IFERROR(INDEX(Mapping!$B$17:$B$22,MATCH($F1371,Mapping!$A$17:$A$22,0)),$F1371)&amp;" "&amp;IF($G1371="Banking","Banking",IFERROR(INDEX(Mapping!$E$17:$E$28,MATCH($J1371,Mapping!$D$17:$D$28,0)),"(unmapped)")))))</f>
        <v/>
      </c>
    </row>
    <row r="1372" spans="11:11" x14ac:dyDescent="0.3">
      <c r="K1372" t="str">
        <f>IF($D1372="","",IFERROR(INDEX(Mapping!$H$3:$H$32,MATCH($B1372,Mapping!$G$3:$G$32,0)),IF(LEFT($F1372,3)="P2P",IFERROR(INDEX(Mapping!$E$3:$E$6,MATCH($G1372,Mapping!$D$3:$D$6,0)),IFERROR(INDEX(Mapping!$B$3:$B$13,MATCH($J1372,Mapping!$A$3:$A$13,0)),"(unmapped)")),IFERROR(INDEX(Mapping!$B$17:$B$22,MATCH($F1372,Mapping!$A$17:$A$22,0)),$F1372)&amp;" "&amp;IF($G1372="Banking","Banking",IFERROR(INDEX(Mapping!$E$17:$E$28,MATCH($J1372,Mapping!$D$17:$D$28,0)),"(unmapped)")))))</f>
        <v/>
      </c>
    </row>
    <row r="1373" spans="11:11" x14ac:dyDescent="0.3">
      <c r="K1373" t="str">
        <f>IF($D1373="","",IFERROR(INDEX(Mapping!$H$3:$H$32,MATCH($B1373,Mapping!$G$3:$G$32,0)),IF(LEFT($F1373,3)="P2P",IFERROR(INDEX(Mapping!$E$3:$E$6,MATCH($G1373,Mapping!$D$3:$D$6,0)),IFERROR(INDEX(Mapping!$B$3:$B$13,MATCH($J1373,Mapping!$A$3:$A$13,0)),"(unmapped)")),IFERROR(INDEX(Mapping!$B$17:$B$22,MATCH($F1373,Mapping!$A$17:$A$22,0)),$F1373)&amp;" "&amp;IF($G1373="Banking","Banking",IFERROR(INDEX(Mapping!$E$17:$E$28,MATCH($J1373,Mapping!$D$17:$D$28,0)),"(unmapped)")))))</f>
        <v/>
      </c>
    </row>
    <row r="1374" spans="11:11" x14ac:dyDescent="0.3">
      <c r="K1374" t="str">
        <f>IF($D1374="","",IFERROR(INDEX(Mapping!$H$3:$H$32,MATCH($B1374,Mapping!$G$3:$G$32,0)),IF(LEFT($F1374,3)="P2P",IFERROR(INDEX(Mapping!$E$3:$E$6,MATCH($G1374,Mapping!$D$3:$D$6,0)),IFERROR(INDEX(Mapping!$B$3:$B$13,MATCH($J1374,Mapping!$A$3:$A$13,0)),"(unmapped)")),IFERROR(INDEX(Mapping!$B$17:$B$22,MATCH($F1374,Mapping!$A$17:$A$22,0)),$F1374)&amp;" "&amp;IF($G1374="Banking","Banking",IFERROR(INDEX(Mapping!$E$17:$E$28,MATCH($J1374,Mapping!$D$17:$D$28,0)),"(unmapped)")))))</f>
        <v/>
      </c>
    </row>
    <row r="1375" spans="11:11" x14ac:dyDescent="0.3">
      <c r="K1375" t="str">
        <f>IF($D1375="","",IFERROR(INDEX(Mapping!$H$3:$H$32,MATCH($B1375,Mapping!$G$3:$G$32,0)),IF(LEFT($F1375,3)="P2P",IFERROR(INDEX(Mapping!$E$3:$E$6,MATCH($G1375,Mapping!$D$3:$D$6,0)),IFERROR(INDEX(Mapping!$B$3:$B$13,MATCH($J1375,Mapping!$A$3:$A$13,0)),"(unmapped)")),IFERROR(INDEX(Mapping!$B$17:$B$22,MATCH($F1375,Mapping!$A$17:$A$22,0)),$F1375)&amp;" "&amp;IF($G1375="Banking","Banking",IFERROR(INDEX(Mapping!$E$17:$E$28,MATCH($J1375,Mapping!$D$17:$D$28,0)),"(unmapped)")))))</f>
        <v/>
      </c>
    </row>
    <row r="1376" spans="11:11" x14ac:dyDescent="0.3">
      <c r="K1376" t="str">
        <f>IF($D1376="","",IFERROR(INDEX(Mapping!$H$3:$H$32,MATCH($B1376,Mapping!$G$3:$G$32,0)),IF(LEFT($F1376,3)="P2P",IFERROR(INDEX(Mapping!$E$3:$E$6,MATCH($G1376,Mapping!$D$3:$D$6,0)),IFERROR(INDEX(Mapping!$B$3:$B$13,MATCH($J1376,Mapping!$A$3:$A$13,0)),"(unmapped)")),IFERROR(INDEX(Mapping!$B$17:$B$22,MATCH($F1376,Mapping!$A$17:$A$22,0)),$F1376)&amp;" "&amp;IF($G1376="Banking","Banking",IFERROR(INDEX(Mapping!$E$17:$E$28,MATCH($J1376,Mapping!$D$17:$D$28,0)),"(unmapped)")))))</f>
        <v/>
      </c>
    </row>
    <row r="1377" spans="11:11" x14ac:dyDescent="0.3">
      <c r="K1377" t="str">
        <f>IF($D1377="","",IFERROR(INDEX(Mapping!$H$3:$H$32,MATCH($B1377,Mapping!$G$3:$G$32,0)),IF(LEFT($F1377,3)="P2P",IFERROR(INDEX(Mapping!$E$3:$E$6,MATCH($G1377,Mapping!$D$3:$D$6,0)),IFERROR(INDEX(Mapping!$B$3:$B$13,MATCH($J1377,Mapping!$A$3:$A$13,0)),"(unmapped)")),IFERROR(INDEX(Mapping!$B$17:$B$22,MATCH($F1377,Mapping!$A$17:$A$22,0)),$F1377)&amp;" "&amp;IF($G1377="Banking","Banking",IFERROR(INDEX(Mapping!$E$17:$E$28,MATCH($J1377,Mapping!$D$17:$D$28,0)),"(unmapped)")))))</f>
        <v/>
      </c>
    </row>
    <row r="1378" spans="11:11" x14ac:dyDescent="0.3">
      <c r="K1378" t="str">
        <f>IF($D1378="","",IFERROR(INDEX(Mapping!$H$3:$H$32,MATCH($B1378,Mapping!$G$3:$G$32,0)),IF(LEFT($F1378,3)="P2P",IFERROR(INDEX(Mapping!$E$3:$E$6,MATCH($G1378,Mapping!$D$3:$D$6,0)),IFERROR(INDEX(Mapping!$B$3:$B$13,MATCH($J1378,Mapping!$A$3:$A$13,0)),"(unmapped)")),IFERROR(INDEX(Mapping!$B$17:$B$22,MATCH($F1378,Mapping!$A$17:$A$22,0)),$F1378)&amp;" "&amp;IF($G1378="Banking","Banking",IFERROR(INDEX(Mapping!$E$17:$E$28,MATCH($J1378,Mapping!$D$17:$D$28,0)),"(unmapped)")))))</f>
        <v/>
      </c>
    </row>
    <row r="1379" spans="11:11" x14ac:dyDescent="0.3">
      <c r="K1379" t="str">
        <f>IF($D1379="","",IFERROR(INDEX(Mapping!$H$3:$H$32,MATCH($B1379,Mapping!$G$3:$G$32,0)),IF(LEFT($F1379,3)="P2P",IFERROR(INDEX(Mapping!$E$3:$E$6,MATCH($G1379,Mapping!$D$3:$D$6,0)),IFERROR(INDEX(Mapping!$B$3:$B$13,MATCH($J1379,Mapping!$A$3:$A$13,0)),"(unmapped)")),IFERROR(INDEX(Mapping!$B$17:$B$22,MATCH($F1379,Mapping!$A$17:$A$22,0)),$F1379)&amp;" "&amp;IF($G1379="Banking","Banking",IFERROR(INDEX(Mapping!$E$17:$E$28,MATCH($J1379,Mapping!$D$17:$D$28,0)),"(unmapped)")))))</f>
        <v/>
      </c>
    </row>
    <row r="1380" spans="11:11" x14ac:dyDescent="0.3">
      <c r="K1380" t="str">
        <f>IF($D1380="","",IFERROR(INDEX(Mapping!$H$3:$H$32,MATCH($B1380,Mapping!$G$3:$G$32,0)),IF(LEFT($F1380,3)="P2P",IFERROR(INDEX(Mapping!$E$3:$E$6,MATCH($G1380,Mapping!$D$3:$D$6,0)),IFERROR(INDEX(Mapping!$B$3:$B$13,MATCH($J1380,Mapping!$A$3:$A$13,0)),"(unmapped)")),IFERROR(INDEX(Mapping!$B$17:$B$22,MATCH($F1380,Mapping!$A$17:$A$22,0)),$F1380)&amp;" "&amp;IF($G1380="Banking","Banking",IFERROR(INDEX(Mapping!$E$17:$E$28,MATCH($J1380,Mapping!$D$17:$D$28,0)),"(unmapped)")))))</f>
        <v/>
      </c>
    </row>
    <row r="1381" spans="11:11" x14ac:dyDescent="0.3">
      <c r="K1381" t="str">
        <f>IF($D1381="","",IFERROR(INDEX(Mapping!$H$3:$H$32,MATCH($B1381,Mapping!$G$3:$G$32,0)),IF(LEFT($F1381,3)="P2P",IFERROR(INDEX(Mapping!$E$3:$E$6,MATCH($G1381,Mapping!$D$3:$D$6,0)),IFERROR(INDEX(Mapping!$B$3:$B$13,MATCH($J1381,Mapping!$A$3:$A$13,0)),"(unmapped)")),IFERROR(INDEX(Mapping!$B$17:$B$22,MATCH($F1381,Mapping!$A$17:$A$22,0)),$F1381)&amp;" "&amp;IF($G1381="Banking","Banking",IFERROR(INDEX(Mapping!$E$17:$E$28,MATCH($J1381,Mapping!$D$17:$D$28,0)),"(unmapped)")))))</f>
        <v/>
      </c>
    </row>
    <row r="1382" spans="11:11" x14ac:dyDescent="0.3">
      <c r="K1382" t="str">
        <f>IF($D1382="","",IFERROR(INDEX(Mapping!$H$3:$H$32,MATCH($B1382,Mapping!$G$3:$G$32,0)),IF(LEFT($F1382,3)="P2P",IFERROR(INDEX(Mapping!$E$3:$E$6,MATCH($G1382,Mapping!$D$3:$D$6,0)),IFERROR(INDEX(Mapping!$B$3:$B$13,MATCH($J1382,Mapping!$A$3:$A$13,0)),"(unmapped)")),IFERROR(INDEX(Mapping!$B$17:$B$22,MATCH($F1382,Mapping!$A$17:$A$22,0)),$F1382)&amp;" "&amp;IF($G1382="Banking","Banking",IFERROR(INDEX(Mapping!$E$17:$E$28,MATCH($J1382,Mapping!$D$17:$D$28,0)),"(unmapped)")))))</f>
        <v/>
      </c>
    </row>
    <row r="1383" spans="11:11" x14ac:dyDescent="0.3">
      <c r="K1383" t="str">
        <f>IF($D1383="","",IFERROR(INDEX(Mapping!$H$3:$H$32,MATCH($B1383,Mapping!$G$3:$G$32,0)),IF(LEFT($F1383,3)="P2P",IFERROR(INDEX(Mapping!$E$3:$E$6,MATCH($G1383,Mapping!$D$3:$D$6,0)),IFERROR(INDEX(Mapping!$B$3:$B$13,MATCH($J1383,Mapping!$A$3:$A$13,0)),"(unmapped)")),IFERROR(INDEX(Mapping!$B$17:$B$22,MATCH($F1383,Mapping!$A$17:$A$22,0)),$F1383)&amp;" "&amp;IF($G1383="Banking","Banking",IFERROR(INDEX(Mapping!$E$17:$E$28,MATCH($J1383,Mapping!$D$17:$D$28,0)),"(unmapped)")))))</f>
        <v/>
      </c>
    </row>
    <row r="1384" spans="11:11" x14ac:dyDescent="0.3">
      <c r="K1384" t="str">
        <f>IF($D1384="","",IFERROR(INDEX(Mapping!$H$3:$H$32,MATCH($B1384,Mapping!$G$3:$G$32,0)),IF(LEFT($F1384,3)="P2P",IFERROR(INDEX(Mapping!$E$3:$E$6,MATCH($G1384,Mapping!$D$3:$D$6,0)),IFERROR(INDEX(Mapping!$B$3:$B$13,MATCH($J1384,Mapping!$A$3:$A$13,0)),"(unmapped)")),IFERROR(INDEX(Mapping!$B$17:$B$22,MATCH($F1384,Mapping!$A$17:$A$22,0)),$F1384)&amp;" "&amp;IF($G1384="Banking","Banking",IFERROR(INDEX(Mapping!$E$17:$E$28,MATCH($J1384,Mapping!$D$17:$D$28,0)),"(unmapped)")))))</f>
        <v/>
      </c>
    </row>
    <row r="1385" spans="11:11" x14ac:dyDescent="0.3">
      <c r="K1385" t="str">
        <f>IF($D1385="","",IFERROR(INDEX(Mapping!$H$3:$H$32,MATCH($B1385,Mapping!$G$3:$G$32,0)),IF(LEFT($F1385,3)="P2P",IFERROR(INDEX(Mapping!$E$3:$E$6,MATCH($G1385,Mapping!$D$3:$D$6,0)),IFERROR(INDEX(Mapping!$B$3:$B$13,MATCH($J1385,Mapping!$A$3:$A$13,0)),"(unmapped)")),IFERROR(INDEX(Mapping!$B$17:$B$22,MATCH($F1385,Mapping!$A$17:$A$22,0)),$F1385)&amp;" "&amp;IF($G1385="Banking","Banking",IFERROR(INDEX(Mapping!$E$17:$E$28,MATCH($J1385,Mapping!$D$17:$D$28,0)),"(unmapped)")))))</f>
        <v/>
      </c>
    </row>
    <row r="1386" spans="11:11" x14ac:dyDescent="0.3">
      <c r="K1386" t="str">
        <f>IF($D1386="","",IFERROR(INDEX(Mapping!$H$3:$H$32,MATCH($B1386,Mapping!$G$3:$G$32,0)),IF(LEFT($F1386,3)="P2P",IFERROR(INDEX(Mapping!$E$3:$E$6,MATCH($G1386,Mapping!$D$3:$D$6,0)),IFERROR(INDEX(Mapping!$B$3:$B$13,MATCH($J1386,Mapping!$A$3:$A$13,0)),"(unmapped)")),IFERROR(INDEX(Mapping!$B$17:$B$22,MATCH($F1386,Mapping!$A$17:$A$22,0)),$F1386)&amp;" "&amp;IF($G1386="Banking","Banking",IFERROR(INDEX(Mapping!$E$17:$E$28,MATCH($J1386,Mapping!$D$17:$D$28,0)),"(unmapped)")))))</f>
        <v/>
      </c>
    </row>
    <row r="1387" spans="11:11" x14ac:dyDescent="0.3">
      <c r="K1387" t="str">
        <f>IF($D1387="","",IFERROR(INDEX(Mapping!$H$3:$H$32,MATCH($B1387,Mapping!$G$3:$G$32,0)),IF(LEFT($F1387,3)="P2P",IFERROR(INDEX(Mapping!$E$3:$E$6,MATCH($G1387,Mapping!$D$3:$D$6,0)),IFERROR(INDEX(Mapping!$B$3:$B$13,MATCH($J1387,Mapping!$A$3:$A$13,0)),"(unmapped)")),IFERROR(INDEX(Mapping!$B$17:$B$22,MATCH($F1387,Mapping!$A$17:$A$22,0)),$F1387)&amp;" "&amp;IF($G1387="Banking","Banking",IFERROR(INDEX(Mapping!$E$17:$E$28,MATCH($J1387,Mapping!$D$17:$D$28,0)),"(unmapped)")))))</f>
        <v/>
      </c>
    </row>
    <row r="1388" spans="11:11" x14ac:dyDescent="0.3">
      <c r="K1388" t="str">
        <f>IF($D1388="","",IFERROR(INDEX(Mapping!$H$3:$H$32,MATCH($B1388,Mapping!$G$3:$G$32,0)),IF(LEFT($F1388,3)="P2P",IFERROR(INDEX(Mapping!$E$3:$E$6,MATCH($G1388,Mapping!$D$3:$D$6,0)),IFERROR(INDEX(Mapping!$B$3:$B$13,MATCH($J1388,Mapping!$A$3:$A$13,0)),"(unmapped)")),IFERROR(INDEX(Mapping!$B$17:$B$22,MATCH($F1388,Mapping!$A$17:$A$22,0)),$F1388)&amp;" "&amp;IF($G1388="Banking","Banking",IFERROR(INDEX(Mapping!$E$17:$E$28,MATCH($J1388,Mapping!$D$17:$D$28,0)),"(unmapped)")))))</f>
        <v/>
      </c>
    </row>
    <row r="1389" spans="11:11" x14ac:dyDescent="0.3">
      <c r="K1389" t="str">
        <f>IF($D1389="","",IFERROR(INDEX(Mapping!$H$3:$H$32,MATCH($B1389,Mapping!$G$3:$G$32,0)),IF(LEFT($F1389,3)="P2P",IFERROR(INDEX(Mapping!$E$3:$E$6,MATCH($G1389,Mapping!$D$3:$D$6,0)),IFERROR(INDEX(Mapping!$B$3:$B$13,MATCH($J1389,Mapping!$A$3:$A$13,0)),"(unmapped)")),IFERROR(INDEX(Mapping!$B$17:$B$22,MATCH($F1389,Mapping!$A$17:$A$22,0)),$F1389)&amp;" "&amp;IF($G1389="Banking","Banking",IFERROR(INDEX(Mapping!$E$17:$E$28,MATCH($J1389,Mapping!$D$17:$D$28,0)),"(unmapped)")))))</f>
        <v/>
      </c>
    </row>
    <row r="1390" spans="11:11" x14ac:dyDescent="0.3">
      <c r="K1390" t="str">
        <f>IF($D1390="","",IFERROR(INDEX(Mapping!$H$3:$H$32,MATCH($B1390,Mapping!$G$3:$G$32,0)),IF(LEFT($F1390,3)="P2P",IFERROR(INDEX(Mapping!$E$3:$E$6,MATCH($G1390,Mapping!$D$3:$D$6,0)),IFERROR(INDEX(Mapping!$B$3:$B$13,MATCH($J1390,Mapping!$A$3:$A$13,0)),"(unmapped)")),IFERROR(INDEX(Mapping!$B$17:$B$22,MATCH($F1390,Mapping!$A$17:$A$22,0)),$F1390)&amp;" "&amp;IF($G1390="Banking","Banking",IFERROR(INDEX(Mapping!$E$17:$E$28,MATCH($J1390,Mapping!$D$17:$D$28,0)),"(unmapped)")))))</f>
        <v/>
      </c>
    </row>
    <row r="1391" spans="11:11" x14ac:dyDescent="0.3">
      <c r="K1391" t="str">
        <f>IF($D1391="","",IFERROR(INDEX(Mapping!$H$3:$H$32,MATCH($B1391,Mapping!$G$3:$G$32,0)),IF(LEFT($F1391,3)="P2P",IFERROR(INDEX(Mapping!$E$3:$E$6,MATCH($G1391,Mapping!$D$3:$D$6,0)),IFERROR(INDEX(Mapping!$B$3:$B$13,MATCH($J1391,Mapping!$A$3:$A$13,0)),"(unmapped)")),IFERROR(INDEX(Mapping!$B$17:$B$22,MATCH($F1391,Mapping!$A$17:$A$22,0)),$F1391)&amp;" "&amp;IF($G1391="Banking","Banking",IFERROR(INDEX(Mapping!$E$17:$E$28,MATCH($J1391,Mapping!$D$17:$D$28,0)),"(unmapped)")))))</f>
        <v/>
      </c>
    </row>
    <row r="1392" spans="11:11" x14ac:dyDescent="0.3">
      <c r="K1392" t="str">
        <f>IF($D1392="","",IFERROR(INDEX(Mapping!$H$3:$H$32,MATCH($B1392,Mapping!$G$3:$G$32,0)),IF(LEFT($F1392,3)="P2P",IFERROR(INDEX(Mapping!$E$3:$E$6,MATCH($G1392,Mapping!$D$3:$D$6,0)),IFERROR(INDEX(Mapping!$B$3:$B$13,MATCH($J1392,Mapping!$A$3:$A$13,0)),"(unmapped)")),IFERROR(INDEX(Mapping!$B$17:$B$22,MATCH($F1392,Mapping!$A$17:$A$22,0)),$F1392)&amp;" "&amp;IF($G1392="Banking","Banking",IFERROR(INDEX(Mapping!$E$17:$E$28,MATCH($J1392,Mapping!$D$17:$D$28,0)),"(unmapped)")))))</f>
        <v/>
      </c>
    </row>
    <row r="1393" spans="11:11" x14ac:dyDescent="0.3">
      <c r="K1393" t="str">
        <f>IF($D1393="","",IFERROR(INDEX(Mapping!$H$3:$H$32,MATCH($B1393,Mapping!$G$3:$G$32,0)),IF(LEFT($F1393,3)="P2P",IFERROR(INDEX(Mapping!$E$3:$E$6,MATCH($G1393,Mapping!$D$3:$D$6,0)),IFERROR(INDEX(Mapping!$B$3:$B$13,MATCH($J1393,Mapping!$A$3:$A$13,0)),"(unmapped)")),IFERROR(INDEX(Mapping!$B$17:$B$22,MATCH($F1393,Mapping!$A$17:$A$22,0)),$F1393)&amp;" "&amp;IF($G1393="Banking","Banking",IFERROR(INDEX(Mapping!$E$17:$E$28,MATCH($J1393,Mapping!$D$17:$D$28,0)),"(unmapped)")))))</f>
        <v/>
      </c>
    </row>
    <row r="1394" spans="11:11" x14ac:dyDescent="0.3">
      <c r="K1394" t="str">
        <f>IF($D1394="","",IFERROR(INDEX(Mapping!$H$3:$H$32,MATCH($B1394,Mapping!$G$3:$G$32,0)),IF(LEFT($F1394,3)="P2P",IFERROR(INDEX(Mapping!$E$3:$E$6,MATCH($G1394,Mapping!$D$3:$D$6,0)),IFERROR(INDEX(Mapping!$B$3:$B$13,MATCH($J1394,Mapping!$A$3:$A$13,0)),"(unmapped)")),IFERROR(INDEX(Mapping!$B$17:$B$22,MATCH($F1394,Mapping!$A$17:$A$22,0)),$F1394)&amp;" "&amp;IF($G1394="Banking","Banking",IFERROR(INDEX(Mapping!$E$17:$E$28,MATCH($J1394,Mapping!$D$17:$D$28,0)),"(unmapped)")))))</f>
        <v/>
      </c>
    </row>
    <row r="1395" spans="11:11" x14ac:dyDescent="0.3">
      <c r="K1395" t="str">
        <f>IF($D1395="","",IFERROR(INDEX(Mapping!$H$3:$H$32,MATCH($B1395,Mapping!$G$3:$G$32,0)),IF(LEFT($F1395,3)="P2P",IFERROR(INDEX(Mapping!$E$3:$E$6,MATCH($G1395,Mapping!$D$3:$D$6,0)),IFERROR(INDEX(Mapping!$B$3:$B$13,MATCH($J1395,Mapping!$A$3:$A$13,0)),"(unmapped)")),IFERROR(INDEX(Mapping!$B$17:$B$22,MATCH($F1395,Mapping!$A$17:$A$22,0)),$F1395)&amp;" "&amp;IF($G1395="Banking","Banking",IFERROR(INDEX(Mapping!$E$17:$E$28,MATCH($J1395,Mapping!$D$17:$D$28,0)),"(unmapped)")))))</f>
        <v/>
      </c>
    </row>
    <row r="1396" spans="11:11" x14ac:dyDescent="0.3">
      <c r="K1396" t="str">
        <f>IF($D1396="","",IFERROR(INDEX(Mapping!$H$3:$H$32,MATCH($B1396,Mapping!$G$3:$G$32,0)),IF(LEFT($F1396,3)="P2P",IFERROR(INDEX(Mapping!$E$3:$E$6,MATCH($G1396,Mapping!$D$3:$D$6,0)),IFERROR(INDEX(Mapping!$B$3:$B$13,MATCH($J1396,Mapping!$A$3:$A$13,0)),"(unmapped)")),IFERROR(INDEX(Mapping!$B$17:$B$22,MATCH($F1396,Mapping!$A$17:$A$22,0)),$F1396)&amp;" "&amp;IF($G1396="Banking","Banking",IFERROR(INDEX(Mapping!$E$17:$E$28,MATCH($J1396,Mapping!$D$17:$D$28,0)),"(unmapped)")))))</f>
        <v/>
      </c>
    </row>
    <row r="1397" spans="11:11" x14ac:dyDescent="0.3">
      <c r="K1397" t="str">
        <f>IF($D1397="","",IFERROR(INDEX(Mapping!$H$3:$H$32,MATCH($B1397,Mapping!$G$3:$G$32,0)),IF(LEFT($F1397,3)="P2P",IFERROR(INDEX(Mapping!$E$3:$E$6,MATCH($G1397,Mapping!$D$3:$D$6,0)),IFERROR(INDEX(Mapping!$B$3:$B$13,MATCH($J1397,Mapping!$A$3:$A$13,0)),"(unmapped)")),IFERROR(INDEX(Mapping!$B$17:$B$22,MATCH($F1397,Mapping!$A$17:$A$22,0)),$F1397)&amp;" "&amp;IF($G1397="Banking","Banking",IFERROR(INDEX(Mapping!$E$17:$E$28,MATCH($J1397,Mapping!$D$17:$D$28,0)),"(unmapped)")))))</f>
        <v/>
      </c>
    </row>
    <row r="1398" spans="11:11" x14ac:dyDescent="0.3">
      <c r="K1398" t="str">
        <f>IF($D1398="","",IFERROR(INDEX(Mapping!$H$3:$H$32,MATCH($B1398,Mapping!$G$3:$G$32,0)),IF(LEFT($F1398,3)="P2P",IFERROR(INDEX(Mapping!$E$3:$E$6,MATCH($G1398,Mapping!$D$3:$D$6,0)),IFERROR(INDEX(Mapping!$B$3:$B$13,MATCH($J1398,Mapping!$A$3:$A$13,0)),"(unmapped)")),IFERROR(INDEX(Mapping!$B$17:$B$22,MATCH($F1398,Mapping!$A$17:$A$22,0)),$F1398)&amp;" "&amp;IF($G1398="Banking","Banking",IFERROR(INDEX(Mapping!$E$17:$E$28,MATCH($J1398,Mapping!$D$17:$D$28,0)),"(unmapped)")))))</f>
        <v/>
      </c>
    </row>
    <row r="1399" spans="11:11" x14ac:dyDescent="0.3">
      <c r="K1399" t="str">
        <f>IF($D1399="","",IFERROR(INDEX(Mapping!$H$3:$H$32,MATCH($B1399,Mapping!$G$3:$G$32,0)),IF(LEFT($F1399,3)="P2P",IFERROR(INDEX(Mapping!$E$3:$E$6,MATCH($G1399,Mapping!$D$3:$D$6,0)),IFERROR(INDEX(Mapping!$B$3:$B$13,MATCH($J1399,Mapping!$A$3:$A$13,0)),"(unmapped)")),IFERROR(INDEX(Mapping!$B$17:$B$22,MATCH($F1399,Mapping!$A$17:$A$22,0)),$F1399)&amp;" "&amp;IF($G1399="Banking","Banking",IFERROR(INDEX(Mapping!$E$17:$E$28,MATCH($J1399,Mapping!$D$17:$D$28,0)),"(unmapped)")))))</f>
        <v/>
      </c>
    </row>
    <row r="1400" spans="11:11" x14ac:dyDescent="0.3">
      <c r="K1400" t="str">
        <f>IF($D1400="","",IFERROR(INDEX(Mapping!$H$3:$H$32,MATCH($B1400,Mapping!$G$3:$G$32,0)),IF(LEFT($F1400,3)="P2P",IFERROR(INDEX(Mapping!$E$3:$E$6,MATCH($G1400,Mapping!$D$3:$D$6,0)),IFERROR(INDEX(Mapping!$B$3:$B$13,MATCH($J1400,Mapping!$A$3:$A$13,0)),"(unmapped)")),IFERROR(INDEX(Mapping!$B$17:$B$22,MATCH($F1400,Mapping!$A$17:$A$22,0)),$F1400)&amp;" "&amp;IF($G1400="Banking","Banking",IFERROR(INDEX(Mapping!$E$17:$E$28,MATCH($J1400,Mapping!$D$17:$D$28,0)),"(unmapped)")))))</f>
        <v/>
      </c>
    </row>
    <row r="1401" spans="11:11" x14ac:dyDescent="0.3">
      <c r="K1401" t="str">
        <f>IF($D1401="","",IFERROR(INDEX(Mapping!$H$3:$H$32,MATCH($B1401,Mapping!$G$3:$G$32,0)),IF(LEFT($F1401,3)="P2P",IFERROR(INDEX(Mapping!$E$3:$E$6,MATCH($G1401,Mapping!$D$3:$D$6,0)),IFERROR(INDEX(Mapping!$B$3:$B$13,MATCH($J1401,Mapping!$A$3:$A$13,0)),"(unmapped)")),IFERROR(INDEX(Mapping!$B$17:$B$22,MATCH($F1401,Mapping!$A$17:$A$22,0)),$F1401)&amp;" "&amp;IF($G1401="Banking","Banking",IFERROR(INDEX(Mapping!$E$17:$E$28,MATCH($J1401,Mapping!$D$17:$D$28,0)),"(unmapped)")))))</f>
        <v/>
      </c>
    </row>
    <row r="1402" spans="11:11" x14ac:dyDescent="0.3">
      <c r="K1402" t="str">
        <f>IF($D1402="","",IFERROR(INDEX(Mapping!$H$3:$H$32,MATCH($B1402,Mapping!$G$3:$G$32,0)),IF(LEFT($F1402,3)="P2P",IFERROR(INDEX(Mapping!$E$3:$E$6,MATCH($G1402,Mapping!$D$3:$D$6,0)),IFERROR(INDEX(Mapping!$B$3:$B$13,MATCH($J1402,Mapping!$A$3:$A$13,0)),"(unmapped)")),IFERROR(INDEX(Mapping!$B$17:$B$22,MATCH($F1402,Mapping!$A$17:$A$22,0)),$F1402)&amp;" "&amp;IF($G1402="Banking","Banking",IFERROR(INDEX(Mapping!$E$17:$E$28,MATCH($J1402,Mapping!$D$17:$D$28,0)),"(unmapped)")))))</f>
        <v/>
      </c>
    </row>
    <row r="1403" spans="11:11" x14ac:dyDescent="0.3">
      <c r="K1403" t="str">
        <f>IF($D1403="","",IFERROR(INDEX(Mapping!$H$3:$H$32,MATCH($B1403,Mapping!$G$3:$G$32,0)),IF(LEFT($F1403,3)="P2P",IFERROR(INDEX(Mapping!$E$3:$E$6,MATCH($G1403,Mapping!$D$3:$D$6,0)),IFERROR(INDEX(Mapping!$B$3:$B$13,MATCH($J1403,Mapping!$A$3:$A$13,0)),"(unmapped)")),IFERROR(INDEX(Mapping!$B$17:$B$22,MATCH($F1403,Mapping!$A$17:$A$22,0)),$F1403)&amp;" "&amp;IF($G1403="Banking","Banking",IFERROR(INDEX(Mapping!$E$17:$E$28,MATCH($J1403,Mapping!$D$17:$D$28,0)),"(unmapped)")))))</f>
        <v/>
      </c>
    </row>
    <row r="1404" spans="11:11" x14ac:dyDescent="0.3">
      <c r="K1404" t="str">
        <f>IF($D1404="","",IFERROR(INDEX(Mapping!$H$3:$H$32,MATCH($B1404,Mapping!$G$3:$G$32,0)),IF(LEFT($F1404,3)="P2P",IFERROR(INDEX(Mapping!$E$3:$E$6,MATCH($G1404,Mapping!$D$3:$D$6,0)),IFERROR(INDEX(Mapping!$B$3:$B$13,MATCH($J1404,Mapping!$A$3:$A$13,0)),"(unmapped)")),IFERROR(INDEX(Mapping!$B$17:$B$22,MATCH($F1404,Mapping!$A$17:$A$22,0)),$F1404)&amp;" "&amp;IF($G1404="Banking","Banking",IFERROR(INDEX(Mapping!$E$17:$E$28,MATCH($J1404,Mapping!$D$17:$D$28,0)),"(unmapped)")))))</f>
        <v/>
      </c>
    </row>
    <row r="1405" spans="11:11" x14ac:dyDescent="0.3">
      <c r="K1405" t="str">
        <f>IF($D1405="","",IFERROR(INDEX(Mapping!$H$3:$H$32,MATCH($B1405,Mapping!$G$3:$G$32,0)),IF(LEFT($F1405,3)="P2P",IFERROR(INDEX(Mapping!$E$3:$E$6,MATCH($G1405,Mapping!$D$3:$D$6,0)),IFERROR(INDEX(Mapping!$B$3:$B$13,MATCH($J1405,Mapping!$A$3:$A$13,0)),"(unmapped)")),IFERROR(INDEX(Mapping!$B$17:$B$22,MATCH($F1405,Mapping!$A$17:$A$22,0)),$F1405)&amp;" "&amp;IF($G1405="Banking","Banking",IFERROR(INDEX(Mapping!$E$17:$E$28,MATCH($J1405,Mapping!$D$17:$D$28,0)),"(unmapped)")))))</f>
        <v/>
      </c>
    </row>
    <row r="1406" spans="11:11" x14ac:dyDescent="0.3">
      <c r="K1406" t="str">
        <f>IF($D1406="","",IFERROR(INDEX(Mapping!$H$3:$H$32,MATCH($B1406,Mapping!$G$3:$G$32,0)),IF(LEFT($F1406,3)="P2P",IFERROR(INDEX(Mapping!$E$3:$E$6,MATCH($G1406,Mapping!$D$3:$D$6,0)),IFERROR(INDEX(Mapping!$B$3:$B$13,MATCH($J1406,Mapping!$A$3:$A$13,0)),"(unmapped)")),IFERROR(INDEX(Mapping!$B$17:$B$22,MATCH($F1406,Mapping!$A$17:$A$22,0)),$F1406)&amp;" "&amp;IF($G1406="Banking","Banking",IFERROR(INDEX(Mapping!$E$17:$E$28,MATCH($J1406,Mapping!$D$17:$D$28,0)),"(unmapped)")))))</f>
        <v/>
      </c>
    </row>
    <row r="1407" spans="11:11" x14ac:dyDescent="0.3">
      <c r="K1407" t="str">
        <f>IF($D1407="","",IFERROR(INDEX(Mapping!$H$3:$H$32,MATCH($B1407,Mapping!$G$3:$G$32,0)),IF(LEFT($F1407,3)="P2P",IFERROR(INDEX(Mapping!$E$3:$E$6,MATCH($G1407,Mapping!$D$3:$D$6,0)),IFERROR(INDEX(Mapping!$B$3:$B$13,MATCH($J1407,Mapping!$A$3:$A$13,0)),"(unmapped)")),IFERROR(INDEX(Mapping!$B$17:$B$22,MATCH($F1407,Mapping!$A$17:$A$22,0)),$F1407)&amp;" "&amp;IF($G1407="Banking","Banking",IFERROR(INDEX(Mapping!$E$17:$E$28,MATCH($J1407,Mapping!$D$17:$D$28,0)),"(unmapped)")))))</f>
        <v/>
      </c>
    </row>
    <row r="1408" spans="11:11" x14ac:dyDescent="0.3">
      <c r="K1408" t="str">
        <f>IF($D1408="","",IFERROR(INDEX(Mapping!$H$3:$H$32,MATCH($B1408,Mapping!$G$3:$G$32,0)),IF(LEFT($F1408,3)="P2P",IFERROR(INDEX(Mapping!$E$3:$E$6,MATCH($G1408,Mapping!$D$3:$D$6,0)),IFERROR(INDEX(Mapping!$B$3:$B$13,MATCH($J1408,Mapping!$A$3:$A$13,0)),"(unmapped)")),IFERROR(INDEX(Mapping!$B$17:$B$22,MATCH($F1408,Mapping!$A$17:$A$22,0)),$F1408)&amp;" "&amp;IF($G1408="Banking","Banking",IFERROR(INDEX(Mapping!$E$17:$E$28,MATCH($J1408,Mapping!$D$17:$D$28,0)),"(unmapped)")))))</f>
        <v/>
      </c>
    </row>
    <row r="1409" spans="11:11" x14ac:dyDescent="0.3">
      <c r="K1409" t="str">
        <f>IF($D1409="","",IFERROR(INDEX(Mapping!$H$3:$H$32,MATCH($B1409,Mapping!$G$3:$G$32,0)),IF(LEFT($F1409,3)="P2P",IFERROR(INDEX(Mapping!$E$3:$E$6,MATCH($G1409,Mapping!$D$3:$D$6,0)),IFERROR(INDEX(Mapping!$B$3:$B$13,MATCH($J1409,Mapping!$A$3:$A$13,0)),"(unmapped)")),IFERROR(INDEX(Mapping!$B$17:$B$22,MATCH($F1409,Mapping!$A$17:$A$22,0)),$F1409)&amp;" "&amp;IF($G1409="Banking","Banking",IFERROR(INDEX(Mapping!$E$17:$E$28,MATCH($J1409,Mapping!$D$17:$D$28,0)),"(unmapped)")))))</f>
        <v/>
      </c>
    </row>
    <row r="1410" spans="11:11" x14ac:dyDescent="0.3">
      <c r="K1410" t="str">
        <f>IF($D1410="","",IFERROR(INDEX(Mapping!$H$3:$H$32,MATCH($B1410,Mapping!$G$3:$G$32,0)),IF(LEFT($F1410,3)="P2P",IFERROR(INDEX(Mapping!$E$3:$E$6,MATCH($G1410,Mapping!$D$3:$D$6,0)),IFERROR(INDEX(Mapping!$B$3:$B$13,MATCH($J1410,Mapping!$A$3:$A$13,0)),"(unmapped)")),IFERROR(INDEX(Mapping!$B$17:$B$22,MATCH($F1410,Mapping!$A$17:$A$22,0)),$F1410)&amp;" "&amp;IF($G1410="Banking","Banking",IFERROR(INDEX(Mapping!$E$17:$E$28,MATCH($J1410,Mapping!$D$17:$D$28,0)),"(unmapped)")))))</f>
        <v/>
      </c>
    </row>
    <row r="1411" spans="11:11" x14ac:dyDescent="0.3">
      <c r="K1411" t="str">
        <f>IF($D1411="","",IFERROR(INDEX(Mapping!$H$3:$H$32,MATCH($B1411,Mapping!$G$3:$G$32,0)),IF(LEFT($F1411,3)="P2P",IFERROR(INDEX(Mapping!$E$3:$E$6,MATCH($G1411,Mapping!$D$3:$D$6,0)),IFERROR(INDEX(Mapping!$B$3:$B$13,MATCH($J1411,Mapping!$A$3:$A$13,0)),"(unmapped)")),IFERROR(INDEX(Mapping!$B$17:$B$22,MATCH($F1411,Mapping!$A$17:$A$22,0)),$F1411)&amp;" "&amp;IF($G1411="Banking","Banking",IFERROR(INDEX(Mapping!$E$17:$E$28,MATCH($J1411,Mapping!$D$17:$D$28,0)),"(unmapped)")))))</f>
        <v/>
      </c>
    </row>
    <row r="1412" spans="11:11" x14ac:dyDescent="0.3">
      <c r="K1412" t="str">
        <f>IF($D1412="","",IFERROR(INDEX(Mapping!$H$3:$H$32,MATCH($B1412,Mapping!$G$3:$G$32,0)),IF(LEFT($F1412,3)="P2P",IFERROR(INDEX(Mapping!$E$3:$E$6,MATCH($G1412,Mapping!$D$3:$D$6,0)),IFERROR(INDEX(Mapping!$B$3:$B$13,MATCH($J1412,Mapping!$A$3:$A$13,0)),"(unmapped)")),IFERROR(INDEX(Mapping!$B$17:$B$22,MATCH($F1412,Mapping!$A$17:$A$22,0)),$F1412)&amp;" "&amp;IF($G1412="Banking","Banking",IFERROR(INDEX(Mapping!$E$17:$E$28,MATCH($J1412,Mapping!$D$17:$D$28,0)),"(unmapped)")))))</f>
        <v/>
      </c>
    </row>
    <row r="1413" spans="11:11" x14ac:dyDescent="0.3">
      <c r="K1413" t="str">
        <f>IF($D1413="","",IFERROR(INDEX(Mapping!$H$3:$H$32,MATCH($B1413,Mapping!$G$3:$G$32,0)),IF(LEFT($F1413,3)="P2P",IFERROR(INDEX(Mapping!$E$3:$E$6,MATCH($G1413,Mapping!$D$3:$D$6,0)),IFERROR(INDEX(Mapping!$B$3:$B$13,MATCH($J1413,Mapping!$A$3:$A$13,0)),"(unmapped)")),IFERROR(INDEX(Mapping!$B$17:$B$22,MATCH($F1413,Mapping!$A$17:$A$22,0)),$F1413)&amp;" "&amp;IF($G1413="Banking","Banking",IFERROR(INDEX(Mapping!$E$17:$E$28,MATCH($J1413,Mapping!$D$17:$D$28,0)),"(unmapped)")))))</f>
        <v/>
      </c>
    </row>
    <row r="1414" spans="11:11" x14ac:dyDescent="0.3">
      <c r="K1414" t="str">
        <f>IF($D1414="","",IFERROR(INDEX(Mapping!$H$3:$H$32,MATCH($B1414,Mapping!$G$3:$G$32,0)),IF(LEFT($F1414,3)="P2P",IFERROR(INDEX(Mapping!$E$3:$E$6,MATCH($G1414,Mapping!$D$3:$D$6,0)),IFERROR(INDEX(Mapping!$B$3:$B$13,MATCH($J1414,Mapping!$A$3:$A$13,0)),"(unmapped)")),IFERROR(INDEX(Mapping!$B$17:$B$22,MATCH($F1414,Mapping!$A$17:$A$22,0)),$F1414)&amp;" "&amp;IF($G1414="Banking","Banking",IFERROR(INDEX(Mapping!$E$17:$E$28,MATCH($J1414,Mapping!$D$17:$D$28,0)),"(unmapped)")))))</f>
        <v/>
      </c>
    </row>
    <row r="1415" spans="11:11" x14ac:dyDescent="0.3">
      <c r="K1415" t="str">
        <f>IF($D1415="","",IFERROR(INDEX(Mapping!$H$3:$H$32,MATCH($B1415,Mapping!$G$3:$G$32,0)),IF(LEFT($F1415,3)="P2P",IFERROR(INDEX(Mapping!$E$3:$E$6,MATCH($G1415,Mapping!$D$3:$D$6,0)),IFERROR(INDEX(Mapping!$B$3:$B$13,MATCH($J1415,Mapping!$A$3:$A$13,0)),"(unmapped)")),IFERROR(INDEX(Mapping!$B$17:$B$22,MATCH($F1415,Mapping!$A$17:$A$22,0)),$F1415)&amp;" "&amp;IF($G1415="Banking","Banking",IFERROR(INDEX(Mapping!$E$17:$E$28,MATCH($J1415,Mapping!$D$17:$D$28,0)),"(unmapped)")))))</f>
        <v/>
      </c>
    </row>
    <row r="1416" spans="11:11" x14ac:dyDescent="0.3">
      <c r="K1416" t="str">
        <f>IF($D1416="","",IFERROR(INDEX(Mapping!$H$3:$H$32,MATCH($B1416,Mapping!$G$3:$G$32,0)),IF(LEFT($F1416,3)="P2P",IFERROR(INDEX(Mapping!$E$3:$E$6,MATCH($G1416,Mapping!$D$3:$D$6,0)),IFERROR(INDEX(Mapping!$B$3:$B$13,MATCH($J1416,Mapping!$A$3:$A$13,0)),"(unmapped)")),IFERROR(INDEX(Mapping!$B$17:$B$22,MATCH($F1416,Mapping!$A$17:$A$22,0)),$F1416)&amp;" "&amp;IF($G1416="Banking","Banking",IFERROR(INDEX(Mapping!$E$17:$E$28,MATCH($J1416,Mapping!$D$17:$D$28,0)),"(unmapped)")))))</f>
        <v/>
      </c>
    </row>
    <row r="1417" spans="11:11" x14ac:dyDescent="0.3">
      <c r="K1417" t="str">
        <f>IF($D1417="","",IFERROR(INDEX(Mapping!$H$3:$H$32,MATCH($B1417,Mapping!$G$3:$G$32,0)),IF(LEFT($F1417,3)="P2P",IFERROR(INDEX(Mapping!$E$3:$E$6,MATCH($G1417,Mapping!$D$3:$D$6,0)),IFERROR(INDEX(Mapping!$B$3:$B$13,MATCH($J1417,Mapping!$A$3:$A$13,0)),"(unmapped)")),IFERROR(INDEX(Mapping!$B$17:$B$22,MATCH($F1417,Mapping!$A$17:$A$22,0)),$F1417)&amp;" "&amp;IF($G1417="Banking","Banking",IFERROR(INDEX(Mapping!$E$17:$E$28,MATCH($J1417,Mapping!$D$17:$D$28,0)),"(unmapped)")))))</f>
        <v/>
      </c>
    </row>
    <row r="1418" spans="11:11" x14ac:dyDescent="0.3">
      <c r="K1418" t="str">
        <f>IF($D1418="","",IFERROR(INDEX(Mapping!$H$3:$H$32,MATCH($B1418,Mapping!$G$3:$G$32,0)),IF(LEFT($F1418,3)="P2P",IFERROR(INDEX(Mapping!$E$3:$E$6,MATCH($G1418,Mapping!$D$3:$D$6,0)),IFERROR(INDEX(Mapping!$B$3:$B$13,MATCH($J1418,Mapping!$A$3:$A$13,0)),"(unmapped)")),IFERROR(INDEX(Mapping!$B$17:$B$22,MATCH($F1418,Mapping!$A$17:$A$22,0)),$F1418)&amp;" "&amp;IF($G1418="Banking","Banking",IFERROR(INDEX(Mapping!$E$17:$E$28,MATCH($J1418,Mapping!$D$17:$D$28,0)),"(unmapped)")))))</f>
        <v/>
      </c>
    </row>
    <row r="1419" spans="11:11" x14ac:dyDescent="0.3">
      <c r="K1419" t="str">
        <f>IF($D1419="","",IFERROR(INDEX(Mapping!$H$3:$H$32,MATCH($B1419,Mapping!$G$3:$G$32,0)),IF(LEFT($F1419,3)="P2P",IFERROR(INDEX(Mapping!$E$3:$E$6,MATCH($G1419,Mapping!$D$3:$D$6,0)),IFERROR(INDEX(Mapping!$B$3:$B$13,MATCH($J1419,Mapping!$A$3:$A$13,0)),"(unmapped)")),IFERROR(INDEX(Mapping!$B$17:$B$22,MATCH($F1419,Mapping!$A$17:$A$22,0)),$F1419)&amp;" "&amp;IF($G1419="Banking","Banking",IFERROR(INDEX(Mapping!$E$17:$E$28,MATCH($J1419,Mapping!$D$17:$D$28,0)),"(unmapped)")))))</f>
        <v/>
      </c>
    </row>
    <row r="1420" spans="11:11" x14ac:dyDescent="0.3">
      <c r="K1420" t="str">
        <f>IF($D1420="","",IFERROR(INDEX(Mapping!$H$3:$H$32,MATCH($B1420,Mapping!$G$3:$G$32,0)),IF(LEFT($F1420,3)="P2P",IFERROR(INDEX(Mapping!$E$3:$E$6,MATCH($G1420,Mapping!$D$3:$D$6,0)),IFERROR(INDEX(Mapping!$B$3:$B$13,MATCH($J1420,Mapping!$A$3:$A$13,0)),"(unmapped)")),IFERROR(INDEX(Mapping!$B$17:$B$22,MATCH($F1420,Mapping!$A$17:$A$22,0)),$F1420)&amp;" "&amp;IF($G1420="Banking","Banking",IFERROR(INDEX(Mapping!$E$17:$E$28,MATCH($J1420,Mapping!$D$17:$D$28,0)),"(unmapped)")))))</f>
        <v/>
      </c>
    </row>
    <row r="1421" spans="11:11" x14ac:dyDescent="0.3">
      <c r="K1421" t="str">
        <f>IF($D1421="","",IFERROR(INDEX(Mapping!$H$3:$H$32,MATCH($B1421,Mapping!$G$3:$G$32,0)),IF(LEFT($F1421,3)="P2P",IFERROR(INDEX(Mapping!$E$3:$E$6,MATCH($G1421,Mapping!$D$3:$D$6,0)),IFERROR(INDEX(Mapping!$B$3:$B$13,MATCH($J1421,Mapping!$A$3:$A$13,0)),"(unmapped)")),IFERROR(INDEX(Mapping!$B$17:$B$22,MATCH($F1421,Mapping!$A$17:$A$22,0)),$F1421)&amp;" "&amp;IF($G1421="Banking","Banking",IFERROR(INDEX(Mapping!$E$17:$E$28,MATCH($J1421,Mapping!$D$17:$D$28,0)),"(unmapped)")))))</f>
        <v/>
      </c>
    </row>
    <row r="1422" spans="11:11" x14ac:dyDescent="0.3">
      <c r="K1422" t="str">
        <f>IF($D1422="","",IFERROR(INDEX(Mapping!$H$3:$H$32,MATCH($B1422,Mapping!$G$3:$G$32,0)),IF(LEFT($F1422,3)="P2P",IFERROR(INDEX(Mapping!$E$3:$E$6,MATCH($G1422,Mapping!$D$3:$D$6,0)),IFERROR(INDEX(Mapping!$B$3:$B$13,MATCH($J1422,Mapping!$A$3:$A$13,0)),"(unmapped)")),IFERROR(INDEX(Mapping!$B$17:$B$22,MATCH($F1422,Mapping!$A$17:$A$22,0)),$F1422)&amp;" "&amp;IF($G1422="Banking","Banking",IFERROR(INDEX(Mapping!$E$17:$E$28,MATCH($J1422,Mapping!$D$17:$D$28,0)),"(unmapped)")))))</f>
        <v/>
      </c>
    </row>
    <row r="1423" spans="11:11" x14ac:dyDescent="0.3">
      <c r="K1423" t="str">
        <f>IF($D1423="","",IFERROR(INDEX(Mapping!$H$3:$H$32,MATCH($B1423,Mapping!$G$3:$G$32,0)),IF(LEFT($F1423,3)="P2P",IFERROR(INDEX(Mapping!$E$3:$E$6,MATCH($G1423,Mapping!$D$3:$D$6,0)),IFERROR(INDEX(Mapping!$B$3:$B$13,MATCH($J1423,Mapping!$A$3:$A$13,0)),"(unmapped)")),IFERROR(INDEX(Mapping!$B$17:$B$22,MATCH($F1423,Mapping!$A$17:$A$22,0)),$F1423)&amp;" "&amp;IF($G1423="Banking","Banking",IFERROR(INDEX(Mapping!$E$17:$E$28,MATCH($J1423,Mapping!$D$17:$D$28,0)),"(unmapped)")))))</f>
        <v/>
      </c>
    </row>
    <row r="1424" spans="11:11" x14ac:dyDescent="0.3">
      <c r="K1424" t="str">
        <f>IF($D1424="","",IFERROR(INDEX(Mapping!$H$3:$H$32,MATCH($B1424,Mapping!$G$3:$G$32,0)),IF(LEFT($F1424,3)="P2P",IFERROR(INDEX(Mapping!$E$3:$E$6,MATCH($G1424,Mapping!$D$3:$D$6,0)),IFERROR(INDEX(Mapping!$B$3:$B$13,MATCH($J1424,Mapping!$A$3:$A$13,0)),"(unmapped)")),IFERROR(INDEX(Mapping!$B$17:$B$22,MATCH($F1424,Mapping!$A$17:$A$22,0)),$F1424)&amp;" "&amp;IF($G1424="Banking","Banking",IFERROR(INDEX(Mapping!$E$17:$E$28,MATCH($J1424,Mapping!$D$17:$D$28,0)),"(unmapped)")))))</f>
        <v/>
      </c>
    </row>
    <row r="1425" spans="11:11" x14ac:dyDescent="0.3">
      <c r="K1425" t="str">
        <f>IF($D1425="","",IFERROR(INDEX(Mapping!$H$3:$H$32,MATCH($B1425,Mapping!$G$3:$G$32,0)),IF(LEFT($F1425,3)="P2P",IFERROR(INDEX(Mapping!$E$3:$E$6,MATCH($G1425,Mapping!$D$3:$D$6,0)),IFERROR(INDEX(Mapping!$B$3:$B$13,MATCH($J1425,Mapping!$A$3:$A$13,0)),"(unmapped)")),IFERROR(INDEX(Mapping!$B$17:$B$22,MATCH($F1425,Mapping!$A$17:$A$22,0)),$F1425)&amp;" "&amp;IF($G1425="Banking","Banking",IFERROR(INDEX(Mapping!$E$17:$E$28,MATCH($J1425,Mapping!$D$17:$D$28,0)),"(unmapped)")))))</f>
        <v/>
      </c>
    </row>
    <row r="1426" spans="11:11" x14ac:dyDescent="0.3">
      <c r="K1426" t="str">
        <f>IF($D1426="","",IFERROR(INDEX(Mapping!$H$3:$H$32,MATCH($B1426,Mapping!$G$3:$G$32,0)),IF(LEFT($F1426,3)="P2P",IFERROR(INDEX(Mapping!$E$3:$E$6,MATCH($G1426,Mapping!$D$3:$D$6,0)),IFERROR(INDEX(Mapping!$B$3:$B$13,MATCH($J1426,Mapping!$A$3:$A$13,0)),"(unmapped)")),IFERROR(INDEX(Mapping!$B$17:$B$22,MATCH($F1426,Mapping!$A$17:$A$22,0)),$F1426)&amp;" "&amp;IF($G1426="Banking","Banking",IFERROR(INDEX(Mapping!$E$17:$E$28,MATCH($J1426,Mapping!$D$17:$D$28,0)),"(unmapped)")))))</f>
        <v/>
      </c>
    </row>
    <row r="1427" spans="11:11" x14ac:dyDescent="0.3">
      <c r="K1427" t="str">
        <f>IF($D1427="","",IFERROR(INDEX(Mapping!$H$3:$H$32,MATCH($B1427,Mapping!$G$3:$G$32,0)),IF(LEFT($F1427,3)="P2P",IFERROR(INDEX(Mapping!$E$3:$E$6,MATCH($G1427,Mapping!$D$3:$D$6,0)),IFERROR(INDEX(Mapping!$B$3:$B$13,MATCH($J1427,Mapping!$A$3:$A$13,0)),"(unmapped)")),IFERROR(INDEX(Mapping!$B$17:$B$22,MATCH($F1427,Mapping!$A$17:$A$22,0)),$F1427)&amp;" "&amp;IF($G1427="Banking","Banking",IFERROR(INDEX(Mapping!$E$17:$E$28,MATCH($J1427,Mapping!$D$17:$D$28,0)),"(unmapped)")))))</f>
        <v/>
      </c>
    </row>
    <row r="1428" spans="11:11" x14ac:dyDescent="0.3">
      <c r="K1428" t="str">
        <f>IF($D1428="","",IFERROR(INDEX(Mapping!$H$3:$H$32,MATCH($B1428,Mapping!$G$3:$G$32,0)),IF(LEFT($F1428,3)="P2P",IFERROR(INDEX(Mapping!$E$3:$E$6,MATCH($G1428,Mapping!$D$3:$D$6,0)),IFERROR(INDEX(Mapping!$B$3:$B$13,MATCH($J1428,Mapping!$A$3:$A$13,0)),"(unmapped)")),IFERROR(INDEX(Mapping!$B$17:$B$22,MATCH($F1428,Mapping!$A$17:$A$22,0)),$F1428)&amp;" "&amp;IF($G1428="Banking","Banking",IFERROR(INDEX(Mapping!$E$17:$E$28,MATCH($J1428,Mapping!$D$17:$D$28,0)),"(unmapped)")))))</f>
        <v/>
      </c>
    </row>
    <row r="1429" spans="11:11" x14ac:dyDescent="0.3">
      <c r="K1429" t="str">
        <f>IF($D1429="","",IFERROR(INDEX(Mapping!$H$3:$H$32,MATCH($B1429,Mapping!$G$3:$G$32,0)),IF(LEFT($F1429,3)="P2P",IFERROR(INDEX(Mapping!$E$3:$E$6,MATCH($G1429,Mapping!$D$3:$D$6,0)),IFERROR(INDEX(Mapping!$B$3:$B$13,MATCH($J1429,Mapping!$A$3:$A$13,0)),"(unmapped)")),IFERROR(INDEX(Mapping!$B$17:$B$22,MATCH($F1429,Mapping!$A$17:$A$22,0)),$F1429)&amp;" "&amp;IF($G1429="Banking","Banking",IFERROR(INDEX(Mapping!$E$17:$E$28,MATCH($J1429,Mapping!$D$17:$D$28,0)),"(unmapped)")))))</f>
        <v/>
      </c>
    </row>
    <row r="1430" spans="11:11" x14ac:dyDescent="0.3">
      <c r="K1430" t="str">
        <f>IF($D1430="","",IFERROR(INDEX(Mapping!$H$3:$H$32,MATCH($B1430,Mapping!$G$3:$G$32,0)),IF(LEFT($F1430,3)="P2P",IFERROR(INDEX(Mapping!$E$3:$E$6,MATCH($G1430,Mapping!$D$3:$D$6,0)),IFERROR(INDEX(Mapping!$B$3:$B$13,MATCH($J1430,Mapping!$A$3:$A$13,0)),"(unmapped)")),IFERROR(INDEX(Mapping!$B$17:$B$22,MATCH($F1430,Mapping!$A$17:$A$22,0)),$F1430)&amp;" "&amp;IF($G1430="Banking","Banking",IFERROR(INDEX(Mapping!$E$17:$E$28,MATCH($J1430,Mapping!$D$17:$D$28,0)),"(unmapped)")))))</f>
        <v/>
      </c>
    </row>
    <row r="1431" spans="11:11" x14ac:dyDescent="0.3">
      <c r="K1431" t="str">
        <f>IF($D1431="","",IFERROR(INDEX(Mapping!$H$3:$H$32,MATCH($B1431,Mapping!$G$3:$G$32,0)),IF(LEFT($F1431,3)="P2P",IFERROR(INDEX(Mapping!$E$3:$E$6,MATCH($G1431,Mapping!$D$3:$D$6,0)),IFERROR(INDEX(Mapping!$B$3:$B$13,MATCH($J1431,Mapping!$A$3:$A$13,0)),"(unmapped)")),IFERROR(INDEX(Mapping!$B$17:$B$22,MATCH($F1431,Mapping!$A$17:$A$22,0)),$F1431)&amp;" "&amp;IF($G1431="Banking","Banking",IFERROR(INDEX(Mapping!$E$17:$E$28,MATCH($J1431,Mapping!$D$17:$D$28,0)),"(unmapped)")))))</f>
        <v/>
      </c>
    </row>
    <row r="1432" spans="11:11" x14ac:dyDescent="0.3">
      <c r="K1432" t="str">
        <f>IF($D1432="","",IFERROR(INDEX(Mapping!$H$3:$H$32,MATCH($B1432,Mapping!$G$3:$G$32,0)),IF(LEFT($F1432,3)="P2P",IFERROR(INDEX(Mapping!$E$3:$E$6,MATCH($G1432,Mapping!$D$3:$D$6,0)),IFERROR(INDEX(Mapping!$B$3:$B$13,MATCH($J1432,Mapping!$A$3:$A$13,0)),"(unmapped)")),IFERROR(INDEX(Mapping!$B$17:$B$22,MATCH($F1432,Mapping!$A$17:$A$22,0)),$F1432)&amp;" "&amp;IF($G1432="Banking","Banking",IFERROR(INDEX(Mapping!$E$17:$E$28,MATCH($J1432,Mapping!$D$17:$D$28,0)),"(unmapped)")))))</f>
        <v/>
      </c>
    </row>
    <row r="1433" spans="11:11" x14ac:dyDescent="0.3">
      <c r="K1433" t="str">
        <f>IF($D1433="","",IFERROR(INDEX(Mapping!$H$3:$H$32,MATCH($B1433,Mapping!$G$3:$G$32,0)),IF(LEFT($F1433,3)="P2P",IFERROR(INDEX(Mapping!$E$3:$E$6,MATCH($G1433,Mapping!$D$3:$D$6,0)),IFERROR(INDEX(Mapping!$B$3:$B$13,MATCH($J1433,Mapping!$A$3:$A$13,0)),"(unmapped)")),IFERROR(INDEX(Mapping!$B$17:$B$22,MATCH($F1433,Mapping!$A$17:$A$22,0)),$F1433)&amp;" "&amp;IF($G1433="Banking","Banking",IFERROR(INDEX(Mapping!$E$17:$E$28,MATCH($J1433,Mapping!$D$17:$D$28,0)),"(unmapped)")))))</f>
        <v/>
      </c>
    </row>
    <row r="1434" spans="11:11" x14ac:dyDescent="0.3">
      <c r="K1434" t="str">
        <f>IF($D1434="","",IFERROR(INDEX(Mapping!$H$3:$H$32,MATCH($B1434,Mapping!$G$3:$G$32,0)),IF(LEFT($F1434,3)="P2P",IFERROR(INDEX(Mapping!$E$3:$E$6,MATCH($G1434,Mapping!$D$3:$D$6,0)),IFERROR(INDEX(Mapping!$B$3:$B$13,MATCH($J1434,Mapping!$A$3:$A$13,0)),"(unmapped)")),IFERROR(INDEX(Mapping!$B$17:$B$22,MATCH($F1434,Mapping!$A$17:$A$22,0)),$F1434)&amp;" "&amp;IF($G1434="Banking","Banking",IFERROR(INDEX(Mapping!$E$17:$E$28,MATCH($J1434,Mapping!$D$17:$D$28,0)),"(unmapped)")))))</f>
        <v/>
      </c>
    </row>
    <row r="1435" spans="11:11" x14ac:dyDescent="0.3">
      <c r="K1435" t="str">
        <f>IF($D1435="","",IFERROR(INDEX(Mapping!$H$3:$H$32,MATCH($B1435,Mapping!$G$3:$G$32,0)),IF(LEFT($F1435,3)="P2P",IFERROR(INDEX(Mapping!$E$3:$E$6,MATCH($G1435,Mapping!$D$3:$D$6,0)),IFERROR(INDEX(Mapping!$B$3:$B$13,MATCH($J1435,Mapping!$A$3:$A$13,0)),"(unmapped)")),IFERROR(INDEX(Mapping!$B$17:$B$22,MATCH($F1435,Mapping!$A$17:$A$22,0)),$F1435)&amp;" "&amp;IF($G1435="Banking","Banking",IFERROR(INDEX(Mapping!$E$17:$E$28,MATCH($J1435,Mapping!$D$17:$D$28,0)),"(unmapped)")))))</f>
        <v/>
      </c>
    </row>
    <row r="1436" spans="11:11" x14ac:dyDescent="0.3">
      <c r="K1436" t="str">
        <f>IF($D1436="","",IFERROR(INDEX(Mapping!$H$3:$H$32,MATCH($B1436,Mapping!$G$3:$G$32,0)),IF(LEFT($F1436,3)="P2P",IFERROR(INDEX(Mapping!$E$3:$E$6,MATCH($G1436,Mapping!$D$3:$D$6,0)),IFERROR(INDEX(Mapping!$B$3:$B$13,MATCH($J1436,Mapping!$A$3:$A$13,0)),"(unmapped)")),IFERROR(INDEX(Mapping!$B$17:$B$22,MATCH($F1436,Mapping!$A$17:$A$22,0)),$F1436)&amp;" "&amp;IF($G1436="Banking","Banking",IFERROR(INDEX(Mapping!$E$17:$E$28,MATCH($J1436,Mapping!$D$17:$D$28,0)),"(unmapped)")))))</f>
        <v/>
      </c>
    </row>
    <row r="1437" spans="11:11" x14ac:dyDescent="0.3">
      <c r="K1437" t="str">
        <f>IF($D1437="","",IFERROR(INDEX(Mapping!$H$3:$H$32,MATCH($B1437,Mapping!$G$3:$G$32,0)),IF(LEFT($F1437,3)="P2P",IFERROR(INDEX(Mapping!$E$3:$E$6,MATCH($G1437,Mapping!$D$3:$D$6,0)),IFERROR(INDEX(Mapping!$B$3:$B$13,MATCH($J1437,Mapping!$A$3:$A$13,0)),"(unmapped)")),IFERROR(INDEX(Mapping!$B$17:$B$22,MATCH($F1437,Mapping!$A$17:$A$22,0)),$F1437)&amp;" "&amp;IF($G1437="Banking","Banking",IFERROR(INDEX(Mapping!$E$17:$E$28,MATCH($J1437,Mapping!$D$17:$D$28,0)),"(unmapped)")))))</f>
        <v/>
      </c>
    </row>
    <row r="1438" spans="11:11" x14ac:dyDescent="0.3">
      <c r="K1438" t="str">
        <f>IF($D1438="","",IFERROR(INDEX(Mapping!$H$3:$H$32,MATCH($B1438,Mapping!$G$3:$G$32,0)),IF(LEFT($F1438,3)="P2P",IFERROR(INDEX(Mapping!$E$3:$E$6,MATCH($G1438,Mapping!$D$3:$D$6,0)),IFERROR(INDEX(Mapping!$B$3:$B$13,MATCH($J1438,Mapping!$A$3:$A$13,0)),"(unmapped)")),IFERROR(INDEX(Mapping!$B$17:$B$22,MATCH($F1438,Mapping!$A$17:$A$22,0)),$F1438)&amp;" "&amp;IF($G1438="Banking","Banking",IFERROR(INDEX(Mapping!$E$17:$E$28,MATCH($J1438,Mapping!$D$17:$D$28,0)),"(unmapped)")))))</f>
        <v/>
      </c>
    </row>
    <row r="1439" spans="11:11" x14ac:dyDescent="0.3">
      <c r="K1439" t="str">
        <f>IF($D1439="","",IFERROR(INDEX(Mapping!$H$3:$H$32,MATCH($B1439,Mapping!$G$3:$G$32,0)),IF(LEFT($F1439,3)="P2P",IFERROR(INDEX(Mapping!$E$3:$E$6,MATCH($G1439,Mapping!$D$3:$D$6,0)),IFERROR(INDEX(Mapping!$B$3:$B$13,MATCH($J1439,Mapping!$A$3:$A$13,0)),"(unmapped)")),IFERROR(INDEX(Mapping!$B$17:$B$22,MATCH($F1439,Mapping!$A$17:$A$22,0)),$F1439)&amp;" "&amp;IF($G1439="Banking","Banking",IFERROR(INDEX(Mapping!$E$17:$E$28,MATCH($J1439,Mapping!$D$17:$D$28,0)),"(unmapped)")))))</f>
        <v/>
      </c>
    </row>
    <row r="1440" spans="11:11" x14ac:dyDescent="0.3">
      <c r="K1440" t="str">
        <f>IF($D1440="","",IFERROR(INDEX(Mapping!$H$3:$H$32,MATCH($B1440,Mapping!$G$3:$G$32,0)),IF(LEFT($F1440,3)="P2P",IFERROR(INDEX(Mapping!$E$3:$E$6,MATCH($G1440,Mapping!$D$3:$D$6,0)),IFERROR(INDEX(Mapping!$B$3:$B$13,MATCH($J1440,Mapping!$A$3:$A$13,0)),"(unmapped)")),IFERROR(INDEX(Mapping!$B$17:$B$22,MATCH($F1440,Mapping!$A$17:$A$22,0)),$F1440)&amp;" "&amp;IF($G1440="Banking","Banking",IFERROR(INDEX(Mapping!$E$17:$E$28,MATCH($J1440,Mapping!$D$17:$D$28,0)),"(unmapped)")))))</f>
        <v/>
      </c>
    </row>
    <row r="1441" spans="11:11" x14ac:dyDescent="0.3">
      <c r="K1441" t="str">
        <f>IF($D1441="","",IFERROR(INDEX(Mapping!$H$3:$H$32,MATCH($B1441,Mapping!$G$3:$G$32,0)),IF(LEFT($F1441,3)="P2P",IFERROR(INDEX(Mapping!$E$3:$E$6,MATCH($G1441,Mapping!$D$3:$D$6,0)),IFERROR(INDEX(Mapping!$B$3:$B$13,MATCH($J1441,Mapping!$A$3:$A$13,0)),"(unmapped)")),IFERROR(INDEX(Mapping!$B$17:$B$22,MATCH($F1441,Mapping!$A$17:$A$22,0)),$F1441)&amp;" "&amp;IF($G1441="Banking","Banking",IFERROR(INDEX(Mapping!$E$17:$E$28,MATCH($J1441,Mapping!$D$17:$D$28,0)),"(unmapped)")))))</f>
        <v/>
      </c>
    </row>
    <row r="1442" spans="11:11" x14ac:dyDescent="0.3">
      <c r="K1442" t="str">
        <f>IF($D1442="","",IFERROR(INDEX(Mapping!$H$3:$H$32,MATCH($B1442,Mapping!$G$3:$G$32,0)),IF(LEFT($F1442,3)="P2P",IFERROR(INDEX(Mapping!$E$3:$E$6,MATCH($G1442,Mapping!$D$3:$D$6,0)),IFERROR(INDEX(Mapping!$B$3:$B$13,MATCH($J1442,Mapping!$A$3:$A$13,0)),"(unmapped)")),IFERROR(INDEX(Mapping!$B$17:$B$22,MATCH($F1442,Mapping!$A$17:$A$22,0)),$F1442)&amp;" "&amp;IF($G1442="Banking","Banking",IFERROR(INDEX(Mapping!$E$17:$E$28,MATCH($J1442,Mapping!$D$17:$D$28,0)),"(unmapped)")))))</f>
        <v/>
      </c>
    </row>
    <row r="1443" spans="11:11" x14ac:dyDescent="0.3">
      <c r="K1443" t="str">
        <f>IF($D1443="","",IFERROR(INDEX(Mapping!$H$3:$H$32,MATCH($B1443,Mapping!$G$3:$G$32,0)),IF(LEFT($F1443,3)="P2P",IFERROR(INDEX(Mapping!$E$3:$E$6,MATCH($G1443,Mapping!$D$3:$D$6,0)),IFERROR(INDEX(Mapping!$B$3:$B$13,MATCH($J1443,Mapping!$A$3:$A$13,0)),"(unmapped)")),IFERROR(INDEX(Mapping!$B$17:$B$22,MATCH($F1443,Mapping!$A$17:$A$22,0)),$F1443)&amp;" "&amp;IF($G1443="Banking","Banking",IFERROR(INDEX(Mapping!$E$17:$E$28,MATCH($J1443,Mapping!$D$17:$D$28,0)),"(unmapped)")))))</f>
        <v/>
      </c>
    </row>
    <row r="1444" spans="11:11" x14ac:dyDescent="0.3">
      <c r="K1444" t="str">
        <f>IF($D1444="","",IFERROR(INDEX(Mapping!$H$3:$H$32,MATCH($B1444,Mapping!$G$3:$G$32,0)),IF(LEFT($F1444,3)="P2P",IFERROR(INDEX(Mapping!$E$3:$E$6,MATCH($G1444,Mapping!$D$3:$D$6,0)),IFERROR(INDEX(Mapping!$B$3:$B$13,MATCH($J1444,Mapping!$A$3:$A$13,0)),"(unmapped)")),IFERROR(INDEX(Mapping!$B$17:$B$22,MATCH($F1444,Mapping!$A$17:$A$22,0)),$F1444)&amp;" "&amp;IF($G1444="Banking","Banking",IFERROR(INDEX(Mapping!$E$17:$E$28,MATCH($J1444,Mapping!$D$17:$D$28,0)),"(unmapped)")))))</f>
        <v/>
      </c>
    </row>
    <row r="1445" spans="11:11" x14ac:dyDescent="0.3">
      <c r="K1445" t="str">
        <f>IF($D1445="","",IFERROR(INDEX(Mapping!$H$3:$H$32,MATCH($B1445,Mapping!$G$3:$G$32,0)),IF(LEFT($F1445,3)="P2P",IFERROR(INDEX(Mapping!$E$3:$E$6,MATCH($G1445,Mapping!$D$3:$D$6,0)),IFERROR(INDEX(Mapping!$B$3:$B$13,MATCH($J1445,Mapping!$A$3:$A$13,0)),"(unmapped)")),IFERROR(INDEX(Mapping!$B$17:$B$22,MATCH($F1445,Mapping!$A$17:$A$22,0)),$F1445)&amp;" "&amp;IF($G1445="Banking","Banking",IFERROR(INDEX(Mapping!$E$17:$E$28,MATCH($J1445,Mapping!$D$17:$D$28,0)),"(unmapped)")))))</f>
        <v/>
      </c>
    </row>
    <row r="1446" spans="11:11" x14ac:dyDescent="0.3">
      <c r="K1446" t="str">
        <f>IF($D1446="","",IFERROR(INDEX(Mapping!$H$3:$H$32,MATCH($B1446,Mapping!$G$3:$G$32,0)),IF(LEFT($F1446,3)="P2P",IFERROR(INDEX(Mapping!$E$3:$E$6,MATCH($G1446,Mapping!$D$3:$D$6,0)),IFERROR(INDEX(Mapping!$B$3:$B$13,MATCH($J1446,Mapping!$A$3:$A$13,0)),"(unmapped)")),IFERROR(INDEX(Mapping!$B$17:$B$22,MATCH($F1446,Mapping!$A$17:$A$22,0)),$F1446)&amp;" "&amp;IF($G1446="Banking","Banking",IFERROR(INDEX(Mapping!$E$17:$E$28,MATCH($J1446,Mapping!$D$17:$D$28,0)),"(unmapped)")))))</f>
        <v/>
      </c>
    </row>
    <row r="1447" spans="11:11" x14ac:dyDescent="0.3">
      <c r="K1447" t="str">
        <f>IF($D1447="","",IFERROR(INDEX(Mapping!$H$3:$H$32,MATCH($B1447,Mapping!$G$3:$G$32,0)),IF(LEFT($F1447,3)="P2P",IFERROR(INDEX(Mapping!$E$3:$E$6,MATCH($G1447,Mapping!$D$3:$D$6,0)),IFERROR(INDEX(Mapping!$B$3:$B$13,MATCH($J1447,Mapping!$A$3:$A$13,0)),"(unmapped)")),IFERROR(INDEX(Mapping!$B$17:$B$22,MATCH($F1447,Mapping!$A$17:$A$22,0)),$F1447)&amp;" "&amp;IF($G1447="Banking","Banking",IFERROR(INDEX(Mapping!$E$17:$E$28,MATCH($J1447,Mapping!$D$17:$D$28,0)),"(unmapped)")))))</f>
        <v/>
      </c>
    </row>
    <row r="1448" spans="11:11" x14ac:dyDescent="0.3">
      <c r="K1448" t="str">
        <f>IF($D1448="","",IFERROR(INDEX(Mapping!$H$3:$H$32,MATCH($B1448,Mapping!$G$3:$G$32,0)),IF(LEFT($F1448,3)="P2P",IFERROR(INDEX(Mapping!$E$3:$E$6,MATCH($G1448,Mapping!$D$3:$D$6,0)),IFERROR(INDEX(Mapping!$B$3:$B$13,MATCH($J1448,Mapping!$A$3:$A$13,0)),"(unmapped)")),IFERROR(INDEX(Mapping!$B$17:$B$22,MATCH($F1448,Mapping!$A$17:$A$22,0)),$F1448)&amp;" "&amp;IF($G1448="Banking","Banking",IFERROR(INDEX(Mapping!$E$17:$E$28,MATCH($J1448,Mapping!$D$17:$D$28,0)),"(unmapped)")))))</f>
        <v/>
      </c>
    </row>
    <row r="1449" spans="11:11" x14ac:dyDescent="0.3">
      <c r="K1449" t="str">
        <f>IF($D1449="","",IFERROR(INDEX(Mapping!$H$3:$H$32,MATCH($B1449,Mapping!$G$3:$G$32,0)),IF(LEFT($F1449,3)="P2P",IFERROR(INDEX(Mapping!$E$3:$E$6,MATCH($G1449,Mapping!$D$3:$D$6,0)),IFERROR(INDEX(Mapping!$B$3:$B$13,MATCH($J1449,Mapping!$A$3:$A$13,0)),"(unmapped)")),IFERROR(INDEX(Mapping!$B$17:$B$22,MATCH($F1449,Mapping!$A$17:$A$22,0)),$F1449)&amp;" "&amp;IF($G1449="Banking","Banking",IFERROR(INDEX(Mapping!$E$17:$E$28,MATCH($J1449,Mapping!$D$17:$D$28,0)),"(unmapped)")))))</f>
        <v/>
      </c>
    </row>
    <row r="1450" spans="11:11" x14ac:dyDescent="0.3">
      <c r="K1450" t="str">
        <f>IF($D1450="","",IFERROR(INDEX(Mapping!$H$3:$H$32,MATCH($B1450,Mapping!$G$3:$G$32,0)),IF(LEFT($F1450,3)="P2P",IFERROR(INDEX(Mapping!$E$3:$E$6,MATCH($G1450,Mapping!$D$3:$D$6,0)),IFERROR(INDEX(Mapping!$B$3:$B$13,MATCH($J1450,Mapping!$A$3:$A$13,0)),"(unmapped)")),IFERROR(INDEX(Mapping!$B$17:$B$22,MATCH($F1450,Mapping!$A$17:$A$22,0)),$F1450)&amp;" "&amp;IF($G1450="Banking","Banking",IFERROR(INDEX(Mapping!$E$17:$E$28,MATCH($J1450,Mapping!$D$17:$D$28,0)),"(unmapped)")))))</f>
        <v/>
      </c>
    </row>
    <row r="1451" spans="11:11" x14ac:dyDescent="0.3">
      <c r="K1451" t="str">
        <f>IF($D1451="","",IFERROR(INDEX(Mapping!$H$3:$H$32,MATCH($B1451,Mapping!$G$3:$G$32,0)),IF(LEFT($F1451,3)="P2P",IFERROR(INDEX(Mapping!$E$3:$E$6,MATCH($G1451,Mapping!$D$3:$D$6,0)),IFERROR(INDEX(Mapping!$B$3:$B$13,MATCH($J1451,Mapping!$A$3:$A$13,0)),"(unmapped)")),IFERROR(INDEX(Mapping!$B$17:$B$22,MATCH($F1451,Mapping!$A$17:$A$22,0)),$F1451)&amp;" "&amp;IF($G1451="Banking","Banking",IFERROR(INDEX(Mapping!$E$17:$E$28,MATCH($J1451,Mapping!$D$17:$D$28,0)),"(unmapped)")))))</f>
        <v/>
      </c>
    </row>
    <row r="1452" spans="11:11" x14ac:dyDescent="0.3">
      <c r="K1452" t="str">
        <f>IF($D1452="","",IFERROR(INDEX(Mapping!$H$3:$H$32,MATCH($B1452,Mapping!$G$3:$G$32,0)),IF(LEFT($F1452,3)="P2P",IFERROR(INDEX(Mapping!$E$3:$E$6,MATCH($G1452,Mapping!$D$3:$D$6,0)),IFERROR(INDEX(Mapping!$B$3:$B$13,MATCH($J1452,Mapping!$A$3:$A$13,0)),"(unmapped)")),IFERROR(INDEX(Mapping!$B$17:$B$22,MATCH($F1452,Mapping!$A$17:$A$22,0)),$F1452)&amp;" "&amp;IF($G1452="Banking","Banking",IFERROR(INDEX(Mapping!$E$17:$E$28,MATCH($J1452,Mapping!$D$17:$D$28,0)),"(unmapped)")))))</f>
        <v/>
      </c>
    </row>
    <row r="1453" spans="11:11" x14ac:dyDescent="0.3">
      <c r="K1453" t="str">
        <f>IF($D1453="","",IFERROR(INDEX(Mapping!$H$3:$H$32,MATCH($B1453,Mapping!$G$3:$G$32,0)),IF(LEFT($F1453,3)="P2P",IFERROR(INDEX(Mapping!$E$3:$E$6,MATCH($G1453,Mapping!$D$3:$D$6,0)),IFERROR(INDEX(Mapping!$B$3:$B$13,MATCH($J1453,Mapping!$A$3:$A$13,0)),"(unmapped)")),IFERROR(INDEX(Mapping!$B$17:$B$22,MATCH($F1453,Mapping!$A$17:$A$22,0)),$F1453)&amp;" "&amp;IF($G1453="Banking","Banking",IFERROR(INDEX(Mapping!$E$17:$E$28,MATCH($J1453,Mapping!$D$17:$D$28,0)),"(unmapped)")))))</f>
        <v/>
      </c>
    </row>
    <row r="1454" spans="11:11" x14ac:dyDescent="0.3">
      <c r="K1454" t="str">
        <f>IF($D1454="","",IFERROR(INDEX(Mapping!$H$3:$H$32,MATCH($B1454,Mapping!$G$3:$G$32,0)),IF(LEFT($F1454,3)="P2P",IFERROR(INDEX(Mapping!$E$3:$E$6,MATCH($G1454,Mapping!$D$3:$D$6,0)),IFERROR(INDEX(Mapping!$B$3:$B$13,MATCH($J1454,Mapping!$A$3:$A$13,0)),"(unmapped)")),IFERROR(INDEX(Mapping!$B$17:$B$22,MATCH($F1454,Mapping!$A$17:$A$22,0)),$F1454)&amp;" "&amp;IF($G1454="Banking","Banking",IFERROR(INDEX(Mapping!$E$17:$E$28,MATCH($J1454,Mapping!$D$17:$D$28,0)),"(unmapped)")))))</f>
        <v/>
      </c>
    </row>
    <row r="1455" spans="11:11" x14ac:dyDescent="0.3">
      <c r="K1455" t="str">
        <f>IF($D1455="","",IFERROR(INDEX(Mapping!$H$3:$H$32,MATCH($B1455,Mapping!$G$3:$G$32,0)),IF(LEFT($F1455,3)="P2P",IFERROR(INDEX(Mapping!$E$3:$E$6,MATCH($G1455,Mapping!$D$3:$D$6,0)),IFERROR(INDEX(Mapping!$B$3:$B$13,MATCH($J1455,Mapping!$A$3:$A$13,0)),"(unmapped)")),IFERROR(INDEX(Mapping!$B$17:$B$22,MATCH($F1455,Mapping!$A$17:$A$22,0)),$F1455)&amp;" "&amp;IF($G1455="Banking","Banking",IFERROR(INDEX(Mapping!$E$17:$E$28,MATCH($J1455,Mapping!$D$17:$D$28,0)),"(unmapped)")))))</f>
        <v/>
      </c>
    </row>
    <row r="1456" spans="11:11" x14ac:dyDescent="0.3">
      <c r="K1456" t="str">
        <f>IF($D1456="","",IFERROR(INDEX(Mapping!$H$3:$H$32,MATCH($B1456,Mapping!$G$3:$G$32,0)),IF(LEFT($F1456,3)="P2P",IFERROR(INDEX(Mapping!$E$3:$E$6,MATCH($G1456,Mapping!$D$3:$D$6,0)),IFERROR(INDEX(Mapping!$B$3:$B$13,MATCH($J1456,Mapping!$A$3:$A$13,0)),"(unmapped)")),IFERROR(INDEX(Mapping!$B$17:$B$22,MATCH($F1456,Mapping!$A$17:$A$22,0)),$F1456)&amp;" "&amp;IF($G1456="Banking","Banking",IFERROR(INDEX(Mapping!$E$17:$E$28,MATCH($J1456,Mapping!$D$17:$D$28,0)),"(unmapped)")))))</f>
        <v/>
      </c>
    </row>
    <row r="1457" spans="11:11" x14ac:dyDescent="0.3">
      <c r="K1457" t="str">
        <f>IF($D1457="","",IFERROR(INDEX(Mapping!$H$3:$H$32,MATCH($B1457,Mapping!$G$3:$G$32,0)),IF(LEFT($F1457,3)="P2P",IFERROR(INDEX(Mapping!$E$3:$E$6,MATCH($G1457,Mapping!$D$3:$D$6,0)),IFERROR(INDEX(Mapping!$B$3:$B$13,MATCH($J1457,Mapping!$A$3:$A$13,0)),"(unmapped)")),IFERROR(INDEX(Mapping!$B$17:$B$22,MATCH($F1457,Mapping!$A$17:$A$22,0)),$F1457)&amp;" "&amp;IF($G1457="Banking","Banking",IFERROR(INDEX(Mapping!$E$17:$E$28,MATCH($J1457,Mapping!$D$17:$D$28,0)),"(unmapped)")))))</f>
        <v/>
      </c>
    </row>
    <row r="1458" spans="11:11" x14ac:dyDescent="0.3">
      <c r="K1458" t="str">
        <f>IF($D1458="","",IFERROR(INDEX(Mapping!$H$3:$H$32,MATCH($B1458,Mapping!$G$3:$G$32,0)),IF(LEFT($F1458,3)="P2P",IFERROR(INDEX(Mapping!$E$3:$E$6,MATCH($G1458,Mapping!$D$3:$D$6,0)),IFERROR(INDEX(Mapping!$B$3:$B$13,MATCH($J1458,Mapping!$A$3:$A$13,0)),"(unmapped)")),IFERROR(INDEX(Mapping!$B$17:$B$22,MATCH($F1458,Mapping!$A$17:$A$22,0)),$F1458)&amp;" "&amp;IF($G1458="Banking","Banking",IFERROR(INDEX(Mapping!$E$17:$E$28,MATCH($J1458,Mapping!$D$17:$D$28,0)),"(unmapped)")))))</f>
        <v/>
      </c>
    </row>
    <row r="1459" spans="11:11" x14ac:dyDescent="0.3">
      <c r="K1459" t="str">
        <f>IF($D1459="","",IFERROR(INDEX(Mapping!$H$3:$H$32,MATCH($B1459,Mapping!$G$3:$G$32,0)),IF(LEFT($F1459,3)="P2P",IFERROR(INDEX(Mapping!$E$3:$E$6,MATCH($G1459,Mapping!$D$3:$D$6,0)),IFERROR(INDEX(Mapping!$B$3:$B$13,MATCH($J1459,Mapping!$A$3:$A$13,0)),"(unmapped)")),IFERROR(INDEX(Mapping!$B$17:$B$22,MATCH($F1459,Mapping!$A$17:$A$22,0)),$F1459)&amp;" "&amp;IF($G1459="Banking","Banking",IFERROR(INDEX(Mapping!$E$17:$E$28,MATCH($J1459,Mapping!$D$17:$D$28,0)),"(unmapped)")))))</f>
        <v/>
      </c>
    </row>
    <row r="1460" spans="11:11" x14ac:dyDescent="0.3">
      <c r="K1460" t="str">
        <f>IF($D1460="","",IFERROR(INDEX(Mapping!$H$3:$H$32,MATCH($B1460,Mapping!$G$3:$G$32,0)),IF(LEFT($F1460,3)="P2P",IFERROR(INDEX(Mapping!$E$3:$E$6,MATCH($G1460,Mapping!$D$3:$D$6,0)),IFERROR(INDEX(Mapping!$B$3:$B$13,MATCH($J1460,Mapping!$A$3:$A$13,0)),"(unmapped)")),IFERROR(INDEX(Mapping!$B$17:$B$22,MATCH($F1460,Mapping!$A$17:$A$22,0)),$F1460)&amp;" "&amp;IF($G1460="Banking","Banking",IFERROR(INDEX(Mapping!$E$17:$E$28,MATCH($J1460,Mapping!$D$17:$D$28,0)),"(unmapped)")))))</f>
        <v/>
      </c>
    </row>
    <row r="1461" spans="11:11" x14ac:dyDescent="0.3">
      <c r="K1461" t="str">
        <f>IF($D1461="","",IFERROR(INDEX(Mapping!$H$3:$H$32,MATCH($B1461,Mapping!$G$3:$G$32,0)),IF(LEFT($F1461,3)="P2P",IFERROR(INDEX(Mapping!$E$3:$E$6,MATCH($G1461,Mapping!$D$3:$D$6,0)),IFERROR(INDEX(Mapping!$B$3:$B$13,MATCH($J1461,Mapping!$A$3:$A$13,0)),"(unmapped)")),IFERROR(INDEX(Mapping!$B$17:$B$22,MATCH($F1461,Mapping!$A$17:$A$22,0)),$F1461)&amp;" "&amp;IF($G1461="Banking","Banking",IFERROR(INDEX(Mapping!$E$17:$E$28,MATCH($J1461,Mapping!$D$17:$D$28,0)),"(unmapped)")))))</f>
        <v/>
      </c>
    </row>
    <row r="1462" spans="11:11" x14ac:dyDescent="0.3">
      <c r="K1462" t="str">
        <f>IF($D1462="","",IFERROR(INDEX(Mapping!$H$3:$H$32,MATCH($B1462,Mapping!$G$3:$G$32,0)),IF(LEFT($F1462,3)="P2P",IFERROR(INDEX(Mapping!$E$3:$E$6,MATCH($G1462,Mapping!$D$3:$D$6,0)),IFERROR(INDEX(Mapping!$B$3:$B$13,MATCH($J1462,Mapping!$A$3:$A$13,0)),"(unmapped)")),IFERROR(INDEX(Mapping!$B$17:$B$22,MATCH($F1462,Mapping!$A$17:$A$22,0)),$F1462)&amp;" "&amp;IF($G1462="Banking","Banking",IFERROR(INDEX(Mapping!$E$17:$E$28,MATCH($J1462,Mapping!$D$17:$D$28,0)),"(unmapped)")))))</f>
        <v/>
      </c>
    </row>
    <row r="1463" spans="11:11" x14ac:dyDescent="0.3">
      <c r="K1463" t="str">
        <f>IF($D1463="","",IFERROR(INDEX(Mapping!$H$3:$H$32,MATCH($B1463,Mapping!$G$3:$G$32,0)),IF(LEFT($F1463,3)="P2P",IFERROR(INDEX(Mapping!$E$3:$E$6,MATCH($G1463,Mapping!$D$3:$D$6,0)),IFERROR(INDEX(Mapping!$B$3:$B$13,MATCH($J1463,Mapping!$A$3:$A$13,0)),"(unmapped)")),IFERROR(INDEX(Mapping!$B$17:$B$22,MATCH($F1463,Mapping!$A$17:$A$22,0)),$F1463)&amp;" "&amp;IF($G1463="Banking","Banking",IFERROR(INDEX(Mapping!$E$17:$E$28,MATCH($J1463,Mapping!$D$17:$D$28,0)),"(unmapped)")))))</f>
        <v/>
      </c>
    </row>
    <row r="1464" spans="11:11" x14ac:dyDescent="0.3">
      <c r="K1464" t="str">
        <f>IF($D1464="","",IFERROR(INDEX(Mapping!$H$3:$H$32,MATCH($B1464,Mapping!$G$3:$G$32,0)),IF(LEFT($F1464,3)="P2P",IFERROR(INDEX(Mapping!$E$3:$E$6,MATCH($G1464,Mapping!$D$3:$D$6,0)),IFERROR(INDEX(Mapping!$B$3:$B$13,MATCH($J1464,Mapping!$A$3:$A$13,0)),"(unmapped)")),IFERROR(INDEX(Mapping!$B$17:$B$22,MATCH($F1464,Mapping!$A$17:$A$22,0)),$F1464)&amp;" "&amp;IF($G1464="Banking","Banking",IFERROR(INDEX(Mapping!$E$17:$E$28,MATCH($J1464,Mapping!$D$17:$D$28,0)),"(unmapped)")))))</f>
        <v/>
      </c>
    </row>
    <row r="1465" spans="11:11" x14ac:dyDescent="0.3">
      <c r="K1465" t="str">
        <f>IF($D1465="","",IFERROR(INDEX(Mapping!$H$3:$H$32,MATCH($B1465,Mapping!$G$3:$G$32,0)),IF(LEFT($F1465,3)="P2P",IFERROR(INDEX(Mapping!$E$3:$E$6,MATCH($G1465,Mapping!$D$3:$D$6,0)),IFERROR(INDEX(Mapping!$B$3:$B$13,MATCH($J1465,Mapping!$A$3:$A$13,0)),"(unmapped)")),IFERROR(INDEX(Mapping!$B$17:$B$22,MATCH($F1465,Mapping!$A$17:$A$22,0)),$F1465)&amp;" "&amp;IF($G1465="Banking","Banking",IFERROR(INDEX(Mapping!$E$17:$E$28,MATCH($J1465,Mapping!$D$17:$D$28,0)),"(unmapped)")))))</f>
        <v/>
      </c>
    </row>
    <row r="1466" spans="11:11" x14ac:dyDescent="0.3">
      <c r="K1466" t="str">
        <f>IF($D1466="","",IFERROR(INDEX(Mapping!$H$3:$H$32,MATCH($B1466,Mapping!$G$3:$G$32,0)),IF(LEFT($F1466,3)="P2P",IFERROR(INDEX(Mapping!$E$3:$E$6,MATCH($G1466,Mapping!$D$3:$D$6,0)),IFERROR(INDEX(Mapping!$B$3:$B$13,MATCH($J1466,Mapping!$A$3:$A$13,0)),"(unmapped)")),IFERROR(INDEX(Mapping!$B$17:$B$22,MATCH($F1466,Mapping!$A$17:$A$22,0)),$F1466)&amp;" "&amp;IF($G1466="Banking","Banking",IFERROR(INDEX(Mapping!$E$17:$E$28,MATCH($J1466,Mapping!$D$17:$D$28,0)),"(unmapped)")))))</f>
        <v/>
      </c>
    </row>
    <row r="1467" spans="11:11" x14ac:dyDescent="0.3">
      <c r="K1467" t="str">
        <f>IF($D1467="","",IFERROR(INDEX(Mapping!$H$3:$H$32,MATCH($B1467,Mapping!$G$3:$G$32,0)),IF(LEFT($F1467,3)="P2P",IFERROR(INDEX(Mapping!$E$3:$E$6,MATCH($G1467,Mapping!$D$3:$D$6,0)),IFERROR(INDEX(Mapping!$B$3:$B$13,MATCH($J1467,Mapping!$A$3:$A$13,0)),"(unmapped)")),IFERROR(INDEX(Mapping!$B$17:$B$22,MATCH($F1467,Mapping!$A$17:$A$22,0)),$F1467)&amp;" "&amp;IF($G1467="Banking","Banking",IFERROR(INDEX(Mapping!$E$17:$E$28,MATCH($J1467,Mapping!$D$17:$D$28,0)),"(unmapped)")))))</f>
        <v/>
      </c>
    </row>
    <row r="1468" spans="11:11" x14ac:dyDescent="0.3">
      <c r="K1468" t="str">
        <f>IF($D1468="","",IFERROR(INDEX(Mapping!$H$3:$H$32,MATCH($B1468,Mapping!$G$3:$G$32,0)),IF(LEFT($F1468,3)="P2P",IFERROR(INDEX(Mapping!$E$3:$E$6,MATCH($G1468,Mapping!$D$3:$D$6,0)),IFERROR(INDEX(Mapping!$B$3:$B$13,MATCH($J1468,Mapping!$A$3:$A$13,0)),"(unmapped)")),IFERROR(INDEX(Mapping!$B$17:$B$22,MATCH($F1468,Mapping!$A$17:$A$22,0)),$F1468)&amp;" "&amp;IF($G1468="Banking","Banking",IFERROR(INDEX(Mapping!$E$17:$E$28,MATCH($J1468,Mapping!$D$17:$D$28,0)),"(unmapped)")))))</f>
        <v/>
      </c>
    </row>
    <row r="1469" spans="11:11" x14ac:dyDescent="0.3">
      <c r="K1469" t="str">
        <f>IF($D1469="","",IFERROR(INDEX(Mapping!$H$3:$H$32,MATCH($B1469,Mapping!$G$3:$G$32,0)),IF(LEFT($F1469,3)="P2P",IFERROR(INDEX(Mapping!$E$3:$E$6,MATCH($G1469,Mapping!$D$3:$D$6,0)),IFERROR(INDEX(Mapping!$B$3:$B$13,MATCH($J1469,Mapping!$A$3:$A$13,0)),"(unmapped)")),IFERROR(INDEX(Mapping!$B$17:$B$22,MATCH($F1469,Mapping!$A$17:$A$22,0)),$F1469)&amp;" "&amp;IF($G1469="Banking","Banking",IFERROR(INDEX(Mapping!$E$17:$E$28,MATCH($J1469,Mapping!$D$17:$D$28,0)),"(unmapped)")))))</f>
        <v/>
      </c>
    </row>
    <row r="1470" spans="11:11" x14ac:dyDescent="0.3">
      <c r="K1470" t="str">
        <f>IF($D1470="","",IFERROR(INDEX(Mapping!$H$3:$H$32,MATCH($B1470,Mapping!$G$3:$G$32,0)),IF(LEFT($F1470,3)="P2P",IFERROR(INDEX(Mapping!$E$3:$E$6,MATCH($G1470,Mapping!$D$3:$D$6,0)),IFERROR(INDEX(Mapping!$B$3:$B$13,MATCH($J1470,Mapping!$A$3:$A$13,0)),"(unmapped)")),IFERROR(INDEX(Mapping!$B$17:$B$22,MATCH($F1470,Mapping!$A$17:$A$22,0)),$F1470)&amp;" "&amp;IF($G1470="Banking","Banking",IFERROR(INDEX(Mapping!$E$17:$E$28,MATCH($J1470,Mapping!$D$17:$D$28,0)),"(unmapped)")))))</f>
        <v/>
      </c>
    </row>
    <row r="1471" spans="11:11" x14ac:dyDescent="0.3">
      <c r="K1471" t="str">
        <f>IF($D1471="","",IFERROR(INDEX(Mapping!$H$3:$H$32,MATCH($B1471,Mapping!$G$3:$G$32,0)),IF(LEFT($F1471,3)="P2P",IFERROR(INDEX(Mapping!$E$3:$E$6,MATCH($G1471,Mapping!$D$3:$D$6,0)),IFERROR(INDEX(Mapping!$B$3:$B$13,MATCH($J1471,Mapping!$A$3:$A$13,0)),"(unmapped)")),IFERROR(INDEX(Mapping!$B$17:$B$22,MATCH($F1471,Mapping!$A$17:$A$22,0)),$F1471)&amp;" "&amp;IF($G1471="Banking","Banking",IFERROR(INDEX(Mapping!$E$17:$E$28,MATCH($J1471,Mapping!$D$17:$D$28,0)),"(unmapped)")))))</f>
        <v/>
      </c>
    </row>
    <row r="1472" spans="11:11" x14ac:dyDescent="0.3">
      <c r="K1472" t="str">
        <f>IF($D1472="","",IFERROR(INDEX(Mapping!$H$3:$H$32,MATCH($B1472,Mapping!$G$3:$G$32,0)),IF(LEFT($F1472,3)="P2P",IFERROR(INDEX(Mapping!$E$3:$E$6,MATCH($G1472,Mapping!$D$3:$D$6,0)),IFERROR(INDEX(Mapping!$B$3:$B$13,MATCH($J1472,Mapping!$A$3:$A$13,0)),"(unmapped)")),IFERROR(INDEX(Mapping!$B$17:$B$22,MATCH($F1472,Mapping!$A$17:$A$22,0)),$F1472)&amp;" "&amp;IF($G1472="Banking","Banking",IFERROR(INDEX(Mapping!$E$17:$E$28,MATCH($J1472,Mapping!$D$17:$D$28,0)),"(unmapped)")))))</f>
        <v/>
      </c>
    </row>
    <row r="1473" spans="11:11" x14ac:dyDescent="0.3">
      <c r="K1473" t="str">
        <f>IF($D1473="","",IFERROR(INDEX(Mapping!$H$3:$H$32,MATCH($B1473,Mapping!$G$3:$G$32,0)),IF(LEFT($F1473,3)="P2P",IFERROR(INDEX(Mapping!$E$3:$E$6,MATCH($G1473,Mapping!$D$3:$D$6,0)),IFERROR(INDEX(Mapping!$B$3:$B$13,MATCH($J1473,Mapping!$A$3:$A$13,0)),"(unmapped)")),IFERROR(INDEX(Mapping!$B$17:$B$22,MATCH($F1473,Mapping!$A$17:$A$22,0)),$F1473)&amp;" "&amp;IF($G1473="Banking","Banking",IFERROR(INDEX(Mapping!$E$17:$E$28,MATCH($J1473,Mapping!$D$17:$D$28,0)),"(unmapped)")))))</f>
        <v/>
      </c>
    </row>
    <row r="1474" spans="11:11" x14ac:dyDescent="0.3">
      <c r="K1474" t="str">
        <f>IF($D1474="","",IFERROR(INDEX(Mapping!$H$3:$H$32,MATCH($B1474,Mapping!$G$3:$G$32,0)),IF(LEFT($F1474,3)="P2P",IFERROR(INDEX(Mapping!$E$3:$E$6,MATCH($G1474,Mapping!$D$3:$D$6,0)),IFERROR(INDEX(Mapping!$B$3:$B$13,MATCH($J1474,Mapping!$A$3:$A$13,0)),"(unmapped)")),IFERROR(INDEX(Mapping!$B$17:$B$22,MATCH($F1474,Mapping!$A$17:$A$22,0)),$F1474)&amp;" "&amp;IF($G1474="Banking","Banking",IFERROR(INDEX(Mapping!$E$17:$E$28,MATCH($J1474,Mapping!$D$17:$D$28,0)),"(unmapped)")))))</f>
        <v/>
      </c>
    </row>
    <row r="1475" spans="11:11" x14ac:dyDescent="0.3">
      <c r="K1475" t="str">
        <f>IF($D1475="","",IFERROR(INDEX(Mapping!$H$3:$H$32,MATCH($B1475,Mapping!$G$3:$G$32,0)),IF(LEFT($F1475,3)="P2P",IFERROR(INDEX(Mapping!$E$3:$E$6,MATCH($G1475,Mapping!$D$3:$D$6,0)),IFERROR(INDEX(Mapping!$B$3:$B$13,MATCH($J1475,Mapping!$A$3:$A$13,0)),"(unmapped)")),IFERROR(INDEX(Mapping!$B$17:$B$22,MATCH($F1475,Mapping!$A$17:$A$22,0)),$F1475)&amp;" "&amp;IF($G1475="Banking","Banking",IFERROR(INDEX(Mapping!$E$17:$E$28,MATCH($J1475,Mapping!$D$17:$D$28,0)),"(unmapped)")))))</f>
        <v/>
      </c>
    </row>
    <row r="1476" spans="11:11" x14ac:dyDescent="0.3">
      <c r="K1476" t="str">
        <f>IF($D1476="","",IFERROR(INDEX(Mapping!$H$3:$H$32,MATCH($B1476,Mapping!$G$3:$G$32,0)),IF(LEFT($F1476,3)="P2P",IFERROR(INDEX(Mapping!$E$3:$E$6,MATCH($G1476,Mapping!$D$3:$D$6,0)),IFERROR(INDEX(Mapping!$B$3:$B$13,MATCH($J1476,Mapping!$A$3:$A$13,0)),"(unmapped)")),IFERROR(INDEX(Mapping!$B$17:$B$22,MATCH($F1476,Mapping!$A$17:$A$22,0)),$F1476)&amp;" "&amp;IF($G1476="Banking","Banking",IFERROR(INDEX(Mapping!$E$17:$E$28,MATCH($J1476,Mapping!$D$17:$D$28,0)),"(unmapped)")))))</f>
        <v/>
      </c>
    </row>
    <row r="1477" spans="11:11" x14ac:dyDescent="0.3">
      <c r="K1477" t="str">
        <f>IF($D1477="","",IFERROR(INDEX(Mapping!$H$3:$H$32,MATCH($B1477,Mapping!$G$3:$G$32,0)),IF(LEFT($F1477,3)="P2P",IFERROR(INDEX(Mapping!$E$3:$E$6,MATCH($G1477,Mapping!$D$3:$D$6,0)),IFERROR(INDEX(Mapping!$B$3:$B$13,MATCH($J1477,Mapping!$A$3:$A$13,0)),"(unmapped)")),IFERROR(INDEX(Mapping!$B$17:$B$22,MATCH($F1477,Mapping!$A$17:$A$22,0)),$F1477)&amp;" "&amp;IF($G1477="Banking","Banking",IFERROR(INDEX(Mapping!$E$17:$E$28,MATCH($J1477,Mapping!$D$17:$D$28,0)),"(unmapped)")))))</f>
        <v/>
      </c>
    </row>
    <row r="1478" spans="11:11" x14ac:dyDescent="0.3">
      <c r="K1478" t="str">
        <f>IF($D1478="","",IFERROR(INDEX(Mapping!$H$3:$H$32,MATCH($B1478,Mapping!$G$3:$G$32,0)),IF(LEFT($F1478,3)="P2P",IFERROR(INDEX(Mapping!$E$3:$E$6,MATCH($G1478,Mapping!$D$3:$D$6,0)),IFERROR(INDEX(Mapping!$B$3:$B$13,MATCH($J1478,Mapping!$A$3:$A$13,0)),"(unmapped)")),IFERROR(INDEX(Mapping!$B$17:$B$22,MATCH($F1478,Mapping!$A$17:$A$22,0)),$F1478)&amp;" "&amp;IF($G1478="Banking","Banking",IFERROR(INDEX(Mapping!$E$17:$E$28,MATCH($J1478,Mapping!$D$17:$D$28,0)),"(unmapped)")))))</f>
        <v/>
      </c>
    </row>
    <row r="1479" spans="11:11" x14ac:dyDescent="0.3">
      <c r="K1479" t="str">
        <f>IF($D1479="","",IFERROR(INDEX(Mapping!$H$3:$H$32,MATCH($B1479,Mapping!$G$3:$G$32,0)),IF(LEFT($F1479,3)="P2P",IFERROR(INDEX(Mapping!$E$3:$E$6,MATCH($G1479,Mapping!$D$3:$D$6,0)),IFERROR(INDEX(Mapping!$B$3:$B$13,MATCH($J1479,Mapping!$A$3:$A$13,0)),"(unmapped)")),IFERROR(INDEX(Mapping!$B$17:$B$22,MATCH($F1479,Mapping!$A$17:$A$22,0)),$F1479)&amp;" "&amp;IF($G1479="Banking","Banking",IFERROR(INDEX(Mapping!$E$17:$E$28,MATCH($J1479,Mapping!$D$17:$D$28,0)),"(unmapped)")))))</f>
        <v/>
      </c>
    </row>
    <row r="1480" spans="11:11" x14ac:dyDescent="0.3">
      <c r="K1480" t="str">
        <f>IF($D1480="","",IFERROR(INDEX(Mapping!$H$3:$H$32,MATCH($B1480,Mapping!$G$3:$G$32,0)),IF(LEFT($F1480,3)="P2P",IFERROR(INDEX(Mapping!$E$3:$E$6,MATCH($G1480,Mapping!$D$3:$D$6,0)),IFERROR(INDEX(Mapping!$B$3:$B$13,MATCH($J1480,Mapping!$A$3:$A$13,0)),"(unmapped)")),IFERROR(INDEX(Mapping!$B$17:$B$22,MATCH($F1480,Mapping!$A$17:$A$22,0)),$F1480)&amp;" "&amp;IF($G1480="Banking","Banking",IFERROR(INDEX(Mapping!$E$17:$E$28,MATCH($J1480,Mapping!$D$17:$D$28,0)),"(unmapped)")))))</f>
        <v/>
      </c>
    </row>
    <row r="1481" spans="11:11" x14ac:dyDescent="0.3">
      <c r="K1481" t="str">
        <f>IF($D1481="","",IFERROR(INDEX(Mapping!$H$3:$H$32,MATCH($B1481,Mapping!$G$3:$G$32,0)),IF(LEFT($F1481,3)="P2P",IFERROR(INDEX(Mapping!$E$3:$E$6,MATCH($G1481,Mapping!$D$3:$D$6,0)),IFERROR(INDEX(Mapping!$B$3:$B$13,MATCH($J1481,Mapping!$A$3:$A$13,0)),"(unmapped)")),IFERROR(INDEX(Mapping!$B$17:$B$22,MATCH($F1481,Mapping!$A$17:$A$22,0)),$F1481)&amp;" "&amp;IF($G1481="Banking","Banking",IFERROR(INDEX(Mapping!$E$17:$E$28,MATCH($J1481,Mapping!$D$17:$D$28,0)),"(unmapped)")))))</f>
        <v/>
      </c>
    </row>
    <row r="1482" spans="11:11" x14ac:dyDescent="0.3">
      <c r="K1482" t="str">
        <f>IF($D1482="","",IFERROR(INDEX(Mapping!$H$3:$H$32,MATCH($B1482,Mapping!$G$3:$G$32,0)),IF(LEFT($F1482,3)="P2P",IFERROR(INDEX(Mapping!$E$3:$E$6,MATCH($G1482,Mapping!$D$3:$D$6,0)),IFERROR(INDEX(Mapping!$B$3:$B$13,MATCH($J1482,Mapping!$A$3:$A$13,0)),"(unmapped)")),IFERROR(INDEX(Mapping!$B$17:$B$22,MATCH($F1482,Mapping!$A$17:$A$22,0)),$F1482)&amp;" "&amp;IF($G1482="Banking","Banking",IFERROR(INDEX(Mapping!$E$17:$E$28,MATCH($J1482,Mapping!$D$17:$D$28,0)),"(unmapped)")))))</f>
        <v/>
      </c>
    </row>
    <row r="1483" spans="11:11" x14ac:dyDescent="0.3">
      <c r="K1483" t="str">
        <f>IF($D1483="","",IFERROR(INDEX(Mapping!$H$3:$H$32,MATCH($B1483,Mapping!$G$3:$G$32,0)),IF(LEFT($F1483,3)="P2P",IFERROR(INDEX(Mapping!$E$3:$E$6,MATCH($G1483,Mapping!$D$3:$D$6,0)),IFERROR(INDEX(Mapping!$B$3:$B$13,MATCH($J1483,Mapping!$A$3:$A$13,0)),"(unmapped)")),IFERROR(INDEX(Mapping!$B$17:$B$22,MATCH($F1483,Mapping!$A$17:$A$22,0)),$F1483)&amp;" "&amp;IF($G1483="Banking","Banking",IFERROR(INDEX(Mapping!$E$17:$E$28,MATCH($J1483,Mapping!$D$17:$D$28,0)),"(unmapped)")))))</f>
        <v/>
      </c>
    </row>
    <row r="1484" spans="11:11" x14ac:dyDescent="0.3">
      <c r="K1484" t="str">
        <f>IF($D1484="","",IFERROR(INDEX(Mapping!$H$3:$H$32,MATCH($B1484,Mapping!$G$3:$G$32,0)),IF(LEFT($F1484,3)="P2P",IFERROR(INDEX(Mapping!$E$3:$E$6,MATCH($G1484,Mapping!$D$3:$D$6,0)),IFERROR(INDEX(Mapping!$B$3:$B$13,MATCH($J1484,Mapping!$A$3:$A$13,0)),"(unmapped)")),IFERROR(INDEX(Mapping!$B$17:$B$22,MATCH($F1484,Mapping!$A$17:$A$22,0)),$F1484)&amp;" "&amp;IF($G1484="Banking","Banking",IFERROR(INDEX(Mapping!$E$17:$E$28,MATCH($J1484,Mapping!$D$17:$D$28,0)),"(unmapped)")))))</f>
        <v/>
      </c>
    </row>
    <row r="1485" spans="11:11" x14ac:dyDescent="0.3">
      <c r="K1485" t="str">
        <f>IF($D1485="","",IFERROR(INDEX(Mapping!$H$3:$H$32,MATCH($B1485,Mapping!$G$3:$G$32,0)),IF(LEFT($F1485,3)="P2P",IFERROR(INDEX(Mapping!$E$3:$E$6,MATCH($G1485,Mapping!$D$3:$D$6,0)),IFERROR(INDEX(Mapping!$B$3:$B$13,MATCH($J1485,Mapping!$A$3:$A$13,0)),"(unmapped)")),IFERROR(INDEX(Mapping!$B$17:$B$22,MATCH($F1485,Mapping!$A$17:$A$22,0)),$F1485)&amp;" "&amp;IF($G1485="Banking","Banking",IFERROR(INDEX(Mapping!$E$17:$E$28,MATCH($J1485,Mapping!$D$17:$D$28,0)),"(unmapped)")))))</f>
        <v/>
      </c>
    </row>
    <row r="1486" spans="11:11" x14ac:dyDescent="0.3">
      <c r="K1486" t="str">
        <f>IF($D1486="","",IFERROR(INDEX(Mapping!$H$3:$H$32,MATCH($B1486,Mapping!$G$3:$G$32,0)),IF(LEFT($F1486,3)="P2P",IFERROR(INDEX(Mapping!$E$3:$E$6,MATCH($G1486,Mapping!$D$3:$D$6,0)),IFERROR(INDEX(Mapping!$B$3:$B$13,MATCH($J1486,Mapping!$A$3:$A$13,0)),"(unmapped)")),IFERROR(INDEX(Mapping!$B$17:$B$22,MATCH($F1486,Mapping!$A$17:$A$22,0)),$F1486)&amp;" "&amp;IF($G1486="Banking","Banking",IFERROR(INDEX(Mapping!$E$17:$E$28,MATCH($J1486,Mapping!$D$17:$D$28,0)),"(unmapped)")))))</f>
        <v/>
      </c>
    </row>
    <row r="1487" spans="11:11" x14ac:dyDescent="0.3">
      <c r="K1487" t="str">
        <f>IF($D1487="","",IFERROR(INDEX(Mapping!$H$3:$H$32,MATCH($B1487,Mapping!$G$3:$G$32,0)),IF(LEFT($F1487,3)="P2P",IFERROR(INDEX(Mapping!$E$3:$E$6,MATCH($G1487,Mapping!$D$3:$D$6,0)),IFERROR(INDEX(Mapping!$B$3:$B$13,MATCH($J1487,Mapping!$A$3:$A$13,0)),"(unmapped)")),IFERROR(INDEX(Mapping!$B$17:$B$22,MATCH($F1487,Mapping!$A$17:$A$22,0)),$F1487)&amp;" "&amp;IF($G1487="Banking","Banking",IFERROR(INDEX(Mapping!$E$17:$E$28,MATCH($J1487,Mapping!$D$17:$D$28,0)),"(unmapped)")))))</f>
        <v/>
      </c>
    </row>
    <row r="1488" spans="11:11" x14ac:dyDescent="0.3">
      <c r="K1488" t="str">
        <f>IF($D1488="","",IFERROR(INDEX(Mapping!$H$3:$H$32,MATCH($B1488,Mapping!$G$3:$G$32,0)),IF(LEFT($F1488,3)="P2P",IFERROR(INDEX(Mapping!$E$3:$E$6,MATCH($G1488,Mapping!$D$3:$D$6,0)),IFERROR(INDEX(Mapping!$B$3:$B$13,MATCH($J1488,Mapping!$A$3:$A$13,0)),"(unmapped)")),IFERROR(INDEX(Mapping!$B$17:$B$22,MATCH($F1488,Mapping!$A$17:$A$22,0)),$F1488)&amp;" "&amp;IF($G1488="Banking","Banking",IFERROR(INDEX(Mapping!$E$17:$E$28,MATCH($J1488,Mapping!$D$17:$D$28,0)),"(unmapped)")))))</f>
        <v/>
      </c>
    </row>
    <row r="1489" spans="11:11" x14ac:dyDescent="0.3">
      <c r="K1489" t="str">
        <f>IF($D1489="","",IFERROR(INDEX(Mapping!$H$3:$H$32,MATCH($B1489,Mapping!$G$3:$G$32,0)),IF(LEFT($F1489,3)="P2P",IFERROR(INDEX(Mapping!$E$3:$E$6,MATCH($G1489,Mapping!$D$3:$D$6,0)),IFERROR(INDEX(Mapping!$B$3:$B$13,MATCH($J1489,Mapping!$A$3:$A$13,0)),"(unmapped)")),IFERROR(INDEX(Mapping!$B$17:$B$22,MATCH($F1489,Mapping!$A$17:$A$22,0)),$F1489)&amp;" "&amp;IF($G1489="Banking","Banking",IFERROR(INDEX(Mapping!$E$17:$E$28,MATCH($J1489,Mapping!$D$17:$D$28,0)),"(unmapped)")))))</f>
        <v/>
      </c>
    </row>
    <row r="1490" spans="11:11" x14ac:dyDescent="0.3">
      <c r="K1490" t="str">
        <f>IF($D1490="","",IFERROR(INDEX(Mapping!$H$3:$H$32,MATCH($B1490,Mapping!$G$3:$G$32,0)),IF(LEFT($F1490,3)="P2P",IFERROR(INDEX(Mapping!$E$3:$E$6,MATCH($G1490,Mapping!$D$3:$D$6,0)),IFERROR(INDEX(Mapping!$B$3:$B$13,MATCH($J1490,Mapping!$A$3:$A$13,0)),"(unmapped)")),IFERROR(INDEX(Mapping!$B$17:$B$22,MATCH($F1490,Mapping!$A$17:$A$22,0)),$F1490)&amp;" "&amp;IF($G1490="Banking","Banking",IFERROR(INDEX(Mapping!$E$17:$E$28,MATCH($J1490,Mapping!$D$17:$D$28,0)),"(unmapped)")))))</f>
        <v/>
      </c>
    </row>
    <row r="1491" spans="11:11" x14ac:dyDescent="0.3">
      <c r="K1491" t="str">
        <f>IF($D1491="","",IFERROR(INDEX(Mapping!$H$3:$H$32,MATCH($B1491,Mapping!$G$3:$G$32,0)),IF(LEFT($F1491,3)="P2P",IFERROR(INDEX(Mapping!$E$3:$E$6,MATCH($G1491,Mapping!$D$3:$D$6,0)),IFERROR(INDEX(Mapping!$B$3:$B$13,MATCH($J1491,Mapping!$A$3:$A$13,0)),"(unmapped)")),IFERROR(INDEX(Mapping!$B$17:$B$22,MATCH($F1491,Mapping!$A$17:$A$22,0)),$F1491)&amp;" "&amp;IF($G1491="Banking","Banking",IFERROR(INDEX(Mapping!$E$17:$E$28,MATCH($J1491,Mapping!$D$17:$D$28,0)),"(unmapped)")))))</f>
        <v/>
      </c>
    </row>
    <row r="1492" spans="11:11" x14ac:dyDescent="0.3">
      <c r="K1492" t="str">
        <f>IF($D1492="","",IFERROR(INDEX(Mapping!$H$3:$H$32,MATCH($B1492,Mapping!$G$3:$G$32,0)),IF(LEFT($F1492,3)="P2P",IFERROR(INDEX(Mapping!$E$3:$E$6,MATCH($G1492,Mapping!$D$3:$D$6,0)),IFERROR(INDEX(Mapping!$B$3:$B$13,MATCH($J1492,Mapping!$A$3:$A$13,0)),"(unmapped)")),IFERROR(INDEX(Mapping!$B$17:$B$22,MATCH($F1492,Mapping!$A$17:$A$22,0)),$F1492)&amp;" "&amp;IF($G1492="Banking","Banking",IFERROR(INDEX(Mapping!$E$17:$E$28,MATCH($J1492,Mapping!$D$17:$D$28,0)),"(unmapped)")))))</f>
        <v/>
      </c>
    </row>
    <row r="1493" spans="11:11" x14ac:dyDescent="0.3">
      <c r="K1493" t="str">
        <f>IF($D1493="","",IFERROR(INDEX(Mapping!$H$3:$H$32,MATCH($B1493,Mapping!$G$3:$G$32,0)),IF(LEFT($F1493,3)="P2P",IFERROR(INDEX(Mapping!$E$3:$E$6,MATCH($G1493,Mapping!$D$3:$D$6,0)),IFERROR(INDEX(Mapping!$B$3:$B$13,MATCH($J1493,Mapping!$A$3:$A$13,0)),"(unmapped)")),IFERROR(INDEX(Mapping!$B$17:$B$22,MATCH($F1493,Mapping!$A$17:$A$22,0)),$F1493)&amp;" "&amp;IF($G1493="Banking","Banking",IFERROR(INDEX(Mapping!$E$17:$E$28,MATCH($J1493,Mapping!$D$17:$D$28,0)),"(unmapped)")))))</f>
        <v/>
      </c>
    </row>
    <row r="1494" spans="11:11" x14ac:dyDescent="0.3">
      <c r="K1494" t="str">
        <f>IF($D1494="","",IFERROR(INDEX(Mapping!$H$3:$H$32,MATCH($B1494,Mapping!$G$3:$G$32,0)),IF(LEFT($F1494,3)="P2P",IFERROR(INDEX(Mapping!$E$3:$E$6,MATCH($G1494,Mapping!$D$3:$D$6,0)),IFERROR(INDEX(Mapping!$B$3:$B$13,MATCH($J1494,Mapping!$A$3:$A$13,0)),"(unmapped)")),IFERROR(INDEX(Mapping!$B$17:$B$22,MATCH($F1494,Mapping!$A$17:$A$22,0)),$F1494)&amp;" "&amp;IF($G1494="Banking","Banking",IFERROR(INDEX(Mapping!$E$17:$E$28,MATCH($J1494,Mapping!$D$17:$D$28,0)),"(unmapped)")))))</f>
        <v/>
      </c>
    </row>
    <row r="1495" spans="11:11" x14ac:dyDescent="0.3">
      <c r="K1495" t="str">
        <f>IF($D1495="","",IFERROR(INDEX(Mapping!$H$3:$H$32,MATCH($B1495,Mapping!$G$3:$G$32,0)),IF(LEFT($F1495,3)="P2P",IFERROR(INDEX(Mapping!$E$3:$E$6,MATCH($G1495,Mapping!$D$3:$D$6,0)),IFERROR(INDEX(Mapping!$B$3:$B$13,MATCH($J1495,Mapping!$A$3:$A$13,0)),"(unmapped)")),IFERROR(INDEX(Mapping!$B$17:$B$22,MATCH($F1495,Mapping!$A$17:$A$22,0)),$F1495)&amp;" "&amp;IF($G1495="Banking","Banking",IFERROR(INDEX(Mapping!$E$17:$E$28,MATCH($J1495,Mapping!$D$17:$D$28,0)),"(unmapped)")))))</f>
        <v/>
      </c>
    </row>
    <row r="1496" spans="11:11" x14ac:dyDescent="0.3">
      <c r="K1496" t="str">
        <f>IF($D1496="","",IFERROR(INDEX(Mapping!$H$3:$H$32,MATCH($B1496,Mapping!$G$3:$G$32,0)),IF(LEFT($F1496,3)="P2P",IFERROR(INDEX(Mapping!$E$3:$E$6,MATCH($G1496,Mapping!$D$3:$D$6,0)),IFERROR(INDEX(Mapping!$B$3:$B$13,MATCH($J1496,Mapping!$A$3:$A$13,0)),"(unmapped)")),IFERROR(INDEX(Mapping!$B$17:$B$22,MATCH($F1496,Mapping!$A$17:$A$22,0)),$F1496)&amp;" "&amp;IF($G1496="Banking","Banking",IFERROR(INDEX(Mapping!$E$17:$E$28,MATCH($J1496,Mapping!$D$17:$D$28,0)),"(unmapped)")))))</f>
        <v/>
      </c>
    </row>
    <row r="1497" spans="11:11" x14ac:dyDescent="0.3">
      <c r="K1497" t="str">
        <f>IF($D1497="","",IFERROR(INDEX(Mapping!$H$3:$H$32,MATCH($B1497,Mapping!$G$3:$G$32,0)),IF(LEFT($F1497,3)="P2P",IFERROR(INDEX(Mapping!$E$3:$E$6,MATCH($G1497,Mapping!$D$3:$D$6,0)),IFERROR(INDEX(Mapping!$B$3:$B$13,MATCH($J1497,Mapping!$A$3:$A$13,0)),"(unmapped)")),IFERROR(INDEX(Mapping!$B$17:$B$22,MATCH($F1497,Mapping!$A$17:$A$22,0)),$F1497)&amp;" "&amp;IF($G1497="Banking","Banking",IFERROR(INDEX(Mapping!$E$17:$E$28,MATCH($J1497,Mapping!$D$17:$D$28,0)),"(unmapped)")))))</f>
        <v/>
      </c>
    </row>
    <row r="1498" spans="11:11" x14ac:dyDescent="0.3">
      <c r="K1498" t="str">
        <f>IF($D1498="","",IFERROR(INDEX(Mapping!$H$3:$H$32,MATCH($B1498,Mapping!$G$3:$G$32,0)),IF(LEFT($F1498,3)="P2P",IFERROR(INDEX(Mapping!$E$3:$E$6,MATCH($G1498,Mapping!$D$3:$D$6,0)),IFERROR(INDEX(Mapping!$B$3:$B$13,MATCH($J1498,Mapping!$A$3:$A$13,0)),"(unmapped)")),IFERROR(INDEX(Mapping!$B$17:$B$22,MATCH($F1498,Mapping!$A$17:$A$22,0)),$F1498)&amp;" "&amp;IF($G1498="Banking","Banking",IFERROR(INDEX(Mapping!$E$17:$E$28,MATCH($J1498,Mapping!$D$17:$D$28,0)),"(unmapped)")))))</f>
        <v/>
      </c>
    </row>
    <row r="1499" spans="11:11" x14ac:dyDescent="0.3">
      <c r="K1499" t="str">
        <f>IF($D1499="","",IFERROR(INDEX(Mapping!$H$3:$H$32,MATCH($B1499,Mapping!$G$3:$G$32,0)),IF(LEFT($F1499,3)="P2P",IFERROR(INDEX(Mapping!$E$3:$E$6,MATCH($G1499,Mapping!$D$3:$D$6,0)),IFERROR(INDEX(Mapping!$B$3:$B$13,MATCH($J1499,Mapping!$A$3:$A$13,0)),"(unmapped)")),IFERROR(INDEX(Mapping!$B$17:$B$22,MATCH($F1499,Mapping!$A$17:$A$22,0)),$F1499)&amp;" "&amp;IF($G1499="Banking","Banking",IFERROR(INDEX(Mapping!$E$17:$E$28,MATCH($J1499,Mapping!$D$17:$D$28,0)),"(unmapped)")))))</f>
        <v/>
      </c>
    </row>
    <row r="1500" spans="11:11" x14ac:dyDescent="0.3">
      <c r="K1500" t="str">
        <f>IF($D1500="","",IFERROR(INDEX(Mapping!$H$3:$H$32,MATCH($B1500,Mapping!$G$3:$G$32,0)),IF(LEFT($F1500,3)="P2P",IFERROR(INDEX(Mapping!$E$3:$E$6,MATCH($G1500,Mapping!$D$3:$D$6,0)),IFERROR(INDEX(Mapping!$B$3:$B$13,MATCH($J1500,Mapping!$A$3:$A$13,0)),"(unmapped)")),IFERROR(INDEX(Mapping!$B$17:$B$22,MATCH($F1500,Mapping!$A$17:$A$22,0)),$F1500)&amp;" "&amp;IF($G1500="Banking","Banking",IFERROR(INDEX(Mapping!$E$17:$E$28,MATCH($J1500,Mapping!$D$17:$D$28,0)),"(unmapped)")))))</f>
        <v/>
      </c>
    </row>
    <row r="1501" spans="11:11" x14ac:dyDescent="0.3">
      <c r="K1501" t="str">
        <f>IF($D1501="","",IFERROR(INDEX(Mapping!$H$3:$H$32,MATCH($B1501,Mapping!$G$3:$G$32,0)),IF(LEFT($F1501,3)="P2P",IFERROR(INDEX(Mapping!$E$3:$E$6,MATCH($G1501,Mapping!$D$3:$D$6,0)),IFERROR(INDEX(Mapping!$B$3:$B$13,MATCH($J1501,Mapping!$A$3:$A$13,0)),"(unmapped)")),IFERROR(INDEX(Mapping!$B$17:$B$22,MATCH($F1501,Mapping!$A$17:$A$22,0)),$F1501)&amp;" "&amp;IF($G1501="Banking","Banking",IFERROR(INDEX(Mapping!$E$17:$E$28,MATCH($J1501,Mapping!$D$17:$D$28,0)),"(unmapped)")))))</f>
        <v/>
      </c>
    </row>
    <row r="1502" spans="11:11" x14ac:dyDescent="0.3">
      <c r="K1502" t="str">
        <f>IF($D1502="","",IFERROR(INDEX(Mapping!$H$3:$H$32,MATCH($B1502,Mapping!$G$3:$G$32,0)),IF(LEFT($F1502,3)="P2P",IFERROR(INDEX(Mapping!$E$3:$E$6,MATCH($G1502,Mapping!$D$3:$D$6,0)),IFERROR(INDEX(Mapping!$B$3:$B$13,MATCH($J1502,Mapping!$A$3:$A$13,0)),"(unmapped)")),IFERROR(INDEX(Mapping!$B$17:$B$22,MATCH($F1502,Mapping!$A$17:$A$22,0)),$F1502)&amp;" "&amp;IF($G1502="Banking","Banking",IFERROR(INDEX(Mapping!$E$17:$E$28,MATCH($J1502,Mapping!$D$17:$D$28,0)),"(unmapped)")))))</f>
        <v/>
      </c>
    </row>
    <row r="1503" spans="11:11" x14ac:dyDescent="0.3">
      <c r="K1503" t="str">
        <f>IF($D1503="","",IFERROR(INDEX(Mapping!$H$3:$H$32,MATCH($B1503,Mapping!$G$3:$G$32,0)),IF(LEFT($F1503,3)="P2P",IFERROR(INDEX(Mapping!$E$3:$E$6,MATCH($G1503,Mapping!$D$3:$D$6,0)),IFERROR(INDEX(Mapping!$B$3:$B$13,MATCH($J1503,Mapping!$A$3:$A$13,0)),"(unmapped)")),IFERROR(INDEX(Mapping!$B$17:$B$22,MATCH($F1503,Mapping!$A$17:$A$22,0)),$F1503)&amp;" "&amp;IF($G1503="Banking","Banking",IFERROR(INDEX(Mapping!$E$17:$E$28,MATCH($J1503,Mapping!$D$17:$D$28,0)),"(unmapped)")))))</f>
        <v/>
      </c>
    </row>
    <row r="1504" spans="11:11" x14ac:dyDescent="0.3">
      <c r="K1504" t="str">
        <f>IF($D1504="","",IFERROR(INDEX(Mapping!$H$3:$H$32,MATCH($B1504,Mapping!$G$3:$G$32,0)),IF(LEFT($F1504,3)="P2P",IFERROR(INDEX(Mapping!$E$3:$E$6,MATCH($G1504,Mapping!$D$3:$D$6,0)),IFERROR(INDEX(Mapping!$B$3:$B$13,MATCH($J1504,Mapping!$A$3:$A$13,0)),"(unmapped)")),IFERROR(INDEX(Mapping!$B$17:$B$22,MATCH($F1504,Mapping!$A$17:$A$22,0)),$F1504)&amp;" "&amp;IF($G1504="Banking","Banking",IFERROR(INDEX(Mapping!$E$17:$E$28,MATCH($J1504,Mapping!$D$17:$D$28,0)),"(unmapped)")))))</f>
        <v/>
      </c>
    </row>
    <row r="1505" spans="11:11" x14ac:dyDescent="0.3">
      <c r="K1505" t="str">
        <f>IF($D1505="","",IFERROR(INDEX(Mapping!$H$3:$H$32,MATCH($B1505,Mapping!$G$3:$G$32,0)),IF(LEFT($F1505,3)="P2P",IFERROR(INDEX(Mapping!$E$3:$E$6,MATCH($G1505,Mapping!$D$3:$D$6,0)),IFERROR(INDEX(Mapping!$B$3:$B$13,MATCH($J1505,Mapping!$A$3:$A$13,0)),"(unmapped)")),IFERROR(INDEX(Mapping!$B$17:$B$22,MATCH($F1505,Mapping!$A$17:$A$22,0)),$F1505)&amp;" "&amp;IF($G1505="Banking","Banking",IFERROR(INDEX(Mapping!$E$17:$E$28,MATCH($J1505,Mapping!$D$17:$D$28,0)),"(unmapped)")))))</f>
        <v/>
      </c>
    </row>
    <row r="1506" spans="11:11" x14ac:dyDescent="0.3">
      <c r="K1506" t="str">
        <f>IF($D1506="","",IFERROR(INDEX(Mapping!$H$3:$H$32,MATCH($B1506,Mapping!$G$3:$G$32,0)),IF(LEFT($F1506,3)="P2P",IFERROR(INDEX(Mapping!$E$3:$E$6,MATCH($G1506,Mapping!$D$3:$D$6,0)),IFERROR(INDEX(Mapping!$B$3:$B$13,MATCH($J1506,Mapping!$A$3:$A$13,0)),"(unmapped)")),IFERROR(INDEX(Mapping!$B$17:$B$22,MATCH($F1506,Mapping!$A$17:$A$22,0)),$F1506)&amp;" "&amp;IF($G1506="Banking","Banking",IFERROR(INDEX(Mapping!$E$17:$E$28,MATCH($J1506,Mapping!$D$17:$D$28,0)),"(unmapped)")))))</f>
        <v/>
      </c>
    </row>
    <row r="1507" spans="11:11" x14ac:dyDescent="0.3">
      <c r="K1507" t="str">
        <f>IF($D1507="","",IFERROR(INDEX(Mapping!$H$3:$H$32,MATCH($B1507,Mapping!$G$3:$G$32,0)),IF(LEFT($F1507,3)="P2P",IFERROR(INDEX(Mapping!$E$3:$E$6,MATCH($G1507,Mapping!$D$3:$D$6,0)),IFERROR(INDEX(Mapping!$B$3:$B$13,MATCH($J1507,Mapping!$A$3:$A$13,0)),"(unmapped)")),IFERROR(INDEX(Mapping!$B$17:$B$22,MATCH($F1507,Mapping!$A$17:$A$22,0)),$F1507)&amp;" "&amp;IF($G1507="Banking","Banking",IFERROR(INDEX(Mapping!$E$17:$E$28,MATCH($J1507,Mapping!$D$17:$D$28,0)),"(unmapped)")))))</f>
        <v/>
      </c>
    </row>
    <row r="1508" spans="11:11" x14ac:dyDescent="0.3">
      <c r="K1508" t="str">
        <f>IF($D1508="","",IFERROR(INDEX(Mapping!$H$3:$H$32,MATCH($B1508,Mapping!$G$3:$G$32,0)),IF(LEFT($F1508,3)="P2P",IFERROR(INDEX(Mapping!$E$3:$E$6,MATCH($G1508,Mapping!$D$3:$D$6,0)),IFERROR(INDEX(Mapping!$B$3:$B$13,MATCH($J1508,Mapping!$A$3:$A$13,0)),"(unmapped)")),IFERROR(INDEX(Mapping!$B$17:$B$22,MATCH($F1508,Mapping!$A$17:$A$22,0)),$F1508)&amp;" "&amp;IF($G1508="Banking","Banking",IFERROR(INDEX(Mapping!$E$17:$E$28,MATCH($J1508,Mapping!$D$17:$D$28,0)),"(unmapped)")))))</f>
        <v/>
      </c>
    </row>
    <row r="1509" spans="11:11" x14ac:dyDescent="0.3">
      <c r="K1509" t="str">
        <f>IF($D1509="","",IFERROR(INDEX(Mapping!$H$3:$H$32,MATCH($B1509,Mapping!$G$3:$G$32,0)),IF(LEFT($F1509,3)="P2P",IFERROR(INDEX(Mapping!$E$3:$E$6,MATCH($G1509,Mapping!$D$3:$D$6,0)),IFERROR(INDEX(Mapping!$B$3:$B$13,MATCH($J1509,Mapping!$A$3:$A$13,0)),"(unmapped)")),IFERROR(INDEX(Mapping!$B$17:$B$22,MATCH($F1509,Mapping!$A$17:$A$22,0)),$F1509)&amp;" "&amp;IF($G1509="Banking","Banking",IFERROR(INDEX(Mapping!$E$17:$E$28,MATCH($J1509,Mapping!$D$17:$D$28,0)),"(unmapped)")))))</f>
        <v/>
      </c>
    </row>
    <row r="1510" spans="11:11" x14ac:dyDescent="0.3">
      <c r="K1510" t="str">
        <f>IF($D1510="","",IFERROR(INDEX(Mapping!$H$3:$H$32,MATCH($B1510,Mapping!$G$3:$G$32,0)),IF(LEFT($F1510,3)="P2P",IFERROR(INDEX(Mapping!$E$3:$E$6,MATCH($G1510,Mapping!$D$3:$D$6,0)),IFERROR(INDEX(Mapping!$B$3:$B$13,MATCH($J1510,Mapping!$A$3:$A$13,0)),"(unmapped)")),IFERROR(INDEX(Mapping!$B$17:$B$22,MATCH($F1510,Mapping!$A$17:$A$22,0)),$F1510)&amp;" "&amp;IF($G1510="Banking","Banking",IFERROR(INDEX(Mapping!$E$17:$E$28,MATCH($J1510,Mapping!$D$17:$D$28,0)),"(unmapped)")))))</f>
        <v/>
      </c>
    </row>
    <row r="1511" spans="11:11" x14ac:dyDescent="0.3">
      <c r="K1511" t="str">
        <f>IF($D1511="","",IFERROR(INDEX(Mapping!$H$3:$H$32,MATCH($B1511,Mapping!$G$3:$G$32,0)),IF(LEFT($F1511,3)="P2P",IFERROR(INDEX(Mapping!$E$3:$E$6,MATCH($G1511,Mapping!$D$3:$D$6,0)),IFERROR(INDEX(Mapping!$B$3:$B$13,MATCH($J1511,Mapping!$A$3:$A$13,0)),"(unmapped)")),IFERROR(INDEX(Mapping!$B$17:$B$22,MATCH($F1511,Mapping!$A$17:$A$22,0)),$F1511)&amp;" "&amp;IF($G1511="Banking","Banking",IFERROR(INDEX(Mapping!$E$17:$E$28,MATCH($J1511,Mapping!$D$17:$D$28,0)),"(unmapped)")))))</f>
        <v/>
      </c>
    </row>
    <row r="1512" spans="11:11" x14ac:dyDescent="0.3">
      <c r="K1512" t="str">
        <f>IF($D1512="","",IFERROR(INDEX(Mapping!$H$3:$H$32,MATCH($B1512,Mapping!$G$3:$G$32,0)),IF(LEFT($F1512,3)="P2P",IFERROR(INDEX(Mapping!$E$3:$E$6,MATCH($G1512,Mapping!$D$3:$D$6,0)),IFERROR(INDEX(Mapping!$B$3:$B$13,MATCH($J1512,Mapping!$A$3:$A$13,0)),"(unmapped)")),IFERROR(INDEX(Mapping!$B$17:$B$22,MATCH($F1512,Mapping!$A$17:$A$22,0)),$F1512)&amp;" "&amp;IF($G1512="Banking","Banking",IFERROR(INDEX(Mapping!$E$17:$E$28,MATCH($J1512,Mapping!$D$17:$D$28,0)),"(unmapped)")))))</f>
        <v/>
      </c>
    </row>
    <row r="1513" spans="11:11" x14ac:dyDescent="0.3">
      <c r="K1513" t="str">
        <f>IF($D1513="","",IFERROR(INDEX(Mapping!$H$3:$H$32,MATCH($B1513,Mapping!$G$3:$G$32,0)),IF(LEFT($F1513,3)="P2P",IFERROR(INDEX(Mapping!$E$3:$E$6,MATCH($G1513,Mapping!$D$3:$D$6,0)),IFERROR(INDEX(Mapping!$B$3:$B$13,MATCH($J1513,Mapping!$A$3:$A$13,0)),"(unmapped)")),IFERROR(INDEX(Mapping!$B$17:$B$22,MATCH($F1513,Mapping!$A$17:$A$22,0)),$F1513)&amp;" "&amp;IF($G1513="Banking","Banking",IFERROR(INDEX(Mapping!$E$17:$E$28,MATCH($J1513,Mapping!$D$17:$D$28,0)),"(unmapped)")))))</f>
        <v/>
      </c>
    </row>
    <row r="1514" spans="11:11" x14ac:dyDescent="0.3">
      <c r="K1514" t="str">
        <f>IF($D1514="","",IFERROR(INDEX(Mapping!$H$3:$H$32,MATCH($B1514,Mapping!$G$3:$G$32,0)),IF(LEFT($F1514,3)="P2P",IFERROR(INDEX(Mapping!$E$3:$E$6,MATCH($G1514,Mapping!$D$3:$D$6,0)),IFERROR(INDEX(Mapping!$B$3:$B$13,MATCH($J1514,Mapping!$A$3:$A$13,0)),"(unmapped)")),IFERROR(INDEX(Mapping!$B$17:$B$22,MATCH($F1514,Mapping!$A$17:$A$22,0)),$F1514)&amp;" "&amp;IF($G1514="Banking","Banking",IFERROR(INDEX(Mapping!$E$17:$E$28,MATCH($J1514,Mapping!$D$17:$D$28,0)),"(unmapped)")))))</f>
        <v/>
      </c>
    </row>
    <row r="1515" spans="11:11" x14ac:dyDescent="0.3">
      <c r="K1515" t="str">
        <f>IF($D1515="","",IFERROR(INDEX(Mapping!$H$3:$H$32,MATCH($B1515,Mapping!$G$3:$G$32,0)),IF(LEFT($F1515,3)="P2P",IFERROR(INDEX(Mapping!$E$3:$E$6,MATCH($G1515,Mapping!$D$3:$D$6,0)),IFERROR(INDEX(Mapping!$B$3:$B$13,MATCH($J1515,Mapping!$A$3:$A$13,0)),"(unmapped)")),IFERROR(INDEX(Mapping!$B$17:$B$22,MATCH($F1515,Mapping!$A$17:$A$22,0)),$F1515)&amp;" "&amp;IF($G1515="Banking","Banking",IFERROR(INDEX(Mapping!$E$17:$E$28,MATCH($J1515,Mapping!$D$17:$D$28,0)),"(unmapped)")))))</f>
        <v/>
      </c>
    </row>
    <row r="1516" spans="11:11" x14ac:dyDescent="0.3">
      <c r="K1516" t="str">
        <f>IF($D1516="","",IFERROR(INDEX(Mapping!$H$3:$H$32,MATCH($B1516,Mapping!$G$3:$G$32,0)),IF(LEFT($F1516,3)="P2P",IFERROR(INDEX(Mapping!$E$3:$E$6,MATCH($G1516,Mapping!$D$3:$D$6,0)),IFERROR(INDEX(Mapping!$B$3:$B$13,MATCH($J1516,Mapping!$A$3:$A$13,0)),"(unmapped)")),IFERROR(INDEX(Mapping!$B$17:$B$22,MATCH($F1516,Mapping!$A$17:$A$22,0)),$F1516)&amp;" "&amp;IF($G1516="Banking","Banking",IFERROR(INDEX(Mapping!$E$17:$E$28,MATCH($J1516,Mapping!$D$17:$D$28,0)),"(unmapped)")))))</f>
        <v/>
      </c>
    </row>
    <row r="1517" spans="11:11" x14ac:dyDescent="0.3">
      <c r="K1517" t="str">
        <f>IF($D1517="","",IFERROR(INDEX(Mapping!$H$3:$H$32,MATCH($B1517,Mapping!$G$3:$G$32,0)),IF(LEFT($F1517,3)="P2P",IFERROR(INDEX(Mapping!$E$3:$E$6,MATCH($G1517,Mapping!$D$3:$D$6,0)),IFERROR(INDEX(Mapping!$B$3:$B$13,MATCH($J1517,Mapping!$A$3:$A$13,0)),"(unmapped)")),IFERROR(INDEX(Mapping!$B$17:$B$22,MATCH($F1517,Mapping!$A$17:$A$22,0)),$F1517)&amp;" "&amp;IF($G1517="Banking","Banking",IFERROR(INDEX(Mapping!$E$17:$E$28,MATCH($J1517,Mapping!$D$17:$D$28,0)),"(unmapped)")))))</f>
        <v/>
      </c>
    </row>
    <row r="1518" spans="11:11" x14ac:dyDescent="0.3">
      <c r="K1518" t="str">
        <f>IF($D1518="","",IFERROR(INDEX(Mapping!$H$3:$H$32,MATCH($B1518,Mapping!$G$3:$G$32,0)),IF(LEFT($F1518,3)="P2P",IFERROR(INDEX(Mapping!$E$3:$E$6,MATCH($G1518,Mapping!$D$3:$D$6,0)),IFERROR(INDEX(Mapping!$B$3:$B$13,MATCH($J1518,Mapping!$A$3:$A$13,0)),"(unmapped)")),IFERROR(INDEX(Mapping!$B$17:$B$22,MATCH($F1518,Mapping!$A$17:$A$22,0)),$F1518)&amp;" "&amp;IF($G1518="Banking","Banking",IFERROR(INDEX(Mapping!$E$17:$E$28,MATCH($J1518,Mapping!$D$17:$D$28,0)),"(unmapped)")))))</f>
        <v/>
      </c>
    </row>
    <row r="1519" spans="11:11" x14ac:dyDescent="0.3">
      <c r="K1519" t="str">
        <f>IF($D1519="","",IFERROR(INDEX(Mapping!$H$3:$H$32,MATCH($B1519,Mapping!$G$3:$G$32,0)),IF(LEFT($F1519,3)="P2P",IFERROR(INDEX(Mapping!$E$3:$E$6,MATCH($G1519,Mapping!$D$3:$D$6,0)),IFERROR(INDEX(Mapping!$B$3:$B$13,MATCH($J1519,Mapping!$A$3:$A$13,0)),"(unmapped)")),IFERROR(INDEX(Mapping!$B$17:$B$22,MATCH($F1519,Mapping!$A$17:$A$22,0)),$F1519)&amp;" "&amp;IF($G1519="Banking","Banking",IFERROR(INDEX(Mapping!$E$17:$E$28,MATCH($J1519,Mapping!$D$17:$D$28,0)),"(unmapped)")))))</f>
        <v/>
      </c>
    </row>
    <row r="1520" spans="11:11" x14ac:dyDescent="0.3">
      <c r="K1520" t="str">
        <f>IF($D1520="","",IFERROR(INDEX(Mapping!$H$3:$H$32,MATCH($B1520,Mapping!$G$3:$G$32,0)),IF(LEFT($F1520,3)="P2P",IFERROR(INDEX(Mapping!$E$3:$E$6,MATCH($G1520,Mapping!$D$3:$D$6,0)),IFERROR(INDEX(Mapping!$B$3:$B$13,MATCH($J1520,Mapping!$A$3:$A$13,0)),"(unmapped)")),IFERROR(INDEX(Mapping!$B$17:$B$22,MATCH($F1520,Mapping!$A$17:$A$22,0)),$F1520)&amp;" "&amp;IF($G1520="Banking","Banking",IFERROR(INDEX(Mapping!$E$17:$E$28,MATCH($J1520,Mapping!$D$17:$D$28,0)),"(unmapped)")))))</f>
        <v/>
      </c>
    </row>
    <row r="1521" spans="11:11" x14ac:dyDescent="0.3">
      <c r="K1521" t="str">
        <f>IF($D1521="","",IFERROR(INDEX(Mapping!$H$3:$H$32,MATCH($B1521,Mapping!$G$3:$G$32,0)),IF(LEFT($F1521,3)="P2P",IFERROR(INDEX(Mapping!$E$3:$E$6,MATCH($G1521,Mapping!$D$3:$D$6,0)),IFERROR(INDEX(Mapping!$B$3:$B$13,MATCH($J1521,Mapping!$A$3:$A$13,0)),"(unmapped)")),IFERROR(INDEX(Mapping!$B$17:$B$22,MATCH($F1521,Mapping!$A$17:$A$22,0)),$F1521)&amp;" "&amp;IF($G1521="Banking","Banking",IFERROR(INDEX(Mapping!$E$17:$E$28,MATCH($J1521,Mapping!$D$17:$D$28,0)),"(unmapped)")))))</f>
        <v/>
      </c>
    </row>
    <row r="1522" spans="11:11" x14ac:dyDescent="0.3">
      <c r="K1522" t="str">
        <f>IF($D1522="","",IFERROR(INDEX(Mapping!$H$3:$H$32,MATCH($B1522,Mapping!$G$3:$G$32,0)),IF(LEFT($F1522,3)="P2P",IFERROR(INDEX(Mapping!$E$3:$E$6,MATCH($G1522,Mapping!$D$3:$D$6,0)),IFERROR(INDEX(Mapping!$B$3:$B$13,MATCH($J1522,Mapping!$A$3:$A$13,0)),"(unmapped)")),IFERROR(INDEX(Mapping!$B$17:$B$22,MATCH($F1522,Mapping!$A$17:$A$22,0)),$F1522)&amp;" "&amp;IF($G1522="Banking","Banking",IFERROR(INDEX(Mapping!$E$17:$E$28,MATCH($J1522,Mapping!$D$17:$D$28,0)),"(unmapped)")))))</f>
        <v/>
      </c>
    </row>
    <row r="1523" spans="11:11" x14ac:dyDescent="0.3">
      <c r="K1523" t="str">
        <f>IF($D1523="","",IFERROR(INDEX(Mapping!$H$3:$H$32,MATCH($B1523,Mapping!$G$3:$G$32,0)),IF(LEFT($F1523,3)="P2P",IFERROR(INDEX(Mapping!$E$3:$E$6,MATCH($G1523,Mapping!$D$3:$D$6,0)),IFERROR(INDEX(Mapping!$B$3:$B$13,MATCH($J1523,Mapping!$A$3:$A$13,0)),"(unmapped)")),IFERROR(INDEX(Mapping!$B$17:$B$22,MATCH($F1523,Mapping!$A$17:$A$22,0)),$F1523)&amp;" "&amp;IF($G1523="Banking","Banking",IFERROR(INDEX(Mapping!$E$17:$E$28,MATCH($J1523,Mapping!$D$17:$D$28,0)),"(unmapped)")))))</f>
        <v/>
      </c>
    </row>
    <row r="1524" spans="11:11" x14ac:dyDescent="0.3">
      <c r="K1524" t="str">
        <f>IF($D1524="","",IFERROR(INDEX(Mapping!$H$3:$H$32,MATCH($B1524,Mapping!$G$3:$G$32,0)),IF(LEFT($F1524,3)="P2P",IFERROR(INDEX(Mapping!$E$3:$E$6,MATCH($G1524,Mapping!$D$3:$D$6,0)),IFERROR(INDEX(Mapping!$B$3:$B$13,MATCH($J1524,Mapping!$A$3:$A$13,0)),"(unmapped)")),IFERROR(INDEX(Mapping!$B$17:$B$22,MATCH($F1524,Mapping!$A$17:$A$22,0)),$F1524)&amp;" "&amp;IF($G1524="Banking","Banking",IFERROR(INDEX(Mapping!$E$17:$E$28,MATCH($J1524,Mapping!$D$17:$D$28,0)),"(unmapped)")))))</f>
        <v/>
      </c>
    </row>
    <row r="1525" spans="11:11" x14ac:dyDescent="0.3">
      <c r="K1525" t="str">
        <f>IF($D1525="","",IFERROR(INDEX(Mapping!$H$3:$H$32,MATCH($B1525,Mapping!$G$3:$G$32,0)),IF(LEFT($F1525,3)="P2P",IFERROR(INDEX(Mapping!$E$3:$E$6,MATCH($G1525,Mapping!$D$3:$D$6,0)),IFERROR(INDEX(Mapping!$B$3:$B$13,MATCH($J1525,Mapping!$A$3:$A$13,0)),"(unmapped)")),IFERROR(INDEX(Mapping!$B$17:$B$22,MATCH($F1525,Mapping!$A$17:$A$22,0)),$F1525)&amp;" "&amp;IF($G1525="Banking","Banking",IFERROR(INDEX(Mapping!$E$17:$E$28,MATCH($J1525,Mapping!$D$17:$D$28,0)),"(unmapped)")))))</f>
        <v/>
      </c>
    </row>
    <row r="1526" spans="11:11" x14ac:dyDescent="0.3">
      <c r="K1526" t="str">
        <f>IF($D1526="","",IFERROR(INDEX(Mapping!$H$3:$H$32,MATCH($B1526,Mapping!$G$3:$G$32,0)),IF(LEFT($F1526,3)="P2P",IFERROR(INDEX(Mapping!$E$3:$E$6,MATCH($G1526,Mapping!$D$3:$D$6,0)),IFERROR(INDEX(Mapping!$B$3:$B$13,MATCH($J1526,Mapping!$A$3:$A$13,0)),"(unmapped)")),IFERROR(INDEX(Mapping!$B$17:$B$22,MATCH($F1526,Mapping!$A$17:$A$22,0)),$F1526)&amp;" "&amp;IF($G1526="Banking","Banking",IFERROR(INDEX(Mapping!$E$17:$E$28,MATCH($J1526,Mapping!$D$17:$D$28,0)),"(unmapped)")))))</f>
        <v/>
      </c>
    </row>
    <row r="1527" spans="11:11" x14ac:dyDescent="0.3">
      <c r="K1527" t="str">
        <f>IF($D1527="","",IFERROR(INDEX(Mapping!$H$3:$H$32,MATCH($B1527,Mapping!$G$3:$G$32,0)),IF(LEFT($F1527,3)="P2P",IFERROR(INDEX(Mapping!$E$3:$E$6,MATCH($G1527,Mapping!$D$3:$D$6,0)),IFERROR(INDEX(Mapping!$B$3:$B$13,MATCH($J1527,Mapping!$A$3:$A$13,0)),"(unmapped)")),IFERROR(INDEX(Mapping!$B$17:$B$22,MATCH($F1527,Mapping!$A$17:$A$22,0)),$F1527)&amp;" "&amp;IF($G1527="Banking","Banking",IFERROR(INDEX(Mapping!$E$17:$E$28,MATCH($J1527,Mapping!$D$17:$D$28,0)),"(unmapped)")))))</f>
        <v/>
      </c>
    </row>
    <row r="1528" spans="11:11" x14ac:dyDescent="0.3">
      <c r="K1528" t="str">
        <f>IF($D1528="","",IFERROR(INDEX(Mapping!$H$3:$H$32,MATCH($B1528,Mapping!$G$3:$G$32,0)),IF(LEFT($F1528,3)="P2P",IFERROR(INDEX(Mapping!$E$3:$E$6,MATCH($G1528,Mapping!$D$3:$D$6,0)),IFERROR(INDEX(Mapping!$B$3:$B$13,MATCH($J1528,Mapping!$A$3:$A$13,0)),"(unmapped)")),IFERROR(INDEX(Mapping!$B$17:$B$22,MATCH($F1528,Mapping!$A$17:$A$22,0)),$F1528)&amp;" "&amp;IF($G1528="Banking","Banking",IFERROR(INDEX(Mapping!$E$17:$E$28,MATCH($J1528,Mapping!$D$17:$D$28,0)),"(unmapped)")))))</f>
        <v/>
      </c>
    </row>
    <row r="1529" spans="11:11" x14ac:dyDescent="0.3">
      <c r="K1529" t="str">
        <f>IF($D1529="","",IFERROR(INDEX(Mapping!$H$3:$H$32,MATCH($B1529,Mapping!$G$3:$G$32,0)),IF(LEFT($F1529,3)="P2P",IFERROR(INDEX(Mapping!$E$3:$E$6,MATCH($G1529,Mapping!$D$3:$D$6,0)),IFERROR(INDEX(Mapping!$B$3:$B$13,MATCH($J1529,Mapping!$A$3:$A$13,0)),"(unmapped)")),IFERROR(INDEX(Mapping!$B$17:$B$22,MATCH($F1529,Mapping!$A$17:$A$22,0)),$F1529)&amp;" "&amp;IF($G1529="Banking","Banking",IFERROR(INDEX(Mapping!$E$17:$E$28,MATCH($J1529,Mapping!$D$17:$D$28,0)),"(unmapped)")))))</f>
        <v/>
      </c>
    </row>
    <row r="1530" spans="11:11" x14ac:dyDescent="0.3">
      <c r="K1530" t="str">
        <f>IF($D1530="","",IFERROR(INDEX(Mapping!$H$3:$H$32,MATCH($B1530,Mapping!$G$3:$G$32,0)),IF(LEFT($F1530,3)="P2P",IFERROR(INDEX(Mapping!$E$3:$E$6,MATCH($G1530,Mapping!$D$3:$D$6,0)),IFERROR(INDEX(Mapping!$B$3:$B$13,MATCH($J1530,Mapping!$A$3:$A$13,0)),"(unmapped)")),IFERROR(INDEX(Mapping!$B$17:$B$22,MATCH($F1530,Mapping!$A$17:$A$22,0)),$F1530)&amp;" "&amp;IF($G1530="Banking","Banking",IFERROR(INDEX(Mapping!$E$17:$E$28,MATCH($J1530,Mapping!$D$17:$D$28,0)),"(unmapped)")))))</f>
        <v/>
      </c>
    </row>
    <row r="1531" spans="11:11" x14ac:dyDescent="0.3">
      <c r="K1531" t="str">
        <f>IF($D1531="","",IFERROR(INDEX(Mapping!$H$3:$H$32,MATCH($B1531,Mapping!$G$3:$G$32,0)),IF(LEFT($F1531,3)="P2P",IFERROR(INDEX(Mapping!$E$3:$E$6,MATCH($G1531,Mapping!$D$3:$D$6,0)),IFERROR(INDEX(Mapping!$B$3:$B$13,MATCH($J1531,Mapping!$A$3:$A$13,0)),"(unmapped)")),IFERROR(INDEX(Mapping!$B$17:$B$22,MATCH($F1531,Mapping!$A$17:$A$22,0)),$F1531)&amp;" "&amp;IF($G1531="Banking","Banking",IFERROR(INDEX(Mapping!$E$17:$E$28,MATCH($J1531,Mapping!$D$17:$D$28,0)),"(unmapped)")))))</f>
        <v/>
      </c>
    </row>
    <row r="1532" spans="11:11" x14ac:dyDescent="0.3">
      <c r="K1532" t="str">
        <f>IF($D1532="","",IFERROR(INDEX(Mapping!$H$3:$H$32,MATCH($B1532,Mapping!$G$3:$G$32,0)),IF(LEFT($F1532,3)="P2P",IFERROR(INDEX(Mapping!$E$3:$E$6,MATCH($G1532,Mapping!$D$3:$D$6,0)),IFERROR(INDEX(Mapping!$B$3:$B$13,MATCH($J1532,Mapping!$A$3:$A$13,0)),"(unmapped)")),IFERROR(INDEX(Mapping!$B$17:$B$22,MATCH($F1532,Mapping!$A$17:$A$22,0)),$F1532)&amp;" "&amp;IF($G1532="Banking","Banking",IFERROR(INDEX(Mapping!$E$17:$E$28,MATCH($J1532,Mapping!$D$17:$D$28,0)),"(unmapped)")))))</f>
        <v/>
      </c>
    </row>
    <row r="1533" spans="11:11" x14ac:dyDescent="0.3">
      <c r="K1533" t="str">
        <f>IF($D1533="","",IFERROR(INDEX(Mapping!$H$3:$H$32,MATCH($B1533,Mapping!$G$3:$G$32,0)),IF(LEFT($F1533,3)="P2P",IFERROR(INDEX(Mapping!$E$3:$E$6,MATCH($G1533,Mapping!$D$3:$D$6,0)),IFERROR(INDEX(Mapping!$B$3:$B$13,MATCH($J1533,Mapping!$A$3:$A$13,0)),"(unmapped)")),IFERROR(INDEX(Mapping!$B$17:$B$22,MATCH($F1533,Mapping!$A$17:$A$22,0)),$F1533)&amp;" "&amp;IF($G1533="Banking","Banking",IFERROR(INDEX(Mapping!$E$17:$E$28,MATCH($J1533,Mapping!$D$17:$D$28,0)),"(unmapped)")))))</f>
        <v/>
      </c>
    </row>
    <row r="1534" spans="11:11" x14ac:dyDescent="0.3">
      <c r="K1534" t="str">
        <f>IF($D1534="","",IFERROR(INDEX(Mapping!$H$3:$H$32,MATCH($B1534,Mapping!$G$3:$G$32,0)),IF(LEFT($F1534,3)="P2P",IFERROR(INDEX(Mapping!$E$3:$E$6,MATCH($G1534,Mapping!$D$3:$D$6,0)),IFERROR(INDEX(Mapping!$B$3:$B$13,MATCH($J1534,Mapping!$A$3:$A$13,0)),"(unmapped)")),IFERROR(INDEX(Mapping!$B$17:$B$22,MATCH($F1534,Mapping!$A$17:$A$22,0)),$F1534)&amp;" "&amp;IF($G1534="Banking","Banking",IFERROR(INDEX(Mapping!$E$17:$E$28,MATCH($J1534,Mapping!$D$17:$D$28,0)),"(unmapped)")))))</f>
        <v/>
      </c>
    </row>
    <row r="1535" spans="11:11" x14ac:dyDescent="0.3">
      <c r="K1535" t="str">
        <f>IF($D1535="","",IFERROR(INDEX(Mapping!$H$3:$H$32,MATCH($B1535,Mapping!$G$3:$G$32,0)),IF(LEFT($F1535,3)="P2P",IFERROR(INDEX(Mapping!$E$3:$E$6,MATCH($G1535,Mapping!$D$3:$D$6,0)),IFERROR(INDEX(Mapping!$B$3:$B$13,MATCH($J1535,Mapping!$A$3:$A$13,0)),"(unmapped)")),IFERROR(INDEX(Mapping!$B$17:$B$22,MATCH($F1535,Mapping!$A$17:$A$22,0)),$F1535)&amp;" "&amp;IF($G1535="Banking","Banking",IFERROR(INDEX(Mapping!$E$17:$E$28,MATCH($J1535,Mapping!$D$17:$D$28,0)),"(unmapped)")))))</f>
        <v/>
      </c>
    </row>
    <row r="1536" spans="11:11" x14ac:dyDescent="0.3">
      <c r="K1536" t="str">
        <f>IF($D1536="","",IFERROR(INDEX(Mapping!$H$3:$H$32,MATCH($B1536,Mapping!$G$3:$G$32,0)),IF(LEFT($F1536,3)="P2P",IFERROR(INDEX(Mapping!$E$3:$E$6,MATCH($G1536,Mapping!$D$3:$D$6,0)),IFERROR(INDEX(Mapping!$B$3:$B$13,MATCH($J1536,Mapping!$A$3:$A$13,0)),"(unmapped)")),IFERROR(INDEX(Mapping!$B$17:$B$22,MATCH($F1536,Mapping!$A$17:$A$22,0)),$F1536)&amp;" "&amp;IF($G1536="Banking","Banking",IFERROR(INDEX(Mapping!$E$17:$E$28,MATCH($J1536,Mapping!$D$17:$D$28,0)),"(unmapped)")))))</f>
        <v/>
      </c>
    </row>
    <row r="1537" spans="11:11" x14ac:dyDescent="0.3">
      <c r="K1537" t="str">
        <f>IF($D1537="","",IFERROR(INDEX(Mapping!$H$3:$H$32,MATCH($B1537,Mapping!$G$3:$G$32,0)),IF(LEFT($F1537,3)="P2P",IFERROR(INDEX(Mapping!$E$3:$E$6,MATCH($G1537,Mapping!$D$3:$D$6,0)),IFERROR(INDEX(Mapping!$B$3:$B$13,MATCH($J1537,Mapping!$A$3:$A$13,0)),"(unmapped)")),IFERROR(INDEX(Mapping!$B$17:$B$22,MATCH($F1537,Mapping!$A$17:$A$22,0)),$F1537)&amp;" "&amp;IF($G1537="Banking","Banking",IFERROR(INDEX(Mapping!$E$17:$E$28,MATCH($J1537,Mapping!$D$17:$D$28,0)),"(unmapped)")))))</f>
        <v/>
      </c>
    </row>
    <row r="1538" spans="11:11" x14ac:dyDescent="0.3">
      <c r="K1538" t="str">
        <f>IF($D1538="","",IFERROR(INDEX(Mapping!$H$3:$H$32,MATCH($B1538,Mapping!$G$3:$G$32,0)),IF(LEFT($F1538,3)="P2P",IFERROR(INDEX(Mapping!$E$3:$E$6,MATCH($G1538,Mapping!$D$3:$D$6,0)),IFERROR(INDEX(Mapping!$B$3:$B$13,MATCH($J1538,Mapping!$A$3:$A$13,0)),"(unmapped)")),IFERROR(INDEX(Mapping!$B$17:$B$22,MATCH($F1538,Mapping!$A$17:$A$22,0)),$F1538)&amp;" "&amp;IF($G1538="Banking","Banking",IFERROR(INDEX(Mapping!$E$17:$E$28,MATCH($J1538,Mapping!$D$17:$D$28,0)),"(unmapped)")))))</f>
        <v/>
      </c>
    </row>
    <row r="1539" spans="11:11" x14ac:dyDescent="0.3">
      <c r="K1539" t="str">
        <f>IF($D1539="","",IFERROR(INDEX(Mapping!$H$3:$H$32,MATCH($B1539,Mapping!$G$3:$G$32,0)),IF(LEFT($F1539,3)="P2P",IFERROR(INDEX(Mapping!$E$3:$E$6,MATCH($G1539,Mapping!$D$3:$D$6,0)),IFERROR(INDEX(Mapping!$B$3:$B$13,MATCH($J1539,Mapping!$A$3:$A$13,0)),"(unmapped)")),IFERROR(INDEX(Mapping!$B$17:$B$22,MATCH($F1539,Mapping!$A$17:$A$22,0)),$F1539)&amp;" "&amp;IF($G1539="Banking","Banking",IFERROR(INDEX(Mapping!$E$17:$E$28,MATCH($J1539,Mapping!$D$17:$D$28,0)),"(unmapped)")))))</f>
        <v/>
      </c>
    </row>
    <row r="1540" spans="11:11" x14ac:dyDescent="0.3">
      <c r="K1540" t="str">
        <f>IF($D1540="","",IFERROR(INDEX(Mapping!$H$3:$H$32,MATCH($B1540,Mapping!$G$3:$G$32,0)),IF(LEFT($F1540,3)="P2P",IFERROR(INDEX(Mapping!$E$3:$E$6,MATCH($G1540,Mapping!$D$3:$D$6,0)),IFERROR(INDEX(Mapping!$B$3:$B$13,MATCH($J1540,Mapping!$A$3:$A$13,0)),"(unmapped)")),IFERROR(INDEX(Mapping!$B$17:$B$22,MATCH($F1540,Mapping!$A$17:$A$22,0)),$F1540)&amp;" "&amp;IF($G1540="Banking","Banking",IFERROR(INDEX(Mapping!$E$17:$E$28,MATCH($J1540,Mapping!$D$17:$D$28,0)),"(unmapped)")))))</f>
        <v/>
      </c>
    </row>
    <row r="1541" spans="11:11" x14ac:dyDescent="0.3">
      <c r="K1541" t="str">
        <f>IF($D1541="","",IFERROR(INDEX(Mapping!$H$3:$H$32,MATCH($B1541,Mapping!$G$3:$G$32,0)),IF(LEFT($F1541,3)="P2P",IFERROR(INDEX(Mapping!$E$3:$E$6,MATCH($G1541,Mapping!$D$3:$D$6,0)),IFERROR(INDEX(Mapping!$B$3:$B$13,MATCH($J1541,Mapping!$A$3:$A$13,0)),"(unmapped)")),IFERROR(INDEX(Mapping!$B$17:$B$22,MATCH($F1541,Mapping!$A$17:$A$22,0)),$F1541)&amp;" "&amp;IF($G1541="Banking","Banking",IFERROR(INDEX(Mapping!$E$17:$E$28,MATCH($J1541,Mapping!$D$17:$D$28,0)),"(unmapped)")))))</f>
        <v/>
      </c>
    </row>
    <row r="1542" spans="11:11" x14ac:dyDescent="0.3">
      <c r="K1542" t="str">
        <f>IF($D1542="","",IFERROR(INDEX(Mapping!$H$3:$H$32,MATCH($B1542,Mapping!$G$3:$G$32,0)),IF(LEFT($F1542,3)="P2P",IFERROR(INDEX(Mapping!$E$3:$E$6,MATCH($G1542,Mapping!$D$3:$D$6,0)),IFERROR(INDEX(Mapping!$B$3:$B$13,MATCH($J1542,Mapping!$A$3:$A$13,0)),"(unmapped)")),IFERROR(INDEX(Mapping!$B$17:$B$22,MATCH($F1542,Mapping!$A$17:$A$22,0)),$F1542)&amp;" "&amp;IF($G1542="Banking","Banking",IFERROR(INDEX(Mapping!$E$17:$E$28,MATCH($J1542,Mapping!$D$17:$D$28,0)),"(unmapped)")))))</f>
        <v/>
      </c>
    </row>
    <row r="1543" spans="11:11" x14ac:dyDescent="0.3">
      <c r="K1543" t="str">
        <f>IF($D1543="","",IFERROR(INDEX(Mapping!$H$3:$H$32,MATCH($B1543,Mapping!$G$3:$G$32,0)),IF(LEFT($F1543,3)="P2P",IFERROR(INDEX(Mapping!$E$3:$E$6,MATCH($G1543,Mapping!$D$3:$D$6,0)),IFERROR(INDEX(Mapping!$B$3:$B$13,MATCH($J1543,Mapping!$A$3:$A$13,0)),"(unmapped)")),IFERROR(INDEX(Mapping!$B$17:$B$22,MATCH($F1543,Mapping!$A$17:$A$22,0)),$F1543)&amp;" "&amp;IF($G1543="Banking","Banking",IFERROR(INDEX(Mapping!$E$17:$E$28,MATCH($J1543,Mapping!$D$17:$D$28,0)),"(unmapped)")))))</f>
        <v/>
      </c>
    </row>
    <row r="1544" spans="11:11" x14ac:dyDescent="0.3">
      <c r="K1544" t="str">
        <f>IF($D1544="","",IFERROR(INDEX(Mapping!$H$3:$H$32,MATCH($B1544,Mapping!$G$3:$G$32,0)),IF(LEFT($F1544,3)="P2P",IFERROR(INDEX(Mapping!$E$3:$E$6,MATCH($G1544,Mapping!$D$3:$D$6,0)),IFERROR(INDEX(Mapping!$B$3:$B$13,MATCH($J1544,Mapping!$A$3:$A$13,0)),"(unmapped)")),IFERROR(INDEX(Mapping!$B$17:$B$22,MATCH($F1544,Mapping!$A$17:$A$22,0)),$F1544)&amp;" "&amp;IF($G1544="Banking","Banking",IFERROR(INDEX(Mapping!$E$17:$E$28,MATCH($J1544,Mapping!$D$17:$D$28,0)),"(unmapped)")))))</f>
        <v/>
      </c>
    </row>
    <row r="1545" spans="11:11" x14ac:dyDescent="0.3">
      <c r="K1545" t="str">
        <f>IF($D1545="","",IFERROR(INDEX(Mapping!$H$3:$H$32,MATCH($B1545,Mapping!$G$3:$G$32,0)),IF(LEFT($F1545,3)="P2P",IFERROR(INDEX(Mapping!$E$3:$E$6,MATCH($G1545,Mapping!$D$3:$D$6,0)),IFERROR(INDEX(Mapping!$B$3:$B$13,MATCH($J1545,Mapping!$A$3:$A$13,0)),"(unmapped)")),IFERROR(INDEX(Mapping!$B$17:$B$22,MATCH($F1545,Mapping!$A$17:$A$22,0)),$F1545)&amp;" "&amp;IF($G1545="Banking","Banking",IFERROR(INDEX(Mapping!$E$17:$E$28,MATCH($J1545,Mapping!$D$17:$D$28,0)),"(unmapped)")))))</f>
        <v/>
      </c>
    </row>
    <row r="1546" spans="11:11" x14ac:dyDescent="0.3">
      <c r="K1546" t="str">
        <f>IF($D1546="","",IFERROR(INDEX(Mapping!$H$3:$H$32,MATCH($B1546,Mapping!$G$3:$G$32,0)),IF(LEFT($F1546,3)="P2P",IFERROR(INDEX(Mapping!$E$3:$E$6,MATCH($G1546,Mapping!$D$3:$D$6,0)),IFERROR(INDEX(Mapping!$B$3:$B$13,MATCH($J1546,Mapping!$A$3:$A$13,0)),"(unmapped)")),IFERROR(INDEX(Mapping!$B$17:$B$22,MATCH($F1546,Mapping!$A$17:$A$22,0)),$F1546)&amp;" "&amp;IF($G1546="Banking","Banking",IFERROR(INDEX(Mapping!$E$17:$E$28,MATCH($J1546,Mapping!$D$17:$D$28,0)),"(unmapped)")))))</f>
        <v/>
      </c>
    </row>
    <row r="1547" spans="11:11" x14ac:dyDescent="0.3">
      <c r="K1547" t="str">
        <f>IF($D1547="","",IFERROR(INDEX(Mapping!$H$3:$H$32,MATCH($B1547,Mapping!$G$3:$G$32,0)),IF(LEFT($F1547,3)="P2P",IFERROR(INDEX(Mapping!$E$3:$E$6,MATCH($G1547,Mapping!$D$3:$D$6,0)),IFERROR(INDEX(Mapping!$B$3:$B$13,MATCH($J1547,Mapping!$A$3:$A$13,0)),"(unmapped)")),IFERROR(INDEX(Mapping!$B$17:$B$22,MATCH($F1547,Mapping!$A$17:$A$22,0)),$F1547)&amp;" "&amp;IF($G1547="Banking","Banking",IFERROR(INDEX(Mapping!$E$17:$E$28,MATCH($J1547,Mapping!$D$17:$D$28,0)),"(unmapped)")))))</f>
        <v/>
      </c>
    </row>
    <row r="1548" spans="11:11" x14ac:dyDescent="0.3">
      <c r="K1548" t="str">
        <f>IF($D1548="","",IFERROR(INDEX(Mapping!$H$3:$H$32,MATCH($B1548,Mapping!$G$3:$G$32,0)),IF(LEFT($F1548,3)="P2P",IFERROR(INDEX(Mapping!$E$3:$E$6,MATCH($G1548,Mapping!$D$3:$D$6,0)),IFERROR(INDEX(Mapping!$B$3:$B$13,MATCH($J1548,Mapping!$A$3:$A$13,0)),"(unmapped)")),IFERROR(INDEX(Mapping!$B$17:$B$22,MATCH($F1548,Mapping!$A$17:$A$22,0)),$F1548)&amp;" "&amp;IF($G1548="Banking","Banking",IFERROR(INDEX(Mapping!$E$17:$E$28,MATCH($J1548,Mapping!$D$17:$D$28,0)),"(unmapped)")))))</f>
        <v/>
      </c>
    </row>
    <row r="1549" spans="11:11" x14ac:dyDescent="0.3">
      <c r="K1549" t="str">
        <f>IF($D1549="","",IFERROR(INDEX(Mapping!$H$3:$H$32,MATCH($B1549,Mapping!$G$3:$G$32,0)),IF(LEFT($F1549,3)="P2P",IFERROR(INDEX(Mapping!$E$3:$E$6,MATCH($G1549,Mapping!$D$3:$D$6,0)),IFERROR(INDEX(Mapping!$B$3:$B$13,MATCH($J1549,Mapping!$A$3:$A$13,0)),"(unmapped)")),IFERROR(INDEX(Mapping!$B$17:$B$22,MATCH($F1549,Mapping!$A$17:$A$22,0)),$F1549)&amp;" "&amp;IF($G1549="Banking","Banking",IFERROR(INDEX(Mapping!$E$17:$E$28,MATCH($J1549,Mapping!$D$17:$D$28,0)),"(unmapped)")))))</f>
        <v/>
      </c>
    </row>
    <row r="1550" spans="11:11" x14ac:dyDescent="0.3">
      <c r="K1550" t="str">
        <f>IF($D1550="","",IFERROR(INDEX(Mapping!$H$3:$H$32,MATCH($B1550,Mapping!$G$3:$G$32,0)),IF(LEFT($F1550,3)="P2P",IFERROR(INDEX(Mapping!$E$3:$E$6,MATCH($G1550,Mapping!$D$3:$D$6,0)),IFERROR(INDEX(Mapping!$B$3:$B$13,MATCH($J1550,Mapping!$A$3:$A$13,0)),"(unmapped)")),IFERROR(INDEX(Mapping!$B$17:$B$22,MATCH($F1550,Mapping!$A$17:$A$22,0)),$F1550)&amp;" "&amp;IF($G1550="Banking","Banking",IFERROR(INDEX(Mapping!$E$17:$E$28,MATCH($J1550,Mapping!$D$17:$D$28,0)),"(unmapped)")))))</f>
        <v/>
      </c>
    </row>
    <row r="1551" spans="11:11" x14ac:dyDescent="0.3">
      <c r="K1551" t="str">
        <f>IF($D1551="","",IFERROR(INDEX(Mapping!$H$3:$H$32,MATCH($B1551,Mapping!$G$3:$G$32,0)),IF(LEFT($F1551,3)="P2P",IFERROR(INDEX(Mapping!$E$3:$E$6,MATCH($G1551,Mapping!$D$3:$D$6,0)),IFERROR(INDEX(Mapping!$B$3:$B$13,MATCH($J1551,Mapping!$A$3:$A$13,0)),"(unmapped)")),IFERROR(INDEX(Mapping!$B$17:$B$22,MATCH($F1551,Mapping!$A$17:$A$22,0)),$F1551)&amp;" "&amp;IF($G1551="Banking","Banking",IFERROR(INDEX(Mapping!$E$17:$E$28,MATCH($J1551,Mapping!$D$17:$D$28,0)),"(unmapped)")))))</f>
        <v/>
      </c>
    </row>
    <row r="1552" spans="11:11" x14ac:dyDescent="0.3">
      <c r="K1552" t="str">
        <f>IF($D1552="","",IFERROR(INDEX(Mapping!$H$3:$H$32,MATCH($B1552,Mapping!$G$3:$G$32,0)),IF(LEFT($F1552,3)="P2P",IFERROR(INDEX(Mapping!$E$3:$E$6,MATCH($G1552,Mapping!$D$3:$D$6,0)),IFERROR(INDEX(Mapping!$B$3:$B$13,MATCH($J1552,Mapping!$A$3:$A$13,0)),"(unmapped)")),IFERROR(INDEX(Mapping!$B$17:$B$22,MATCH($F1552,Mapping!$A$17:$A$22,0)),$F1552)&amp;" "&amp;IF($G1552="Banking","Banking",IFERROR(INDEX(Mapping!$E$17:$E$28,MATCH($J1552,Mapping!$D$17:$D$28,0)),"(unmapped)")))))</f>
        <v/>
      </c>
    </row>
    <row r="1553" spans="11:11" x14ac:dyDescent="0.3">
      <c r="K1553" t="str">
        <f>IF($D1553="","",IFERROR(INDEX(Mapping!$H$3:$H$32,MATCH($B1553,Mapping!$G$3:$G$32,0)),IF(LEFT($F1553,3)="P2P",IFERROR(INDEX(Mapping!$E$3:$E$6,MATCH($G1553,Mapping!$D$3:$D$6,0)),IFERROR(INDEX(Mapping!$B$3:$B$13,MATCH($J1553,Mapping!$A$3:$A$13,0)),"(unmapped)")),IFERROR(INDEX(Mapping!$B$17:$B$22,MATCH($F1553,Mapping!$A$17:$A$22,0)),$F1553)&amp;" "&amp;IF($G1553="Banking","Banking",IFERROR(INDEX(Mapping!$E$17:$E$28,MATCH($J1553,Mapping!$D$17:$D$28,0)),"(unmapped)")))))</f>
        <v/>
      </c>
    </row>
    <row r="1554" spans="11:11" x14ac:dyDescent="0.3">
      <c r="K1554" t="str">
        <f>IF($D1554="","",IFERROR(INDEX(Mapping!$H$3:$H$32,MATCH($B1554,Mapping!$G$3:$G$32,0)),IF(LEFT($F1554,3)="P2P",IFERROR(INDEX(Mapping!$E$3:$E$6,MATCH($G1554,Mapping!$D$3:$D$6,0)),IFERROR(INDEX(Mapping!$B$3:$B$13,MATCH($J1554,Mapping!$A$3:$A$13,0)),"(unmapped)")),IFERROR(INDEX(Mapping!$B$17:$B$22,MATCH($F1554,Mapping!$A$17:$A$22,0)),$F1554)&amp;" "&amp;IF($G1554="Banking","Banking",IFERROR(INDEX(Mapping!$E$17:$E$28,MATCH($J1554,Mapping!$D$17:$D$28,0)),"(unmapped)")))))</f>
        <v/>
      </c>
    </row>
    <row r="1555" spans="11:11" x14ac:dyDescent="0.3">
      <c r="K1555" t="str">
        <f>IF($D1555="","",IFERROR(INDEX(Mapping!$H$3:$H$32,MATCH($B1555,Mapping!$G$3:$G$32,0)),IF(LEFT($F1555,3)="P2P",IFERROR(INDEX(Mapping!$E$3:$E$6,MATCH($G1555,Mapping!$D$3:$D$6,0)),IFERROR(INDEX(Mapping!$B$3:$B$13,MATCH($J1555,Mapping!$A$3:$A$13,0)),"(unmapped)")),IFERROR(INDEX(Mapping!$B$17:$B$22,MATCH($F1555,Mapping!$A$17:$A$22,0)),$F1555)&amp;" "&amp;IF($G1555="Banking","Banking",IFERROR(INDEX(Mapping!$E$17:$E$28,MATCH($J1555,Mapping!$D$17:$D$28,0)),"(unmapped)")))))</f>
        <v/>
      </c>
    </row>
    <row r="1556" spans="11:11" x14ac:dyDescent="0.3">
      <c r="K1556" t="str">
        <f>IF($D1556="","",IFERROR(INDEX(Mapping!$H$3:$H$32,MATCH($B1556,Mapping!$G$3:$G$32,0)),IF(LEFT($F1556,3)="P2P",IFERROR(INDEX(Mapping!$E$3:$E$6,MATCH($G1556,Mapping!$D$3:$D$6,0)),IFERROR(INDEX(Mapping!$B$3:$B$13,MATCH($J1556,Mapping!$A$3:$A$13,0)),"(unmapped)")),IFERROR(INDEX(Mapping!$B$17:$B$22,MATCH($F1556,Mapping!$A$17:$A$22,0)),$F1556)&amp;" "&amp;IF($G1556="Banking","Banking",IFERROR(INDEX(Mapping!$E$17:$E$28,MATCH($J1556,Mapping!$D$17:$D$28,0)),"(unmapped)")))))</f>
        <v/>
      </c>
    </row>
    <row r="1557" spans="11:11" x14ac:dyDescent="0.3">
      <c r="K1557" t="str">
        <f>IF($D1557="","",IFERROR(INDEX(Mapping!$H$3:$H$32,MATCH($B1557,Mapping!$G$3:$G$32,0)),IF(LEFT($F1557,3)="P2P",IFERROR(INDEX(Mapping!$E$3:$E$6,MATCH($G1557,Mapping!$D$3:$D$6,0)),IFERROR(INDEX(Mapping!$B$3:$B$13,MATCH($J1557,Mapping!$A$3:$A$13,0)),"(unmapped)")),IFERROR(INDEX(Mapping!$B$17:$B$22,MATCH($F1557,Mapping!$A$17:$A$22,0)),$F1557)&amp;" "&amp;IF($G1557="Banking","Banking",IFERROR(INDEX(Mapping!$E$17:$E$28,MATCH($J1557,Mapping!$D$17:$D$28,0)),"(unmapped)")))))</f>
        <v/>
      </c>
    </row>
    <row r="1558" spans="11:11" x14ac:dyDescent="0.3">
      <c r="K1558" t="str">
        <f>IF($D1558="","",IFERROR(INDEX(Mapping!$H$3:$H$32,MATCH($B1558,Mapping!$G$3:$G$32,0)),IF(LEFT($F1558,3)="P2P",IFERROR(INDEX(Mapping!$E$3:$E$6,MATCH($G1558,Mapping!$D$3:$D$6,0)),IFERROR(INDEX(Mapping!$B$3:$B$13,MATCH($J1558,Mapping!$A$3:$A$13,0)),"(unmapped)")),IFERROR(INDEX(Mapping!$B$17:$B$22,MATCH($F1558,Mapping!$A$17:$A$22,0)),$F1558)&amp;" "&amp;IF($G1558="Banking","Banking",IFERROR(INDEX(Mapping!$E$17:$E$28,MATCH($J1558,Mapping!$D$17:$D$28,0)),"(unmapped)")))))</f>
        <v/>
      </c>
    </row>
    <row r="1559" spans="11:11" x14ac:dyDescent="0.3">
      <c r="K1559" t="str">
        <f>IF($D1559="","",IFERROR(INDEX(Mapping!$H$3:$H$32,MATCH($B1559,Mapping!$G$3:$G$32,0)),IF(LEFT($F1559,3)="P2P",IFERROR(INDEX(Mapping!$E$3:$E$6,MATCH($G1559,Mapping!$D$3:$D$6,0)),IFERROR(INDEX(Mapping!$B$3:$B$13,MATCH($J1559,Mapping!$A$3:$A$13,0)),"(unmapped)")),IFERROR(INDEX(Mapping!$B$17:$B$22,MATCH($F1559,Mapping!$A$17:$A$22,0)),$F1559)&amp;" "&amp;IF($G1559="Banking","Banking",IFERROR(INDEX(Mapping!$E$17:$E$28,MATCH($J1559,Mapping!$D$17:$D$28,0)),"(unmapped)")))))</f>
        <v/>
      </c>
    </row>
    <row r="1560" spans="11:11" x14ac:dyDescent="0.3">
      <c r="K1560" t="str">
        <f>IF($D1560="","",IFERROR(INDEX(Mapping!$H$3:$H$32,MATCH($B1560,Mapping!$G$3:$G$32,0)),IF(LEFT($F1560,3)="P2P",IFERROR(INDEX(Mapping!$E$3:$E$6,MATCH($G1560,Mapping!$D$3:$D$6,0)),IFERROR(INDEX(Mapping!$B$3:$B$13,MATCH($J1560,Mapping!$A$3:$A$13,0)),"(unmapped)")),IFERROR(INDEX(Mapping!$B$17:$B$22,MATCH($F1560,Mapping!$A$17:$A$22,0)),$F1560)&amp;" "&amp;IF($G1560="Banking","Banking",IFERROR(INDEX(Mapping!$E$17:$E$28,MATCH($J1560,Mapping!$D$17:$D$28,0)),"(unmapped)")))))</f>
        <v/>
      </c>
    </row>
    <row r="1561" spans="11:11" x14ac:dyDescent="0.3">
      <c r="K1561" t="str">
        <f>IF($D1561="","",IFERROR(INDEX(Mapping!$H$3:$H$32,MATCH($B1561,Mapping!$G$3:$G$32,0)),IF(LEFT($F1561,3)="P2P",IFERROR(INDEX(Mapping!$E$3:$E$6,MATCH($G1561,Mapping!$D$3:$D$6,0)),IFERROR(INDEX(Mapping!$B$3:$B$13,MATCH($J1561,Mapping!$A$3:$A$13,0)),"(unmapped)")),IFERROR(INDEX(Mapping!$B$17:$B$22,MATCH($F1561,Mapping!$A$17:$A$22,0)),$F1561)&amp;" "&amp;IF($G1561="Banking","Banking",IFERROR(INDEX(Mapping!$E$17:$E$28,MATCH($J1561,Mapping!$D$17:$D$28,0)),"(unmapped)")))))</f>
        <v/>
      </c>
    </row>
    <row r="1562" spans="11:11" x14ac:dyDescent="0.3">
      <c r="K1562" t="str">
        <f>IF($D1562="","",IFERROR(INDEX(Mapping!$H$3:$H$32,MATCH($B1562,Mapping!$G$3:$G$32,0)),IF(LEFT($F1562,3)="P2P",IFERROR(INDEX(Mapping!$E$3:$E$6,MATCH($G1562,Mapping!$D$3:$D$6,0)),IFERROR(INDEX(Mapping!$B$3:$B$13,MATCH($J1562,Mapping!$A$3:$A$13,0)),"(unmapped)")),IFERROR(INDEX(Mapping!$B$17:$B$22,MATCH($F1562,Mapping!$A$17:$A$22,0)),$F1562)&amp;" "&amp;IF($G1562="Banking","Banking",IFERROR(INDEX(Mapping!$E$17:$E$28,MATCH($J1562,Mapping!$D$17:$D$28,0)),"(unmapped)")))))</f>
        <v/>
      </c>
    </row>
    <row r="1563" spans="11:11" x14ac:dyDescent="0.3">
      <c r="K1563" t="str">
        <f>IF($D1563="","",IFERROR(INDEX(Mapping!$H$3:$H$32,MATCH($B1563,Mapping!$G$3:$G$32,0)),IF(LEFT($F1563,3)="P2P",IFERROR(INDEX(Mapping!$E$3:$E$6,MATCH($G1563,Mapping!$D$3:$D$6,0)),IFERROR(INDEX(Mapping!$B$3:$B$13,MATCH($J1563,Mapping!$A$3:$A$13,0)),"(unmapped)")),IFERROR(INDEX(Mapping!$B$17:$B$22,MATCH($F1563,Mapping!$A$17:$A$22,0)),$F1563)&amp;" "&amp;IF($G1563="Banking","Banking",IFERROR(INDEX(Mapping!$E$17:$E$28,MATCH($J1563,Mapping!$D$17:$D$28,0)),"(unmapped)")))))</f>
        <v/>
      </c>
    </row>
    <row r="1564" spans="11:11" x14ac:dyDescent="0.3">
      <c r="K1564" t="str">
        <f>IF($D1564="","",IFERROR(INDEX(Mapping!$H$3:$H$32,MATCH($B1564,Mapping!$G$3:$G$32,0)),IF(LEFT($F1564,3)="P2P",IFERROR(INDEX(Mapping!$E$3:$E$6,MATCH($G1564,Mapping!$D$3:$D$6,0)),IFERROR(INDEX(Mapping!$B$3:$B$13,MATCH($J1564,Mapping!$A$3:$A$13,0)),"(unmapped)")),IFERROR(INDEX(Mapping!$B$17:$B$22,MATCH($F1564,Mapping!$A$17:$A$22,0)),$F1564)&amp;" "&amp;IF($G1564="Banking","Banking",IFERROR(INDEX(Mapping!$E$17:$E$28,MATCH($J1564,Mapping!$D$17:$D$28,0)),"(unmapped)")))))</f>
        <v/>
      </c>
    </row>
    <row r="1565" spans="11:11" x14ac:dyDescent="0.3">
      <c r="K1565" t="str">
        <f>IF($D1565="","",IFERROR(INDEX(Mapping!$H$3:$H$32,MATCH($B1565,Mapping!$G$3:$G$32,0)),IF(LEFT($F1565,3)="P2P",IFERROR(INDEX(Mapping!$E$3:$E$6,MATCH($G1565,Mapping!$D$3:$D$6,0)),IFERROR(INDEX(Mapping!$B$3:$B$13,MATCH($J1565,Mapping!$A$3:$A$13,0)),"(unmapped)")),IFERROR(INDEX(Mapping!$B$17:$B$22,MATCH($F1565,Mapping!$A$17:$A$22,0)),$F1565)&amp;" "&amp;IF($G1565="Banking","Banking",IFERROR(INDEX(Mapping!$E$17:$E$28,MATCH($J1565,Mapping!$D$17:$D$28,0)),"(unmapped)")))))</f>
        <v/>
      </c>
    </row>
    <row r="1566" spans="11:11" x14ac:dyDescent="0.3">
      <c r="K1566" t="str">
        <f>IF($D1566="","",IFERROR(INDEX(Mapping!$H$3:$H$32,MATCH($B1566,Mapping!$G$3:$G$32,0)),IF(LEFT($F1566,3)="P2P",IFERROR(INDEX(Mapping!$E$3:$E$6,MATCH($G1566,Mapping!$D$3:$D$6,0)),IFERROR(INDEX(Mapping!$B$3:$B$13,MATCH($J1566,Mapping!$A$3:$A$13,0)),"(unmapped)")),IFERROR(INDEX(Mapping!$B$17:$B$22,MATCH($F1566,Mapping!$A$17:$A$22,0)),$F1566)&amp;" "&amp;IF($G1566="Banking","Banking",IFERROR(INDEX(Mapping!$E$17:$E$28,MATCH($J1566,Mapping!$D$17:$D$28,0)),"(unmapped)")))))</f>
        <v/>
      </c>
    </row>
    <row r="1567" spans="11:11" x14ac:dyDescent="0.3">
      <c r="K1567" t="str">
        <f>IF($D1567="","",IFERROR(INDEX(Mapping!$H$3:$H$32,MATCH($B1567,Mapping!$G$3:$G$32,0)),IF(LEFT($F1567,3)="P2P",IFERROR(INDEX(Mapping!$E$3:$E$6,MATCH($G1567,Mapping!$D$3:$D$6,0)),IFERROR(INDEX(Mapping!$B$3:$B$13,MATCH($J1567,Mapping!$A$3:$A$13,0)),"(unmapped)")),IFERROR(INDEX(Mapping!$B$17:$B$22,MATCH($F1567,Mapping!$A$17:$A$22,0)),$F1567)&amp;" "&amp;IF($G1567="Banking","Banking",IFERROR(INDEX(Mapping!$E$17:$E$28,MATCH($J1567,Mapping!$D$17:$D$28,0)),"(unmapped)")))))</f>
        <v/>
      </c>
    </row>
    <row r="1568" spans="11:11" x14ac:dyDescent="0.3">
      <c r="K1568" t="str">
        <f>IF($D1568="","",IFERROR(INDEX(Mapping!$H$3:$H$32,MATCH($B1568,Mapping!$G$3:$G$32,0)),IF(LEFT($F1568,3)="P2P",IFERROR(INDEX(Mapping!$E$3:$E$6,MATCH($G1568,Mapping!$D$3:$D$6,0)),IFERROR(INDEX(Mapping!$B$3:$B$13,MATCH($J1568,Mapping!$A$3:$A$13,0)),"(unmapped)")),IFERROR(INDEX(Mapping!$B$17:$B$22,MATCH($F1568,Mapping!$A$17:$A$22,0)),$F1568)&amp;" "&amp;IF($G1568="Banking","Banking",IFERROR(INDEX(Mapping!$E$17:$E$28,MATCH($J1568,Mapping!$D$17:$D$28,0)),"(unmapped)")))))</f>
        <v/>
      </c>
    </row>
    <row r="1569" spans="11:11" x14ac:dyDescent="0.3">
      <c r="K1569" t="str">
        <f>IF($D1569="","",IFERROR(INDEX(Mapping!$H$3:$H$32,MATCH($B1569,Mapping!$G$3:$G$32,0)),IF(LEFT($F1569,3)="P2P",IFERROR(INDEX(Mapping!$E$3:$E$6,MATCH($G1569,Mapping!$D$3:$D$6,0)),IFERROR(INDEX(Mapping!$B$3:$B$13,MATCH($J1569,Mapping!$A$3:$A$13,0)),"(unmapped)")),IFERROR(INDEX(Mapping!$B$17:$B$22,MATCH($F1569,Mapping!$A$17:$A$22,0)),$F1569)&amp;" "&amp;IF($G1569="Banking","Banking",IFERROR(INDEX(Mapping!$E$17:$E$28,MATCH($J1569,Mapping!$D$17:$D$28,0)),"(unmapped)")))))</f>
        <v/>
      </c>
    </row>
    <row r="1570" spans="11:11" x14ac:dyDescent="0.3">
      <c r="K1570" t="str">
        <f>IF($D1570="","",IFERROR(INDEX(Mapping!$H$3:$H$32,MATCH($B1570,Mapping!$G$3:$G$32,0)),IF(LEFT($F1570,3)="P2P",IFERROR(INDEX(Mapping!$E$3:$E$6,MATCH($G1570,Mapping!$D$3:$D$6,0)),IFERROR(INDEX(Mapping!$B$3:$B$13,MATCH($J1570,Mapping!$A$3:$A$13,0)),"(unmapped)")),IFERROR(INDEX(Mapping!$B$17:$B$22,MATCH($F1570,Mapping!$A$17:$A$22,0)),$F1570)&amp;" "&amp;IF($G1570="Banking","Banking",IFERROR(INDEX(Mapping!$E$17:$E$28,MATCH($J1570,Mapping!$D$17:$D$28,0)),"(unmapped)")))))</f>
        <v/>
      </c>
    </row>
    <row r="1571" spans="11:11" x14ac:dyDescent="0.3">
      <c r="K1571" t="str">
        <f>IF($D1571="","",IFERROR(INDEX(Mapping!$H$3:$H$32,MATCH($B1571,Mapping!$G$3:$G$32,0)),IF(LEFT($F1571,3)="P2P",IFERROR(INDEX(Mapping!$E$3:$E$6,MATCH($G1571,Mapping!$D$3:$D$6,0)),IFERROR(INDEX(Mapping!$B$3:$B$13,MATCH($J1571,Mapping!$A$3:$A$13,0)),"(unmapped)")),IFERROR(INDEX(Mapping!$B$17:$B$22,MATCH($F1571,Mapping!$A$17:$A$22,0)),$F1571)&amp;" "&amp;IF($G1571="Banking","Banking",IFERROR(INDEX(Mapping!$E$17:$E$28,MATCH($J1571,Mapping!$D$17:$D$28,0)),"(unmapped)")))))</f>
        <v/>
      </c>
    </row>
    <row r="1572" spans="11:11" x14ac:dyDescent="0.3">
      <c r="K1572" t="str">
        <f>IF($D1572="","",IFERROR(INDEX(Mapping!$H$3:$H$32,MATCH($B1572,Mapping!$G$3:$G$32,0)),IF(LEFT($F1572,3)="P2P",IFERROR(INDEX(Mapping!$E$3:$E$6,MATCH($G1572,Mapping!$D$3:$D$6,0)),IFERROR(INDEX(Mapping!$B$3:$B$13,MATCH($J1572,Mapping!$A$3:$A$13,0)),"(unmapped)")),IFERROR(INDEX(Mapping!$B$17:$B$22,MATCH($F1572,Mapping!$A$17:$A$22,0)),$F1572)&amp;" "&amp;IF($G1572="Banking","Banking",IFERROR(INDEX(Mapping!$E$17:$E$28,MATCH($J1572,Mapping!$D$17:$D$28,0)),"(unmapped)")))))</f>
        <v/>
      </c>
    </row>
    <row r="1573" spans="11:11" x14ac:dyDescent="0.3">
      <c r="K1573" t="str">
        <f>IF($D1573="","",IFERROR(INDEX(Mapping!$H$3:$H$32,MATCH($B1573,Mapping!$G$3:$G$32,0)),IF(LEFT($F1573,3)="P2P",IFERROR(INDEX(Mapping!$E$3:$E$6,MATCH($G1573,Mapping!$D$3:$D$6,0)),IFERROR(INDEX(Mapping!$B$3:$B$13,MATCH($J1573,Mapping!$A$3:$A$13,0)),"(unmapped)")),IFERROR(INDEX(Mapping!$B$17:$B$22,MATCH($F1573,Mapping!$A$17:$A$22,0)),$F1573)&amp;" "&amp;IF($G1573="Banking","Banking",IFERROR(INDEX(Mapping!$E$17:$E$28,MATCH($J1573,Mapping!$D$17:$D$28,0)),"(unmapped)")))))</f>
        <v/>
      </c>
    </row>
    <row r="1574" spans="11:11" x14ac:dyDescent="0.3">
      <c r="K1574" t="str">
        <f>IF($D1574="","",IFERROR(INDEX(Mapping!$H$3:$H$32,MATCH($B1574,Mapping!$G$3:$G$32,0)),IF(LEFT($F1574,3)="P2P",IFERROR(INDEX(Mapping!$E$3:$E$6,MATCH($G1574,Mapping!$D$3:$D$6,0)),IFERROR(INDEX(Mapping!$B$3:$B$13,MATCH($J1574,Mapping!$A$3:$A$13,0)),"(unmapped)")),IFERROR(INDEX(Mapping!$B$17:$B$22,MATCH($F1574,Mapping!$A$17:$A$22,0)),$F1574)&amp;" "&amp;IF($G1574="Banking","Banking",IFERROR(INDEX(Mapping!$E$17:$E$28,MATCH($J1574,Mapping!$D$17:$D$28,0)),"(unmapped)")))))</f>
        <v/>
      </c>
    </row>
    <row r="1575" spans="11:11" x14ac:dyDescent="0.3">
      <c r="K1575" t="str">
        <f>IF($D1575="","",IFERROR(INDEX(Mapping!$H$3:$H$32,MATCH($B1575,Mapping!$G$3:$G$32,0)),IF(LEFT($F1575,3)="P2P",IFERROR(INDEX(Mapping!$E$3:$E$6,MATCH($G1575,Mapping!$D$3:$D$6,0)),IFERROR(INDEX(Mapping!$B$3:$B$13,MATCH($J1575,Mapping!$A$3:$A$13,0)),"(unmapped)")),IFERROR(INDEX(Mapping!$B$17:$B$22,MATCH($F1575,Mapping!$A$17:$A$22,0)),$F1575)&amp;" "&amp;IF($G1575="Banking","Banking",IFERROR(INDEX(Mapping!$E$17:$E$28,MATCH($J1575,Mapping!$D$17:$D$28,0)),"(unmapped)")))))</f>
        <v/>
      </c>
    </row>
    <row r="1576" spans="11:11" x14ac:dyDescent="0.3">
      <c r="K1576" t="str">
        <f>IF($D1576="","",IFERROR(INDEX(Mapping!$H$3:$H$32,MATCH($B1576,Mapping!$G$3:$G$32,0)),IF(LEFT($F1576,3)="P2P",IFERROR(INDEX(Mapping!$E$3:$E$6,MATCH($G1576,Mapping!$D$3:$D$6,0)),IFERROR(INDEX(Mapping!$B$3:$B$13,MATCH($J1576,Mapping!$A$3:$A$13,0)),"(unmapped)")),IFERROR(INDEX(Mapping!$B$17:$B$22,MATCH($F1576,Mapping!$A$17:$A$22,0)),$F1576)&amp;" "&amp;IF($G1576="Banking","Banking",IFERROR(INDEX(Mapping!$E$17:$E$28,MATCH($J1576,Mapping!$D$17:$D$28,0)),"(unmapped)")))))</f>
        <v/>
      </c>
    </row>
    <row r="1577" spans="11:11" x14ac:dyDescent="0.3">
      <c r="K1577" t="str">
        <f>IF($D1577="","",IFERROR(INDEX(Mapping!$H$3:$H$32,MATCH($B1577,Mapping!$G$3:$G$32,0)),IF(LEFT($F1577,3)="P2P",IFERROR(INDEX(Mapping!$E$3:$E$6,MATCH($G1577,Mapping!$D$3:$D$6,0)),IFERROR(INDEX(Mapping!$B$3:$B$13,MATCH($J1577,Mapping!$A$3:$A$13,0)),"(unmapped)")),IFERROR(INDEX(Mapping!$B$17:$B$22,MATCH($F1577,Mapping!$A$17:$A$22,0)),$F1577)&amp;" "&amp;IF($G1577="Banking","Banking",IFERROR(INDEX(Mapping!$E$17:$E$28,MATCH($J1577,Mapping!$D$17:$D$28,0)),"(unmapped)")))))</f>
        <v/>
      </c>
    </row>
    <row r="1578" spans="11:11" x14ac:dyDescent="0.3">
      <c r="K1578" t="str">
        <f>IF($D1578="","",IFERROR(INDEX(Mapping!$H$3:$H$32,MATCH($B1578,Mapping!$G$3:$G$32,0)),IF(LEFT($F1578,3)="P2P",IFERROR(INDEX(Mapping!$E$3:$E$6,MATCH($G1578,Mapping!$D$3:$D$6,0)),IFERROR(INDEX(Mapping!$B$3:$B$13,MATCH($J1578,Mapping!$A$3:$A$13,0)),"(unmapped)")),IFERROR(INDEX(Mapping!$B$17:$B$22,MATCH($F1578,Mapping!$A$17:$A$22,0)),$F1578)&amp;" "&amp;IF($G1578="Banking","Banking",IFERROR(INDEX(Mapping!$E$17:$E$28,MATCH($J1578,Mapping!$D$17:$D$28,0)),"(unmapped)")))))</f>
        <v/>
      </c>
    </row>
    <row r="1579" spans="11:11" x14ac:dyDescent="0.3">
      <c r="K1579" t="str">
        <f>IF($D1579="","",IFERROR(INDEX(Mapping!$H$3:$H$32,MATCH($B1579,Mapping!$G$3:$G$32,0)),IF(LEFT($F1579,3)="P2P",IFERROR(INDEX(Mapping!$E$3:$E$6,MATCH($G1579,Mapping!$D$3:$D$6,0)),IFERROR(INDEX(Mapping!$B$3:$B$13,MATCH($J1579,Mapping!$A$3:$A$13,0)),"(unmapped)")),IFERROR(INDEX(Mapping!$B$17:$B$22,MATCH($F1579,Mapping!$A$17:$A$22,0)),$F1579)&amp;" "&amp;IF($G1579="Banking","Banking",IFERROR(INDEX(Mapping!$E$17:$E$28,MATCH($J1579,Mapping!$D$17:$D$28,0)),"(unmapped)")))))</f>
        <v/>
      </c>
    </row>
    <row r="1580" spans="11:11" x14ac:dyDescent="0.3">
      <c r="K1580" t="str">
        <f>IF($D1580="","",IFERROR(INDEX(Mapping!$H$3:$H$32,MATCH($B1580,Mapping!$G$3:$G$32,0)),IF(LEFT($F1580,3)="P2P",IFERROR(INDEX(Mapping!$E$3:$E$6,MATCH($G1580,Mapping!$D$3:$D$6,0)),IFERROR(INDEX(Mapping!$B$3:$B$13,MATCH($J1580,Mapping!$A$3:$A$13,0)),"(unmapped)")),IFERROR(INDEX(Mapping!$B$17:$B$22,MATCH($F1580,Mapping!$A$17:$A$22,0)),$F1580)&amp;" "&amp;IF($G1580="Banking","Banking",IFERROR(INDEX(Mapping!$E$17:$E$28,MATCH($J1580,Mapping!$D$17:$D$28,0)),"(unmapped)")))))</f>
        <v/>
      </c>
    </row>
    <row r="1581" spans="11:11" x14ac:dyDescent="0.3">
      <c r="K1581" t="str">
        <f>IF($D1581="","",IFERROR(INDEX(Mapping!$H$3:$H$32,MATCH($B1581,Mapping!$G$3:$G$32,0)),IF(LEFT($F1581,3)="P2P",IFERROR(INDEX(Mapping!$E$3:$E$6,MATCH($G1581,Mapping!$D$3:$D$6,0)),IFERROR(INDEX(Mapping!$B$3:$B$13,MATCH($J1581,Mapping!$A$3:$A$13,0)),"(unmapped)")),IFERROR(INDEX(Mapping!$B$17:$B$22,MATCH($F1581,Mapping!$A$17:$A$22,0)),$F1581)&amp;" "&amp;IF($G1581="Banking","Banking",IFERROR(INDEX(Mapping!$E$17:$E$28,MATCH($J1581,Mapping!$D$17:$D$28,0)),"(unmapped)")))))</f>
        <v/>
      </c>
    </row>
    <row r="1582" spans="11:11" x14ac:dyDescent="0.3">
      <c r="K1582" t="str">
        <f>IF($D1582="","",IFERROR(INDEX(Mapping!$H$3:$H$32,MATCH($B1582,Mapping!$G$3:$G$32,0)),IF(LEFT($F1582,3)="P2P",IFERROR(INDEX(Mapping!$E$3:$E$6,MATCH($G1582,Mapping!$D$3:$D$6,0)),IFERROR(INDEX(Mapping!$B$3:$B$13,MATCH($J1582,Mapping!$A$3:$A$13,0)),"(unmapped)")),IFERROR(INDEX(Mapping!$B$17:$B$22,MATCH($F1582,Mapping!$A$17:$A$22,0)),$F1582)&amp;" "&amp;IF($G1582="Banking","Banking",IFERROR(INDEX(Mapping!$E$17:$E$28,MATCH($J1582,Mapping!$D$17:$D$28,0)),"(unmapped)")))))</f>
        <v/>
      </c>
    </row>
    <row r="1583" spans="11:11" x14ac:dyDescent="0.3">
      <c r="K1583" t="str">
        <f>IF($D1583="","",IFERROR(INDEX(Mapping!$H$3:$H$32,MATCH($B1583,Mapping!$G$3:$G$32,0)),IF(LEFT($F1583,3)="P2P",IFERROR(INDEX(Mapping!$E$3:$E$6,MATCH($G1583,Mapping!$D$3:$D$6,0)),IFERROR(INDEX(Mapping!$B$3:$B$13,MATCH($J1583,Mapping!$A$3:$A$13,0)),"(unmapped)")),IFERROR(INDEX(Mapping!$B$17:$B$22,MATCH($F1583,Mapping!$A$17:$A$22,0)),$F1583)&amp;" "&amp;IF($G1583="Banking","Banking",IFERROR(INDEX(Mapping!$E$17:$E$28,MATCH($J1583,Mapping!$D$17:$D$28,0)),"(unmapped)")))))</f>
        <v/>
      </c>
    </row>
    <row r="1584" spans="11:11" x14ac:dyDescent="0.3">
      <c r="K1584" t="str">
        <f>IF($D1584="","",IFERROR(INDEX(Mapping!$H$3:$H$32,MATCH($B1584,Mapping!$G$3:$G$32,0)),IF(LEFT($F1584,3)="P2P",IFERROR(INDEX(Mapping!$E$3:$E$6,MATCH($G1584,Mapping!$D$3:$D$6,0)),IFERROR(INDEX(Mapping!$B$3:$B$13,MATCH($J1584,Mapping!$A$3:$A$13,0)),"(unmapped)")),IFERROR(INDEX(Mapping!$B$17:$B$22,MATCH($F1584,Mapping!$A$17:$A$22,0)),$F1584)&amp;" "&amp;IF($G1584="Banking","Banking",IFERROR(INDEX(Mapping!$E$17:$E$28,MATCH($J1584,Mapping!$D$17:$D$28,0)),"(unmapped)")))))</f>
        <v/>
      </c>
    </row>
    <row r="1585" spans="11:11" x14ac:dyDescent="0.3">
      <c r="K1585" t="str">
        <f>IF($D1585="","",IFERROR(INDEX(Mapping!$H$3:$H$32,MATCH($B1585,Mapping!$G$3:$G$32,0)),IF(LEFT($F1585,3)="P2P",IFERROR(INDEX(Mapping!$E$3:$E$6,MATCH($G1585,Mapping!$D$3:$D$6,0)),IFERROR(INDEX(Mapping!$B$3:$B$13,MATCH($J1585,Mapping!$A$3:$A$13,0)),"(unmapped)")),IFERROR(INDEX(Mapping!$B$17:$B$22,MATCH($F1585,Mapping!$A$17:$A$22,0)),$F1585)&amp;" "&amp;IF($G1585="Banking","Banking",IFERROR(INDEX(Mapping!$E$17:$E$28,MATCH($J1585,Mapping!$D$17:$D$28,0)),"(unmapped)")))))</f>
        <v/>
      </c>
    </row>
    <row r="1586" spans="11:11" x14ac:dyDescent="0.3">
      <c r="K1586" t="str">
        <f>IF($D1586="","",IFERROR(INDEX(Mapping!$H$3:$H$32,MATCH($B1586,Mapping!$G$3:$G$32,0)),IF(LEFT($F1586,3)="P2P",IFERROR(INDEX(Mapping!$E$3:$E$6,MATCH($G1586,Mapping!$D$3:$D$6,0)),IFERROR(INDEX(Mapping!$B$3:$B$13,MATCH($J1586,Mapping!$A$3:$A$13,0)),"(unmapped)")),IFERROR(INDEX(Mapping!$B$17:$B$22,MATCH($F1586,Mapping!$A$17:$A$22,0)),$F1586)&amp;" "&amp;IF($G1586="Banking","Banking",IFERROR(INDEX(Mapping!$E$17:$E$28,MATCH($J1586,Mapping!$D$17:$D$28,0)),"(unmapped)")))))</f>
        <v/>
      </c>
    </row>
    <row r="1587" spans="11:11" x14ac:dyDescent="0.3">
      <c r="K1587" t="str">
        <f>IF($D1587="","",IFERROR(INDEX(Mapping!$H$3:$H$32,MATCH($B1587,Mapping!$G$3:$G$32,0)),IF(LEFT($F1587,3)="P2P",IFERROR(INDEX(Mapping!$E$3:$E$6,MATCH($G1587,Mapping!$D$3:$D$6,0)),IFERROR(INDEX(Mapping!$B$3:$B$13,MATCH($J1587,Mapping!$A$3:$A$13,0)),"(unmapped)")),IFERROR(INDEX(Mapping!$B$17:$B$22,MATCH($F1587,Mapping!$A$17:$A$22,0)),$F1587)&amp;" "&amp;IF($G1587="Banking","Banking",IFERROR(INDEX(Mapping!$E$17:$E$28,MATCH($J1587,Mapping!$D$17:$D$28,0)),"(unmapped)")))))</f>
        <v/>
      </c>
    </row>
    <row r="1588" spans="11:11" x14ac:dyDescent="0.3">
      <c r="K1588" t="str">
        <f>IF($D1588="","",IFERROR(INDEX(Mapping!$H$3:$H$32,MATCH($B1588,Mapping!$G$3:$G$32,0)),IF(LEFT($F1588,3)="P2P",IFERROR(INDEX(Mapping!$E$3:$E$6,MATCH($G1588,Mapping!$D$3:$D$6,0)),IFERROR(INDEX(Mapping!$B$3:$B$13,MATCH($J1588,Mapping!$A$3:$A$13,0)),"(unmapped)")),IFERROR(INDEX(Mapping!$B$17:$B$22,MATCH($F1588,Mapping!$A$17:$A$22,0)),$F1588)&amp;" "&amp;IF($G1588="Banking","Banking",IFERROR(INDEX(Mapping!$E$17:$E$28,MATCH($J1588,Mapping!$D$17:$D$28,0)),"(unmapped)")))))</f>
        <v/>
      </c>
    </row>
    <row r="1589" spans="11:11" x14ac:dyDescent="0.3">
      <c r="K1589" t="str">
        <f>IF($D1589="","",IFERROR(INDEX(Mapping!$H$3:$H$32,MATCH($B1589,Mapping!$G$3:$G$32,0)),IF(LEFT($F1589,3)="P2P",IFERROR(INDEX(Mapping!$E$3:$E$6,MATCH($G1589,Mapping!$D$3:$D$6,0)),IFERROR(INDEX(Mapping!$B$3:$B$13,MATCH($J1589,Mapping!$A$3:$A$13,0)),"(unmapped)")),IFERROR(INDEX(Mapping!$B$17:$B$22,MATCH($F1589,Mapping!$A$17:$A$22,0)),$F1589)&amp;" "&amp;IF($G1589="Banking","Banking",IFERROR(INDEX(Mapping!$E$17:$E$28,MATCH($J1589,Mapping!$D$17:$D$28,0)),"(unmapped)")))))</f>
        <v/>
      </c>
    </row>
    <row r="1590" spans="11:11" x14ac:dyDescent="0.3">
      <c r="K1590" t="str">
        <f>IF($D1590="","",IFERROR(INDEX(Mapping!$H$3:$H$32,MATCH($B1590,Mapping!$G$3:$G$32,0)),IF(LEFT($F1590,3)="P2P",IFERROR(INDEX(Mapping!$E$3:$E$6,MATCH($G1590,Mapping!$D$3:$D$6,0)),IFERROR(INDEX(Mapping!$B$3:$B$13,MATCH($J1590,Mapping!$A$3:$A$13,0)),"(unmapped)")),IFERROR(INDEX(Mapping!$B$17:$B$22,MATCH($F1590,Mapping!$A$17:$A$22,0)),$F1590)&amp;" "&amp;IF($G1590="Banking","Banking",IFERROR(INDEX(Mapping!$E$17:$E$28,MATCH($J1590,Mapping!$D$17:$D$28,0)),"(unmapped)")))))</f>
        <v/>
      </c>
    </row>
    <row r="1591" spans="11:11" x14ac:dyDescent="0.3">
      <c r="K1591" t="str">
        <f>IF($D1591="","",IFERROR(INDEX(Mapping!$H$3:$H$32,MATCH($B1591,Mapping!$G$3:$G$32,0)),IF(LEFT($F1591,3)="P2P",IFERROR(INDEX(Mapping!$E$3:$E$6,MATCH($G1591,Mapping!$D$3:$D$6,0)),IFERROR(INDEX(Mapping!$B$3:$B$13,MATCH($J1591,Mapping!$A$3:$A$13,0)),"(unmapped)")),IFERROR(INDEX(Mapping!$B$17:$B$22,MATCH($F1591,Mapping!$A$17:$A$22,0)),$F1591)&amp;" "&amp;IF($G1591="Banking","Banking",IFERROR(INDEX(Mapping!$E$17:$E$28,MATCH($J1591,Mapping!$D$17:$D$28,0)),"(unmapped)")))))</f>
        <v/>
      </c>
    </row>
    <row r="1592" spans="11:11" x14ac:dyDescent="0.3">
      <c r="K1592" t="str">
        <f>IF($D1592="","",IFERROR(INDEX(Mapping!$H$3:$H$32,MATCH($B1592,Mapping!$G$3:$G$32,0)),IF(LEFT($F1592,3)="P2P",IFERROR(INDEX(Mapping!$E$3:$E$6,MATCH($G1592,Mapping!$D$3:$D$6,0)),IFERROR(INDEX(Mapping!$B$3:$B$13,MATCH($J1592,Mapping!$A$3:$A$13,0)),"(unmapped)")),IFERROR(INDEX(Mapping!$B$17:$B$22,MATCH($F1592,Mapping!$A$17:$A$22,0)),$F1592)&amp;" "&amp;IF($G1592="Banking","Banking",IFERROR(INDEX(Mapping!$E$17:$E$28,MATCH($J1592,Mapping!$D$17:$D$28,0)),"(unmapped)")))))</f>
        <v/>
      </c>
    </row>
    <row r="1593" spans="11:11" x14ac:dyDescent="0.3">
      <c r="K1593" t="str">
        <f>IF($D1593="","",IFERROR(INDEX(Mapping!$H$3:$H$32,MATCH($B1593,Mapping!$G$3:$G$32,0)),IF(LEFT($F1593,3)="P2P",IFERROR(INDEX(Mapping!$E$3:$E$6,MATCH($G1593,Mapping!$D$3:$D$6,0)),IFERROR(INDEX(Mapping!$B$3:$B$13,MATCH($J1593,Mapping!$A$3:$A$13,0)),"(unmapped)")),IFERROR(INDEX(Mapping!$B$17:$B$22,MATCH($F1593,Mapping!$A$17:$A$22,0)),$F1593)&amp;" "&amp;IF($G1593="Banking","Banking",IFERROR(INDEX(Mapping!$E$17:$E$28,MATCH($J1593,Mapping!$D$17:$D$28,0)),"(unmapped)")))))</f>
        <v/>
      </c>
    </row>
    <row r="1594" spans="11:11" x14ac:dyDescent="0.3">
      <c r="K1594" t="str">
        <f>IF($D1594="","",IFERROR(INDEX(Mapping!$H$3:$H$32,MATCH($B1594,Mapping!$G$3:$G$32,0)),IF(LEFT($F1594,3)="P2P",IFERROR(INDEX(Mapping!$E$3:$E$6,MATCH($G1594,Mapping!$D$3:$D$6,0)),IFERROR(INDEX(Mapping!$B$3:$B$13,MATCH($J1594,Mapping!$A$3:$A$13,0)),"(unmapped)")),IFERROR(INDEX(Mapping!$B$17:$B$22,MATCH($F1594,Mapping!$A$17:$A$22,0)),$F1594)&amp;" "&amp;IF($G1594="Banking","Banking",IFERROR(INDEX(Mapping!$E$17:$E$28,MATCH($J1594,Mapping!$D$17:$D$28,0)),"(unmapped)")))))</f>
        <v/>
      </c>
    </row>
    <row r="1595" spans="11:11" x14ac:dyDescent="0.3">
      <c r="K1595" t="str">
        <f>IF($D1595="","",IFERROR(INDEX(Mapping!$H$3:$H$32,MATCH($B1595,Mapping!$G$3:$G$32,0)),IF(LEFT($F1595,3)="P2P",IFERROR(INDEX(Mapping!$E$3:$E$6,MATCH($G1595,Mapping!$D$3:$D$6,0)),IFERROR(INDEX(Mapping!$B$3:$B$13,MATCH($J1595,Mapping!$A$3:$A$13,0)),"(unmapped)")),IFERROR(INDEX(Mapping!$B$17:$B$22,MATCH($F1595,Mapping!$A$17:$A$22,0)),$F1595)&amp;" "&amp;IF($G1595="Banking","Banking",IFERROR(INDEX(Mapping!$E$17:$E$28,MATCH($J1595,Mapping!$D$17:$D$28,0)),"(unmapped)")))))</f>
        <v/>
      </c>
    </row>
    <row r="1596" spans="11:11" x14ac:dyDescent="0.3">
      <c r="K1596" t="str">
        <f>IF($D1596="","",IFERROR(INDEX(Mapping!$H$3:$H$32,MATCH($B1596,Mapping!$G$3:$G$32,0)),IF(LEFT($F1596,3)="P2P",IFERROR(INDEX(Mapping!$E$3:$E$6,MATCH($G1596,Mapping!$D$3:$D$6,0)),IFERROR(INDEX(Mapping!$B$3:$B$13,MATCH($J1596,Mapping!$A$3:$A$13,0)),"(unmapped)")),IFERROR(INDEX(Mapping!$B$17:$B$22,MATCH($F1596,Mapping!$A$17:$A$22,0)),$F1596)&amp;" "&amp;IF($G1596="Banking","Banking",IFERROR(INDEX(Mapping!$E$17:$E$28,MATCH($J1596,Mapping!$D$17:$D$28,0)),"(unmapped)")))))</f>
        <v/>
      </c>
    </row>
    <row r="1597" spans="11:11" x14ac:dyDescent="0.3">
      <c r="K1597" t="str">
        <f>IF($D1597="","",IFERROR(INDEX(Mapping!$H$3:$H$32,MATCH($B1597,Mapping!$G$3:$G$32,0)),IF(LEFT($F1597,3)="P2P",IFERROR(INDEX(Mapping!$E$3:$E$6,MATCH($G1597,Mapping!$D$3:$D$6,0)),IFERROR(INDEX(Mapping!$B$3:$B$13,MATCH($J1597,Mapping!$A$3:$A$13,0)),"(unmapped)")),IFERROR(INDEX(Mapping!$B$17:$B$22,MATCH($F1597,Mapping!$A$17:$A$22,0)),$F1597)&amp;" "&amp;IF($G1597="Banking","Banking",IFERROR(INDEX(Mapping!$E$17:$E$28,MATCH($J1597,Mapping!$D$17:$D$28,0)),"(unmapped)")))))</f>
        <v/>
      </c>
    </row>
    <row r="1598" spans="11:11" x14ac:dyDescent="0.3">
      <c r="K1598" t="str">
        <f>IF($D1598="","",IFERROR(INDEX(Mapping!$H$3:$H$32,MATCH($B1598,Mapping!$G$3:$G$32,0)),IF(LEFT($F1598,3)="P2P",IFERROR(INDEX(Mapping!$E$3:$E$6,MATCH($G1598,Mapping!$D$3:$D$6,0)),IFERROR(INDEX(Mapping!$B$3:$B$13,MATCH($J1598,Mapping!$A$3:$A$13,0)),"(unmapped)")),IFERROR(INDEX(Mapping!$B$17:$B$22,MATCH($F1598,Mapping!$A$17:$A$22,0)),$F1598)&amp;" "&amp;IF($G1598="Banking","Banking",IFERROR(INDEX(Mapping!$E$17:$E$28,MATCH($J1598,Mapping!$D$17:$D$28,0)),"(unmapped)")))))</f>
        <v/>
      </c>
    </row>
    <row r="1599" spans="11:11" x14ac:dyDescent="0.3">
      <c r="K1599" t="str">
        <f>IF($D1599="","",IFERROR(INDEX(Mapping!$H$3:$H$32,MATCH($B1599,Mapping!$G$3:$G$32,0)),IF(LEFT($F1599,3)="P2P",IFERROR(INDEX(Mapping!$E$3:$E$6,MATCH($G1599,Mapping!$D$3:$D$6,0)),IFERROR(INDEX(Mapping!$B$3:$B$13,MATCH($J1599,Mapping!$A$3:$A$13,0)),"(unmapped)")),IFERROR(INDEX(Mapping!$B$17:$B$22,MATCH($F1599,Mapping!$A$17:$A$22,0)),$F1599)&amp;" "&amp;IF($G1599="Banking","Banking",IFERROR(INDEX(Mapping!$E$17:$E$28,MATCH($J1599,Mapping!$D$17:$D$28,0)),"(unmapped)")))))</f>
        <v/>
      </c>
    </row>
    <row r="1600" spans="11:11" x14ac:dyDescent="0.3">
      <c r="K1600" t="str">
        <f>IF($D1600="","",IFERROR(INDEX(Mapping!$H$3:$H$32,MATCH($B1600,Mapping!$G$3:$G$32,0)),IF(LEFT($F1600,3)="P2P",IFERROR(INDEX(Mapping!$E$3:$E$6,MATCH($G1600,Mapping!$D$3:$D$6,0)),IFERROR(INDEX(Mapping!$B$3:$B$13,MATCH($J1600,Mapping!$A$3:$A$13,0)),"(unmapped)")),IFERROR(INDEX(Mapping!$B$17:$B$22,MATCH($F1600,Mapping!$A$17:$A$22,0)),$F1600)&amp;" "&amp;IF($G1600="Banking","Banking",IFERROR(INDEX(Mapping!$E$17:$E$28,MATCH($J1600,Mapping!$D$17:$D$28,0)),"(unmapped)")))))</f>
        <v/>
      </c>
    </row>
    <row r="1601" spans="11:11" x14ac:dyDescent="0.3">
      <c r="K1601" t="str">
        <f>IF($D1601="","",IFERROR(INDEX(Mapping!$H$3:$H$32,MATCH($B1601,Mapping!$G$3:$G$32,0)),IF(LEFT($F1601,3)="P2P",IFERROR(INDEX(Mapping!$E$3:$E$6,MATCH($G1601,Mapping!$D$3:$D$6,0)),IFERROR(INDEX(Mapping!$B$3:$B$13,MATCH($J1601,Mapping!$A$3:$A$13,0)),"(unmapped)")),IFERROR(INDEX(Mapping!$B$17:$B$22,MATCH($F1601,Mapping!$A$17:$A$22,0)),$F1601)&amp;" "&amp;IF($G1601="Banking","Banking",IFERROR(INDEX(Mapping!$E$17:$E$28,MATCH($J1601,Mapping!$D$17:$D$28,0)),"(unmapped)")))))</f>
        <v/>
      </c>
    </row>
    <row r="1602" spans="11:11" x14ac:dyDescent="0.3">
      <c r="K1602" t="str">
        <f>IF($D1602="","",IFERROR(INDEX(Mapping!$H$3:$H$32,MATCH($B1602,Mapping!$G$3:$G$32,0)),IF(LEFT($F1602,3)="P2P",IFERROR(INDEX(Mapping!$E$3:$E$6,MATCH($G1602,Mapping!$D$3:$D$6,0)),IFERROR(INDEX(Mapping!$B$3:$B$13,MATCH($J1602,Mapping!$A$3:$A$13,0)),"(unmapped)")),IFERROR(INDEX(Mapping!$B$17:$B$22,MATCH($F1602,Mapping!$A$17:$A$22,0)),$F1602)&amp;" "&amp;IF($G1602="Banking","Banking",IFERROR(INDEX(Mapping!$E$17:$E$28,MATCH($J1602,Mapping!$D$17:$D$28,0)),"(unmapped)")))))</f>
        <v/>
      </c>
    </row>
    <row r="1603" spans="11:11" x14ac:dyDescent="0.3">
      <c r="K1603" t="str">
        <f>IF($D1603="","",IFERROR(INDEX(Mapping!$H$3:$H$32,MATCH($B1603,Mapping!$G$3:$G$32,0)),IF(LEFT($F1603,3)="P2P",IFERROR(INDEX(Mapping!$E$3:$E$6,MATCH($G1603,Mapping!$D$3:$D$6,0)),IFERROR(INDEX(Mapping!$B$3:$B$13,MATCH($J1603,Mapping!$A$3:$A$13,0)),"(unmapped)")),IFERROR(INDEX(Mapping!$B$17:$B$22,MATCH($F1603,Mapping!$A$17:$A$22,0)),$F1603)&amp;" "&amp;IF($G1603="Banking","Banking",IFERROR(INDEX(Mapping!$E$17:$E$28,MATCH($J1603,Mapping!$D$17:$D$28,0)),"(unmapped)")))))</f>
        <v/>
      </c>
    </row>
    <row r="1604" spans="11:11" x14ac:dyDescent="0.3">
      <c r="K1604" t="str">
        <f>IF($D1604="","",IFERROR(INDEX(Mapping!$H$3:$H$32,MATCH($B1604,Mapping!$G$3:$G$32,0)),IF(LEFT($F1604,3)="P2P",IFERROR(INDEX(Mapping!$E$3:$E$6,MATCH($G1604,Mapping!$D$3:$D$6,0)),IFERROR(INDEX(Mapping!$B$3:$B$13,MATCH($J1604,Mapping!$A$3:$A$13,0)),"(unmapped)")),IFERROR(INDEX(Mapping!$B$17:$B$22,MATCH($F1604,Mapping!$A$17:$A$22,0)),$F1604)&amp;" "&amp;IF($G1604="Banking","Banking",IFERROR(INDEX(Mapping!$E$17:$E$28,MATCH($J1604,Mapping!$D$17:$D$28,0)),"(unmapped)")))))</f>
        <v/>
      </c>
    </row>
    <row r="1605" spans="11:11" x14ac:dyDescent="0.3">
      <c r="K1605" t="str">
        <f>IF($D1605="","",IFERROR(INDEX(Mapping!$H$3:$H$32,MATCH($B1605,Mapping!$G$3:$G$32,0)),IF(LEFT($F1605,3)="P2P",IFERROR(INDEX(Mapping!$E$3:$E$6,MATCH($G1605,Mapping!$D$3:$D$6,0)),IFERROR(INDEX(Mapping!$B$3:$B$13,MATCH($J1605,Mapping!$A$3:$A$13,0)),"(unmapped)")),IFERROR(INDEX(Mapping!$B$17:$B$22,MATCH($F1605,Mapping!$A$17:$A$22,0)),$F1605)&amp;" "&amp;IF($G1605="Banking","Banking",IFERROR(INDEX(Mapping!$E$17:$E$28,MATCH($J1605,Mapping!$D$17:$D$28,0)),"(unmapped)")))))</f>
        <v/>
      </c>
    </row>
    <row r="1606" spans="11:11" x14ac:dyDescent="0.3">
      <c r="K1606" t="str">
        <f>IF($D1606="","",IFERROR(INDEX(Mapping!$H$3:$H$32,MATCH($B1606,Mapping!$G$3:$G$32,0)),IF(LEFT($F1606,3)="P2P",IFERROR(INDEX(Mapping!$E$3:$E$6,MATCH($G1606,Mapping!$D$3:$D$6,0)),IFERROR(INDEX(Mapping!$B$3:$B$13,MATCH($J1606,Mapping!$A$3:$A$13,0)),"(unmapped)")),IFERROR(INDEX(Mapping!$B$17:$B$22,MATCH($F1606,Mapping!$A$17:$A$22,0)),$F1606)&amp;" "&amp;IF($G1606="Banking","Banking",IFERROR(INDEX(Mapping!$E$17:$E$28,MATCH($J1606,Mapping!$D$17:$D$28,0)),"(unmapped)")))))</f>
        <v/>
      </c>
    </row>
    <row r="1607" spans="11:11" x14ac:dyDescent="0.3">
      <c r="K1607" t="str">
        <f>IF($D1607="","",IFERROR(INDEX(Mapping!$H$3:$H$32,MATCH($B1607,Mapping!$G$3:$G$32,0)),IF(LEFT($F1607,3)="P2P",IFERROR(INDEX(Mapping!$E$3:$E$6,MATCH($G1607,Mapping!$D$3:$D$6,0)),IFERROR(INDEX(Mapping!$B$3:$B$13,MATCH($J1607,Mapping!$A$3:$A$13,0)),"(unmapped)")),IFERROR(INDEX(Mapping!$B$17:$B$22,MATCH($F1607,Mapping!$A$17:$A$22,0)),$F1607)&amp;" "&amp;IF($G1607="Banking","Banking",IFERROR(INDEX(Mapping!$E$17:$E$28,MATCH($J1607,Mapping!$D$17:$D$28,0)),"(unmapped)")))))</f>
        <v/>
      </c>
    </row>
    <row r="1608" spans="11:11" x14ac:dyDescent="0.3">
      <c r="K1608" t="str">
        <f>IF($D1608="","",IFERROR(INDEX(Mapping!$H$3:$H$32,MATCH($B1608,Mapping!$G$3:$G$32,0)),IF(LEFT($F1608,3)="P2P",IFERROR(INDEX(Mapping!$E$3:$E$6,MATCH($G1608,Mapping!$D$3:$D$6,0)),IFERROR(INDEX(Mapping!$B$3:$B$13,MATCH($J1608,Mapping!$A$3:$A$13,0)),"(unmapped)")),IFERROR(INDEX(Mapping!$B$17:$B$22,MATCH($F1608,Mapping!$A$17:$A$22,0)),$F1608)&amp;" "&amp;IF($G1608="Banking","Banking",IFERROR(INDEX(Mapping!$E$17:$E$28,MATCH($J1608,Mapping!$D$17:$D$28,0)),"(unmapped)")))))</f>
        <v/>
      </c>
    </row>
    <row r="1609" spans="11:11" x14ac:dyDescent="0.3">
      <c r="K1609" t="str">
        <f>IF($D1609="","",IFERROR(INDEX(Mapping!$H$3:$H$32,MATCH($B1609,Mapping!$G$3:$G$32,0)),IF(LEFT($F1609,3)="P2P",IFERROR(INDEX(Mapping!$E$3:$E$6,MATCH($G1609,Mapping!$D$3:$D$6,0)),IFERROR(INDEX(Mapping!$B$3:$B$13,MATCH($J1609,Mapping!$A$3:$A$13,0)),"(unmapped)")),IFERROR(INDEX(Mapping!$B$17:$B$22,MATCH($F1609,Mapping!$A$17:$A$22,0)),$F1609)&amp;" "&amp;IF($G1609="Banking","Banking",IFERROR(INDEX(Mapping!$E$17:$E$28,MATCH($J1609,Mapping!$D$17:$D$28,0)),"(unmapped)")))))</f>
        <v/>
      </c>
    </row>
    <row r="1610" spans="11:11" x14ac:dyDescent="0.3">
      <c r="K1610" t="str">
        <f>IF($D1610="","",IFERROR(INDEX(Mapping!$H$3:$H$32,MATCH($B1610,Mapping!$G$3:$G$32,0)),IF(LEFT($F1610,3)="P2P",IFERROR(INDEX(Mapping!$E$3:$E$6,MATCH($G1610,Mapping!$D$3:$D$6,0)),IFERROR(INDEX(Mapping!$B$3:$B$13,MATCH($J1610,Mapping!$A$3:$A$13,0)),"(unmapped)")),IFERROR(INDEX(Mapping!$B$17:$B$22,MATCH($F1610,Mapping!$A$17:$A$22,0)),$F1610)&amp;" "&amp;IF($G1610="Banking","Banking",IFERROR(INDEX(Mapping!$E$17:$E$28,MATCH($J1610,Mapping!$D$17:$D$28,0)),"(unmapped)")))))</f>
        <v/>
      </c>
    </row>
    <row r="1611" spans="11:11" x14ac:dyDescent="0.3">
      <c r="K1611" t="str">
        <f>IF($D1611="","",IFERROR(INDEX(Mapping!$H$3:$H$32,MATCH($B1611,Mapping!$G$3:$G$32,0)),IF(LEFT($F1611,3)="P2P",IFERROR(INDEX(Mapping!$E$3:$E$6,MATCH($G1611,Mapping!$D$3:$D$6,0)),IFERROR(INDEX(Mapping!$B$3:$B$13,MATCH($J1611,Mapping!$A$3:$A$13,0)),"(unmapped)")),IFERROR(INDEX(Mapping!$B$17:$B$22,MATCH($F1611,Mapping!$A$17:$A$22,0)),$F1611)&amp;" "&amp;IF($G1611="Banking","Banking",IFERROR(INDEX(Mapping!$E$17:$E$28,MATCH($J1611,Mapping!$D$17:$D$28,0)),"(unmapped)")))))</f>
        <v/>
      </c>
    </row>
    <row r="1612" spans="11:11" x14ac:dyDescent="0.3">
      <c r="K1612" t="str">
        <f>IF($D1612="","",IFERROR(INDEX(Mapping!$H$3:$H$32,MATCH($B1612,Mapping!$G$3:$G$32,0)),IF(LEFT($F1612,3)="P2P",IFERROR(INDEX(Mapping!$E$3:$E$6,MATCH($G1612,Mapping!$D$3:$D$6,0)),IFERROR(INDEX(Mapping!$B$3:$B$13,MATCH($J1612,Mapping!$A$3:$A$13,0)),"(unmapped)")),IFERROR(INDEX(Mapping!$B$17:$B$22,MATCH($F1612,Mapping!$A$17:$A$22,0)),$F1612)&amp;" "&amp;IF($G1612="Banking","Banking",IFERROR(INDEX(Mapping!$E$17:$E$28,MATCH($J1612,Mapping!$D$17:$D$28,0)),"(unmapped)")))))</f>
        <v/>
      </c>
    </row>
    <row r="1613" spans="11:11" x14ac:dyDescent="0.3">
      <c r="K1613" t="str">
        <f>IF($D1613="","",IFERROR(INDEX(Mapping!$H$3:$H$32,MATCH($B1613,Mapping!$G$3:$G$32,0)),IF(LEFT($F1613,3)="P2P",IFERROR(INDEX(Mapping!$E$3:$E$6,MATCH($G1613,Mapping!$D$3:$D$6,0)),IFERROR(INDEX(Mapping!$B$3:$B$13,MATCH($J1613,Mapping!$A$3:$A$13,0)),"(unmapped)")),IFERROR(INDEX(Mapping!$B$17:$B$22,MATCH($F1613,Mapping!$A$17:$A$22,0)),$F1613)&amp;" "&amp;IF($G1613="Banking","Banking",IFERROR(INDEX(Mapping!$E$17:$E$28,MATCH($J1613,Mapping!$D$17:$D$28,0)),"(unmapped)")))))</f>
        <v/>
      </c>
    </row>
    <row r="1614" spans="11:11" x14ac:dyDescent="0.3">
      <c r="K1614" t="str">
        <f>IF($D1614="","",IFERROR(INDEX(Mapping!$H$3:$H$32,MATCH($B1614,Mapping!$G$3:$G$32,0)),IF(LEFT($F1614,3)="P2P",IFERROR(INDEX(Mapping!$E$3:$E$6,MATCH($G1614,Mapping!$D$3:$D$6,0)),IFERROR(INDEX(Mapping!$B$3:$B$13,MATCH($J1614,Mapping!$A$3:$A$13,0)),"(unmapped)")),IFERROR(INDEX(Mapping!$B$17:$B$22,MATCH($F1614,Mapping!$A$17:$A$22,0)),$F1614)&amp;" "&amp;IF($G1614="Banking","Banking",IFERROR(INDEX(Mapping!$E$17:$E$28,MATCH($J1614,Mapping!$D$17:$D$28,0)),"(unmapped)")))))</f>
        <v/>
      </c>
    </row>
    <row r="1615" spans="11:11" x14ac:dyDescent="0.3">
      <c r="K1615" t="str">
        <f>IF($D1615="","",IFERROR(INDEX(Mapping!$H$3:$H$32,MATCH($B1615,Mapping!$G$3:$G$32,0)),IF(LEFT($F1615,3)="P2P",IFERROR(INDEX(Mapping!$E$3:$E$6,MATCH($G1615,Mapping!$D$3:$D$6,0)),IFERROR(INDEX(Mapping!$B$3:$B$13,MATCH($J1615,Mapping!$A$3:$A$13,0)),"(unmapped)")),IFERROR(INDEX(Mapping!$B$17:$B$22,MATCH($F1615,Mapping!$A$17:$A$22,0)),$F1615)&amp;" "&amp;IF($G1615="Banking","Banking",IFERROR(INDEX(Mapping!$E$17:$E$28,MATCH($J1615,Mapping!$D$17:$D$28,0)),"(unmapped)")))))</f>
        <v/>
      </c>
    </row>
    <row r="1616" spans="11:11" x14ac:dyDescent="0.3">
      <c r="K1616" t="str">
        <f>IF($D1616="","",IFERROR(INDEX(Mapping!$H$3:$H$32,MATCH($B1616,Mapping!$G$3:$G$32,0)),IF(LEFT($F1616,3)="P2P",IFERROR(INDEX(Mapping!$E$3:$E$6,MATCH($G1616,Mapping!$D$3:$D$6,0)),IFERROR(INDEX(Mapping!$B$3:$B$13,MATCH($J1616,Mapping!$A$3:$A$13,0)),"(unmapped)")),IFERROR(INDEX(Mapping!$B$17:$B$22,MATCH($F1616,Mapping!$A$17:$A$22,0)),$F1616)&amp;" "&amp;IF($G1616="Banking","Banking",IFERROR(INDEX(Mapping!$E$17:$E$28,MATCH($J1616,Mapping!$D$17:$D$28,0)),"(unmapped)")))))</f>
        <v/>
      </c>
    </row>
    <row r="1617" spans="11:11" x14ac:dyDescent="0.3">
      <c r="K1617" t="str">
        <f>IF($D1617="","",IFERROR(INDEX(Mapping!$H$3:$H$32,MATCH($B1617,Mapping!$G$3:$G$32,0)),IF(LEFT($F1617,3)="P2P",IFERROR(INDEX(Mapping!$E$3:$E$6,MATCH($G1617,Mapping!$D$3:$D$6,0)),IFERROR(INDEX(Mapping!$B$3:$B$13,MATCH($J1617,Mapping!$A$3:$A$13,0)),"(unmapped)")),IFERROR(INDEX(Mapping!$B$17:$B$22,MATCH($F1617,Mapping!$A$17:$A$22,0)),$F1617)&amp;" "&amp;IF($G1617="Banking","Banking",IFERROR(INDEX(Mapping!$E$17:$E$28,MATCH($J1617,Mapping!$D$17:$D$28,0)),"(unmapped)")))))</f>
        <v/>
      </c>
    </row>
    <row r="1618" spans="11:11" x14ac:dyDescent="0.3">
      <c r="K1618" t="str">
        <f>IF($D1618="","",IFERROR(INDEX(Mapping!$H$3:$H$32,MATCH($B1618,Mapping!$G$3:$G$32,0)),IF(LEFT($F1618,3)="P2P",IFERROR(INDEX(Mapping!$E$3:$E$6,MATCH($G1618,Mapping!$D$3:$D$6,0)),IFERROR(INDEX(Mapping!$B$3:$B$13,MATCH($J1618,Mapping!$A$3:$A$13,0)),"(unmapped)")),IFERROR(INDEX(Mapping!$B$17:$B$22,MATCH($F1618,Mapping!$A$17:$A$22,0)),$F1618)&amp;" "&amp;IF($G1618="Banking","Banking",IFERROR(INDEX(Mapping!$E$17:$E$28,MATCH($J1618,Mapping!$D$17:$D$28,0)),"(unmapped)")))))</f>
        <v/>
      </c>
    </row>
    <row r="1619" spans="11:11" x14ac:dyDescent="0.3">
      <c r="K1619" t="str">
        <f>IF($D1619="","",IFERROR(INDEX(Mapping!$H$3:$H$32,MATCH($B1619,Mapping!$G$3:$G$32,0)),IF(LEFT($F1619,3)="P2P",IFERROR(INDEX(Mapping!$E$3:$E$6,MATCH($G1619,Mapping!$D$3:$D$6,0)),IFERROR(INDEX(Mapping!$B$3:$B$13,MATCH($J1619,Mapping!$A$3:$A$13,0)),"(unmapped)")),IFERROR(INDEX(Mapping!$B$17:$B$22,MATCH($F1619,Mapping!$A$17:$A$22,0)),$F1619)&amp;" "&amp;IF($G1619="Banking","Banking",IFERROR(INDEX(Mapping!$E$17:$E$28,MATCH($J1619,Mapping!$D$17:$D$28,0)),"(unmapped)")))))</f>
        <v/>
      </c>
    </row>
    <row r="1620" spans="11:11" x14ac:dyDescent="0.3">
      <c r="K1620" t="str">
        <f>IF($D1620="","",IFERROR(INDEX(Mapping!$H$3:$H$32,MATCH($B1620,Mapping!$G$3:$G$32,0)),IF(LEFT($F1620,3)="P2P",IFERROR(INDEX(Mapping!$E$3:$E$6,MATCH($G1620,Mapping!$D$3:$D$6,0)),IFERROR(INDEX(Mapping!$B$3:$B$13,MATCH($J1620,Mapping!$A$3:$A$13,0)),"(unmapped)")),IFERROR(INDEX(Mapping!$B$17:$B$22,MATCH($F1620,Mapping!$A$17:$A$22,0)),$F1620)&amp;" "&amp;IF($G1620="Banking","Banking",IFERROR(INDEX(Mapping!$E$17:$E$28,MATCH($J1620,Mapping!$D$17:$D$28,0)),"(unmapped)")))))</f>
        <v/>
      </c>
    </row>
    <row r="1621" spans="11:11" x14ac:dyDescent="0.3">
      <c r="K1621" t="str">
        <f>IF($D1621="","",IFERROR(INDEX(Mapping!$H$3:$H$32,MATCH($B1621,Mapping!$G$3:$G$32,0)),IF(LEFT($F1621,3)="P2P",IFERROR(INDEX(Mapping!$E$3:$E$6,MATCH($G1621,Mapping!$D$3:$D$6,0)),IFERROR(INDEX(Mapping!$B$3:$B$13,MATCH($J1621,Mapping!$A$3:$A$13,0)),"(unmapped)")),IFERROR(INDEX(Mapping!$B$17:$B$22,MATCH($F1621,Mapping!$A$17:$A$22,0)),$F1621)&amp;" "&amp;IF($G1621="Banking","Banking",IFERROR(INDEX(Mapping!$E$17:$E$28,MATCH($J1621,Mapping!$D$17:$D$28,0)),"(unmapped)")))))</f>
        <v/>
      </c>
    </row>
    <row r="1622" spans="11:11" x14ac:dyDescent="0.3">
      <c r="K1622" t="str">
        <f>IF($D1622="","",IFERROR(INDEX(Mapping!$H$3:$H$32,MATCH($B1622,Mapping!$G$3:$G$32,0)),IF(LEFT($F1622,3)="P2P",IFERROR(INDEX(Mapping!$E$3:$E$6,MATCH($G1622,Mapping!$D$3:$D$6,0)),IFERROR(INDEX(Mapping!$B$3:$B$13,MATCH($J1622,Mapping!$A$3:$A$13,0)),"(unmapped)")),IFERROR(INDEX(Mapping!$B$17:$B$22,MATCH($F1622,Mapping!$A$17:$A$22,0)),$F1622)&amp;" "&amp;IF($G1622="Banking","Banking",IFERROR(INDEX(Mapping!$E$17:$E$28,MATCH($J1622,Mapping!$D$17:$D$28,0)),"(unmapped)")))))</f>
        <v/>
      </c>
    </row>
    <row r="1623" spans="11:11" x14ac:dyDescent="0.3">
      <c r="K1623" t="str">
        <f>IF($D1623="","",IFERROR(INDEX(Mapping!$H$3:$H$32,MATCH($B1623,Mapping!$G$3:$G$32,0)),IF(LEFT($F1623,3)="P2P",IFERROR(INDEX(Mapping!$E$3:$E$6,MATCH($G1623,Mapping!$D$3:$D$6,0)),IFERROR(INDEX(Mapping!$B$3:$B$13,MATCH($J1623,Mapping!$A$3:$A$13,0)),"(unmapped)")),IFERROR(INDEX(Mapping!$B$17:$B$22,MATCH($F1623,Mapping!$A$17:$A$22,0)),$F1623)&amp;" "&amp;IF($G1623="Banking","Banking",IFERROR(INDEX(Mapping!$E$17:$E$28,MATCH($J1623,Mapping!$D$17:$D$28,0)),"(unmapped)")))))</f>
        <v/>
      </c>
    </row>
    <row r="1624" spans="11:11" x14ac:dyDescent="0.3">
      <c r="K1624" t="str">
        <f>IF($D1624="","",IFERROR(INDEX(Mapping!$H$3:$H$32,MATCH($B1624,Mapping!$G$3:$G$32,0)),IF(LEFT($F1624,3)="P2P",IFERROR(INDEX(Mapping!$E$3:$E$6,MATCH($G1624,Mapping!$D$3:$D$6,0)),IFERROR(INDEX(Mapping!$B$3:$B$13,MATCH($J1624,Mapping!$A$3:$A$13,0)),"(unmapped)")),IFERROR(INDEX(Mapping!$B$17:$B$22,MATCH($F1624,Mapping!$A$17:$A$22,0)),$F1624)&amp;" "&amp;IF($G1624="Banking","Banking",IFERROR(INDEX(Mapping!$E$17:$E$28,MATCH($J1624,Mapping!$D$17:$D$28,0)),"(unmapped)")))))</f>
        <v/>
      </c>
    </row>
    <row r="1625" spans="11:11" x14ac:dyDescent="0.3">
      <c r="K1625" t="str">
        <f>IF($D1625="","",IFERROR(INDEX(Mapping!$H$3:$H$32,MATCH($B1625,Mapping!$G$3:$G$32,0)),IF(LEFT($F1625,3)="P2P",IFERROR(INDEX(Mapping!$E$3:$E$6,MATCH($G1625,Mapping!$D$3:$D$6,0)),IFERROR(INDEX(Mapping!$B$3:$B$13,MATCH($J1625,Mapping!$A$3:$A$13,0)),"(unmapped)")),IFERROR(INDEX(Mapping!$B$17:$B$22,MATCH($F1625,Mapping!$A$17:$A$22,0)),$F1625)&amp;" "&amp;IF($G1625="Banking","Banking",IFERROR(INDEX(Mapping!$E$17:$E$28,MATCH($J1625,Mapping!$D$17:$D$28,0)),"(unmapped)")))))</f>
        <v/>
      </c>
    </row>
    <row r="1626" spans="11:11" x14ac:dyDescent="0.3">
      <c r="K1626" t="str">
        <f>IF($D1626="","",IFERROR(INDEX(Mapping!$H$3:$H$32,MATCH($B1626,Mapping!$G$3:$G$32,0)),IF(LEFT($F1626,3)="P2P",IFERROR(INDEX(Mapping!$E$3:$E$6,MATCH($G1626,Mapping!$D$3:$D$6,0)),IFERROR(INDEX(Mapping!$B$3:$B$13,MATCH($J1626,Mapping!$A$3:$A$13,0)),"(unmapped)")),IFERROR(INDEX(Mapping!$B$17:$B$22,MATCH($F1626,Mapping!$A$17:$A$22,0)),$F1626)&amp;" "&amp;IF($G1626="Banking","Banking",IFERROR(INDEX(Mapping!$E$17:$E$28,MATCH($J1626,Mapping!$D$17:$D$28,0)),"(unmapped)")))))</f>
        <v/>
      </c>
    </row>
    <row r="1627" spans="11:11" x14ac:dyDescent="0.3">
      <c r="K1627" t="str">
        <f>IF($D1627="","",IFERROR(INDEX(Mapping!$H$3:$H$32,MATCH($B1627,Mapping!$G$3:$G$32,0)),IF(LEFT($F1627,3)="P2P",IFERROR(INDEX(Mapping!$E$3:$E$6,MATCH($G1627,Mapping!$D$3:$D$6,0)),IFERROR(INDEX(Mapping!$B$3:$B$13,MATCH($J1627,Mapping!$A$3:$A$13,0)),"(unmapped)")),IFERROR(INDEX(Mapping!$B$17:$B$22,MATCH($F1627,Mapping!$A$17:$A$22,0)),$F1627)&amp;" "&amp;IF($G1627="Banking","Banking",IFERROR(INDEX(Mapping!$E$17:$E$28,MATCH($J1627,Mapping!$D$17:$D$28,0)),"(unmapped)")))))</f>
        <v/>
      </c>
    </row>
    <row r="1628" spans="11:11" x14ac:dyDescent="0.3">
      <c r="K1628" t="str">
        <f>IF($D1628="","",IFERROR(INDEX(Mapping!$H$3:$H$32,MATCH($B1628,Mapping!$G$3:$G$32,0)),IF(LEFT($F1628,3)="P2P",IFERROR(INDEX(Mapping!$E$3:$E$6,MATCH($G1628,Mapping!$D$3:$D$6,0)),IFERROR(INDEX(Mapping!$B$3:$B$13,MATCH($J1628,Mapping!$A$3:$A$13,0)),"(unmapped)")),IFERROR(INDEX(Mapping!$B$17:$B$22,MATCH($F1628,Mapping!$A$17:$A$22,0)),$F1628)&amp;" "&amp;IF($G1628="Banking","Banking",IFERROR(INDEX(Mapping!$E$17:$E$28,MATCH($J1628,Mapping!$D$17:$D$28,0)),"(unmapped)")))))</f>
        <v/>
      </c>
    </row>
    <row r="1629" spans="11:11" x14ac:dyDescent="0.3">
      <c r="K1629" t="str">
        <f>IF($D1629="","",IFERROR(INDEX(Mapping!$H$3:$H$32,MATCH($B1629,Mapping!$G$3:$G$32,0)),IF(LEFT($F1629,3)="P2P",IFERROR(INDEX(Mapping!$E$3:$E$6,MATCH($G1629,Mapping!$D$3:$D$6,0)),IFERROR(INDEX(Mapping!$B$3:$B$13,MATCH($J1629,Mapping!$A$3:$A$13,0)),"(unmapped)")),IFERROR(INDEX(Mapping!$B$17:$B$22,MATCH($F1629,Mapping!$A$17:$A$22,0)),$F1629)&amp;" "&amp;IF($G1629="Banking","Banking",IFERROR(INDEX(Mapping!$E$17:$E$28,MATCH($J1629,Mapping!$D$17:$D$28,0)),"(unmapped)")))))</f>
        <v/>
      </c>
    </row>
    <row r="1630" spans="11:11" x14ac:dyDescent="0.3">
      <c r="K1630" t="str">
        <f>IF($D1630="","",IFERROR(INDEX(Mapping!$H$3:$H$32,MATCH($B1630,Mapping!$G$3:$G$32,0)),IF(LEFT($F1630,3)="P2P",IFERROR(INDEX(Mapping!$E$3:$E$6,MATCH($G1630,Mapping!$D$3:$D$6,0)),IFERROR(INDEX(Mapping!$B$3:$B$13,MATCH($J1630,Mapping!$A$3:$A$13,0)),"(unmapped)")),IFERROR(INDEX(Mapping!$B$17:$B$22,MATCH($F1630,Mapping!$A$17:$A$22,0)),$F1630)&amp;" "&amp;IF($G1630="Banking","Banking",IFERROR(INDEX(Mapping!$E$17:$E$28,MATCH($J1630,Mapping!$D$17:$D$28,0)),"(unmapped)")))))</f>
        <v/>
      </c>
    </row>
    <row r="1631" spans="11:11" x14ac:dyDescent="0.3">
      <c r="K1631" t="str">
        <f>IF($D1631="","",IFERROR(INDEX(Mapping!$H$3:$H$32,MATCH($B1631,Mapping!$G$3:$G$32,0)),IF(LEFT($F1631,3)="P2P",IFERROR(INDEX(Mapping!$E$3:$E$6,MATCH($G1631,Mapping!$D$3:$D$6,0)),IFERROR(INDEX(Mapping!$B$3:$B$13,MATCH($J1631,Mapping!$A$3:$A$13,0)),"(unmapped)")),IFERROR(INDEX(Mapping!$B$17:$B$22,MATCH($F1631,Mapping!$A$17:$A$22,0)),$F1631)&amp;" "&amp;IF($G1631="Banking","Banking",IFERROR(INDEX(Mapping!$E$17:$E$28,MATCH($J1631,Mapping!$D$17:$D$28,0)),"(unmapped)")))))</f>
        <v/>
      </c>
    </row>
    <row r="1632" spans="11:11" x14ac:dyDescent="0.3">
      <c r="K1632" t="str">
        <f>IF($D1632="","",IFERROR(INDEX(Mapping!$H$3:$H$32,MATCH($B1632,Mapping!$G$3:$G$32,0)),IF(LEFT($F1632,3)="P2P",IFERROR(INDEX(Mapping!$E$3:$E$6,MATCH($G1632,Mapping!$D$3:$D$6,0)),IFERROR(INDEX(Mapping!$B$3:$B$13,MATCH($J1632,Mapping!$A$3:$A$13,0)),"(unmapped)")),IFERROR(INDEX(Mapping!$B$17:$B$22,MATCH($F1632,Mapping!$A$17:$A$22,0)),$F1632)&amp;" "&amp;IF($G1632="Banking","Banking",IFERROR(INDEX(Mapping!$E$17:$E$28,MATCH($J1632,Mapping!$D$17:$D$28,0)),"(unmapped)")))))</f>
        <v/>
      </c>
    </row>
    <row r="1633" spans="11:11" x14ac:dyDescent="0.3">
      <c r="K1633" t="str">
        <f>IF($D1633="","",IFERROR(INDEX(Mapping!$H$3:$H$32,MATCH($B1633,Mapping!$G$3:$G$32,0)),IF(LEFT($F1633,3)="P2P",IFERROR(INDEX(Mapping!$E$3:$E$6,MATCH($G1633,Mapping!$D$3:$D$6,0)),IFERROR(INDEX(Mapping!$B$3:$B$13,MATCH($J1633,Mapping!$A$3:$A$13,0)),"(unmapped)")),IFERROR(INDEX(Mapping!$B$17:$B$22,MATCH($F1633,Mapping!$A$17:$A$22,0)),$F1633)&amp;" "&amp;IF($G1633="Banking","Banking",IFERROR(INDEX(Mapping!$E$17:$E$28,MATCH($J1633,Mapping!$D$17:$D$28,0)),"(unmapped)")))))</f>
        <v/>
      </c>
    </row>
    <row r="1634" spans="11:11" x14ac:dyDescent="0.3">
      <c r="K1634" t="str">
        <f>IF($D1634="","",IFERROR(INDEX(Mapping!$H$3:$H$32,MATCH($B1634,Mapping!$G$3:$G$32,0)),IF(LEFT($F1634,3)="P2P",IFERROR(INDEX(Mapping!$E$3:$E$6,MATCH($G1634,Mapping!$D$3:$D$6,0)),IFERROR(INDEX(Mapping!$B$3:$B$13,MATCH($J1634,Mapping!$A$3:$A$13,0)),"(unmapped)")),IFERROR(INDEX(Mapping!$B$17:$B$22,MATCH($F1634,Mapping!$A$17:$A$22,0)),$F1634)&amp;" "&amp;IF($G1634="Banking","Banking",IFERROR(INDEX(Mapping!$E$17:$E$28,MATCH($J1634,Mapping!$D$17:$D$28,0)),"(unmapped)")))))</f>
        <v/>
      </c>
    </row>
    <row r="1635" spans="11:11" x14ac:dyDescent="0.3">
      <c r="K1635" t="str">
        <f>IF($D1635="","",IFERROR(INDEX(Mapping!$H$3:$H$32,MATCH($B1635,Mapping!$G$3:$G$32,0)),IF(LEFT($F1635,3)="P2P",IFERROR(INDEX(Mapping!$E$3:$E$6,MATCH($G1635,Mapping!$D$3:$D$6,0)),IFERROR(INDEX(Mapping!$B$3:$B$13,MATCH($J1635,Mapping!$A$3:$A$13,0)),"(unmapped)")),IFERROR(INDEX(Mapping!$B$17:$B$22,MATCH($F1635,Mapping!$A$17:$A$22,0)),$F1635)&amp;" "&amp;IF($G1635="Banking","Banking",IFERROR(INDEX(Mapping!$E$17:$E$28,MATCH($J1635,Mapping!$D$17:$D$28,0)),"(unmapped)")))))</f>
        <v/>
      </c>
    </row>
    <row r="1636" spans="11:11" x14ac:dyDescent="0.3">
      <c r="K1636" t="str">
        <f>IF($D1636="","",IFERROR(INDEX(Mapping!$H$3:$H$32,MATCH($B1636,Mapping!$G$3:$G$32,0)),IF(LEFT($F1636,3)="P2P",IFERROR(INDEX(Mapping!$E$3:$E$6,MATCH($G1636,Mapping!$D$3:$D$6,0)),IFERROR(INDEX(Mapping!$B$3:$B$13,MATCH($J1636,Mapping!$A$3:$A$13,0)),"(unmapped)")),IFERROR(INDEX(Mapping!$B$17:$B$22,MATCH($F1636,Mapping!$A$17:$A$22,0)),$F1636)&amp;" "&amp;IF($G1636="Banking","Banking",IFERROR(INDEX(Mapping!$E$17:$E$28,MATCH($J1636,Mapping!$D$17:$D$28,0)),"(unmapped)")))))</f>
        <v/>
      </c>
    </row>
    <row r="1637" spans="11:11" x14ac:dyDescent="0.3">
      <c r="K1637" t="str">
        <f>IF($D1637="","",IFERROR(INDEX(Mapping!$H$3:$H$32,MATCH($B1637,Mapping!$G$3:$G$32,0)),IF(LEFT($F1637,3)="P2P",IFERROR(INDEX(Mapping!$E$3:$E$6,MATCH($G1637,Mapping!$D$3:$D$6,0)),IFERROR(INDEX(Mapping!$B$3:$B$13,MATCH($J1637,Mapping!$A$3:$A$13,0)),"(unmapped)")),IFERROR(INDEX(Mapping!$B$17:$B$22,MATCH($F1637,Mapping!$A$17:$A$22,0)),$F1637)&amp;" "&amp;IF($G1637="Banking","Banking",IFERROR(INDEX(Mapping!$E$17:$E$28,MATCH($J1637,Mapping!$D$17:$D$28,0)),"(unmapped)")))))</f>
        <v/>
      </c>
    </row>
    <row r="1638" spans="11:11" x14ac:dyDescent="0.3">
      <c r="K1638" t="str">
        <f>IF($D1638="","",IFERROR(INDEX(Mapping!$H$3:$H$32,MATCH($B1638,Mapping!$G$3:$G$32,0)),IF(LEFT($F1638,3)="P2P",IFERROR(INDEX(Mapping!$E$3:$E$6,MATCH($G1638,Mapping!$D$3:$D$6,0)),IFERROR(INDEX(Mapping!$B$3:$B$13,MATCH($J1638,Mapping!$A$3:$A$13,0)),"(unmapped)")),IFERROR(INDEX(Mapping!$B$17:$B$22,MATCH($F1638,Mapping!$A$17:$A$22,0)),$F1638)&amp;" "&amp;IF($G1638="Banking","Banking",IFERROR(INDEX(Mapping!$E$17:$E$28,MATCH($J1638,Mapping!$D$17:$D$28,0)),"(unmapped)")))))</f>
        <v/>
      </c>
    </row>
    <row r="1639" spans="11:11" x14ac:dyDescent="0.3">
      <c r="K1639" t="str">
        <f>IF($D1639="","",IFERROR(INDEX(Mapping!$H$3:$H$32,MATCH($B1639,Mapping!$G$3:$G$32,0)),IF(LEFT($F1639,3)="P2P",IFERROR(INDEX(Mapping!$E$3:$E$6,MATCH($G1639,Mapping!$D$3:$D$6,0)),IFERROR(INDEX(Mapping!$B$3:$B$13,MATCH($J1639,Mapping!$A$3:$A$13,0)),"(unmapped)")),IFERROR(INDEX(Mapping!$B$17:$B$22,MATCH($F1639,Mapping!$A$17:$A$22,0)),$F1639)&amp;" "&amp;IF($G1639="Banking","Banking",IFERROR(INDEX(Mapping!$E$17:$E$28,MATCH($J1639,Mapping!$D$17:$D$28,0)),"(unmapped)")))))</f>
        <v/>
      </c>
    </row>
    <row r="1640" spans="11:11" x14ac:dyDescent="0.3">
      <c r="K1640" t="str">
        <f>IF($D1640="","",IFERROR(INDEX(Mapping!$H$3:$H$32,MATCH($B1640,Mapping!$G$3:$G$32,0)),IF(LEFT($F1640,3)="P2P",IFERROR(INDEX(Mapping!$E$3:$E$6,MATCH($G1640,Mapping!$D$3:$D$6,0)),IFERROR(INDEX(Mapping!$B$3:$B$13,MATCH($J1640,Mapping!$A$3:$A$13,0)),"(unmapped)")),IFERROR(INDEX(Mapping!$B$17:$B$22,MATCH($F1640,Mapping!$A$17:$A$22,0)),$F1640)&amp;" "&amp;IF($G1640="Banking","Banking",IFERROR(INDEX(Mapping!$E$17:$E$28,MATCH($J1640,Mapping!$D$17:$D$28,0)),"(unmapped)")))))</f>
        <v/>
      </c>
    </row>
    <row r="1641" spans="11:11" x14ac:dyDescent="0.3">
      <c r="K1641" t="str">
        <f>IF($D1641="","",IFERROR(INDEX(Mapping!$H$3:$H$32,MATCH($B1641,Mapping!$G$3:$G$32,0)),IF(LEFT($F1641,3)="P2P",IFERROR(INDEX(Mapping!$E$3:$E$6,MATCH($G1641,Mapping!$D$3:$D$6,0)),IFERROR(INDEX(Mapping!$B$3:$B$13,MATCH($J1641,Mapping!$A$3:$A$13,0)),"(unmapped)")),IFERROR(INDEX(Mapping!$B$17:$B$22,MATCH($F1641,Mapping!$A$17:$A$22,0)),$F1641)&amp;" "&amp;IF($G1641="Banking","Banking",IFERROR(INDEX(Mapping!$E$17:$E$28,MATCH($J1641,Mapping!$D$17:$D$28,0)),"(unmapped)")))))</f>
        <v/>
      </c>
    </row>
    <row r="1642" spans="11:11" x14ac:dyDescent="0.3">
      <c r="K1642" t="str">
        <f>IF($D1642="","",IFERROR(INDEX(Mapping!$H$3:$H$32,MATCH($B1642,Mapping!$G$3:$G$32,0)),IF(LEFT($F1642,3)="P2P",IFERROR(INDEX(Mapping!$E$3:$E$6,MATCH($G1642,Mapping!$D$3:$D$6,0)),IFERROR(INDEX(Mapping!$B$3:$B$13,MATCH($J1642,Mapping!$A$3:$A$13,0)),"(unmapped)")),IFERROR(INDEX(Mapping!$B$17:$B$22,MATCH($F1642,Mapping!$A$17:$A$22,0)),$F1642)&amp;" "&amp;IF($G1642="Banking","Banking",IFERROR(INDEX(Mapping!$E$17:$E$28,MATCH($J1642,Mapping!$D$17:$D$28,0)),"(unmapped)")))))</f>
        <v/>
      </c>
    </row>
    <row r="1643" spans="11:11" x14ac:dyDescent="0.3">
      <c r="K1643" t="str">
        <f>IF($D1643="","",IFERROR(INDEX(Mapping!$H$3:$H$32,MATCH($B1643,Mapping!$G$3:$G$32,0)),IF(LEFT($F1643,3)="P2P",IFERROR(INDEX(Mapping!$E$3:$E$6,MATCH($G1643,Mapping!$D$3:$D$6,0)),IFERROR(INDEX(Mapping!$B$3:$B$13,MATCH($J1643,Mapping!$A$3:$A$13,0)),"(unmapped)")),IFERROR(INDEX(Mapping!$B$17:$B$22,MATCH($F1643,Mapping!$A$17:$A$22,0)),$F1643)&amp;" "&amp;IF($G1643="Banking","Banking",IFERROR(INDEX(Mapping!$E$17:$E$28,MATCH($J1643,Mapping!$D$17:$D$28,0)),"(unmapped)")))))</f>
        <v/>
      </c>
    </row>
    <row r="1644" spans="11:11" x14ac:dyDescent="0.3">
      <c r="K1644" t="str">
        <f>IF($D1644="","",IFERROR(INDEX(Mapping!$H$3:$H$32,MATCH($B1644,Mapping!$G$3:$G$32,0)),IF(LEFT($F1644,3)="P2P",IFERROR(INDEX(Mapping!$E$3:$E$6,MATCH($G1644,Mapping!$D$3:$D$6,0)),IFERROR(INDEX(Mapping!$B$3:$B$13,MATCH($J1644,Mapping!$A$3:$A$13,0)),"(unmapped)")),IFERROR(INDEX(Mapping!$B$17:$B$22,MATCH($F1644,Mapping!$A$17:$A$22,0)),$F1644)&amp;" "&amp;IF($G1644="Banking","Banking",IFERROR(INDEX(Mapping!$E$17:$E$28,MATCH($J1644,Mapping!$D$17:$D$28,0)),"(unmapped)")))))</f>
        <v/>
      </c>
    </row>
    <row r="1645" spans="11:11" x14ac:dyDescent="0.3">
      <c r="K1645" t="str">
        <f>IF($D1645="","",IFERROR(INDEX(Mapping!$H$3:$H$32,MATCH($B1645,Mapping!$G$3:$G$32,0)),IF(LEFT($F1645,3)="P2P",IFERROR(INDEX(Mapping!$E$3:$E$6,MATCH($G1645,Mapping!$D$3:$D$6,0)),IFERROR(INDEX(Mapping!$B$3:$B$13,MATCH($J1645,Mapping!$A$3:$A$13,0)),"(unmapped)")),IFERROR(INDEX(Mapping!$B$17:$B$22,MATCH($F1645,Mapping!$A$17:$A$22,0)),$F1645)&amp;" "&amp;IF($G1645="Banking","Banking",IFERROR(INDEX(Mapping!$E$17:$E$28,MATCH($J1645,Mapping!$D$17:$D$28,0)),"(unmapped)")))))</f>
        <v/>
      </c>
    </row>
    <row r="1646" spans="11:11" x14ac:dyDescent="0.3">
      <c r="K1646" t="str">
        <f>IF($D1646="","",IFERROR(INDEX(Mapping!$H$3:$H$32,MATCH($B1646,Mapping!$G$3:$G$32,0)),IF(LEFT($F1646,3)="P2P",IFERROR(INDEX(Mapping!$E$3:$E$6,MATCH($G1646,Mapping!$D$3:$D$6,0)),IFERROR(INDEX(Mapping!$B$3:$B$13,MATCH($J1646,Mapping!$A$3:$A$13,0)),"(unmapped)")),IFERROR(INDEX(Mapping!$B$17:$B$22,MATCH($F1646,Mapping!$A$17:$A$22,0)),$F1646)&amp;" "&amp;IF($G1646="Banking","Banking",IFERROR(INDEX(Mapping!$E$17:$E$28,MATCH($J1646,Mapping!$D$17:$D$28,0)),"(unmapped)")))))</f>
        <v/>
      </c>
    </row>
    <row r="1647" spans="11:11" x14ac:dyDescent="0.3">
      <c r="K1647" t="str">
        <f>IF($D1647="","",IFERROR(INDEX(Mapping!$H$3:$H$32,MATCH($B1647,Mapping!$G$3:$G$32,0)),IF(LEFT($F1647,3)="P2P",IFERROR(INDEX(Mapping!$E$3:$E$6,MATCH($G1647,Mapping!$D$3:$D$6,0)),IFERROR(INDEX(Mapping!$B$3:$B$13,MATCH($J1647,Mapping!$A$3:$A$13,0)),"(unmapped)")),IFERROR(INDEX(Mapping!$B$17:$B$22,MATCH($F1647,Mapping!$A$17:$A$22,0)),$F1647)&amp;" "&amp;IF($G1647="Banking","Banking",IFERROR(INDEX(Mapping!$E$17:$E$28,MATCH($J1647,Mapping!$D$17:$D$28,0)),"(unmapped)")))))</f>
        <v/>
      </c>
    </row>
    <row r="1648" spans="11:11" x14ac:dyDescent="0.3">
      <c r="K1648" t="str">
        <f>IF($D1648="","",IFERROR(INDEX(Mapping!$H$3:$H$32,MATCH($B1648,Mapping!$G$3:$G$32,0)),IF(LEFT($F1648,3)="P2P",IFERROR(INDEX(Mapping!$E$3:$E$6,MATCH($G1648,Mapping!$D$3:$D$6,0)),IFERROR(INDEX(Mapping!$B$3:$B$13,MATCH($J1648,Mapping!$A$3:$A$13,0)),"(unmapped)")),IFERROR(INDEX(Mapping!$B$17:$B$22,MATCH($F1648,Mapping!$A$17:$A$22,0)),$F1648)&amp;" "&amp;IF($G1648="Banking","Banking",IFERROR(INDEX(Mapping!$E$17:$E$28,MATCH($J1648,Mapping!$D$17:$D$28,0)),"(unmapped)")))))</f>
        <v/>
      </c>
    </row>
    <row r="1649" spans="11:11" x14ac:dyDescent="0.3">
      <c r="K1649" t="str">
        <f>IF($D1649="","",IFERROR(INDEX(Mapping!$H$3:$H$32,MATCH($B1649,Mapping!$G$3:$G$32,0)),IF(LEFT($F1649,3)="P2P",IFERROR(INDEX(Mapping!$E$3:$E$6,MATCH($G1649,Mapping!$D$3:$D$6,0)),IFERROR(INDEX(Mapping!$B$3:$B$13,MATCH($J1649,Mapping!$A$3:$A$13,0)),"(unmapped)")),IFERROR(INDEX(Mapping!$B$17:$B$22,MATCH($F1649,Mapping!$A$17:$A$22,0)),$F1649)&amp;" "&amp;IF($G1649="Banking","Banking",IFERROR(INDEX(Mapping!$E$17:$E$28,MATCH($J1649,Mapping!$D$17:$D$28,0)),"(unmapped)")))))</f>
        <v/>
      </c>
    </row>
    <row r="1650" spans="11:11" x14ac:dyDescent="0.3">
      <c r="K1650" t="str">
        <f>IF($D1650="","",IFERROR(INDEX(Mapping!$H$3:$H$32,MATCH($B1650,Mapping!$G$3:$G$32,0)),IF(LEFT($F1650,3)="P2P",IFERROR(INDEX(Mapping!$E$3:$E$6,MATCH($G1650,Mapping!$D$3:$D$6,0)),IFERROR(INDEX(Mapping!$B$3:$B$13,MATCH($J1650,Mapping!$A$3:$A$13,0)),"(unmapped)")),IFERROR(INDEX(Mapping!$B$17:$B$22,MATCH($F1650,Mapping!$A$17:$A$22,0)),$F1650)&amp;" "&amp;IF($G1650="Banking","Banking",IFERROR(INDEX(Mapping!$E$17:$E$28,MATCH($J1650,Mapping!$D$17:$D$28,0)),"(unmapped)")))))</f>
        <v/>
      </c>
    </row>
    <row r="1651" spans="11:11" x14ac:dyDescent="0.3">
      <c r="K1651" t="str">
        <f>IF($D1651="","",IFERROR(INDEX(Mapping!$H$3:$H$32,MATCH($B1651,Mapping!$G$3:$G$32,0)),IF(LEFT($F1651,3)="P2P",IFERROR(INDEX(Mapping!$E$3:$E$6,MATCH($G1651,Mapping!$D$3:$D$6,0)),IFERROR(INDEX(Mapping!$B$3:$B$13,MATCH($J1651,Mapping!$A$3:$A$13,0)),"(unmapped)")),IFERROR(INDEX(Mapping!$B$17:$B$22,MATCH($F1651,Mapping!$A$17:$A$22,0)),$F1651)&amp;" "&amp;IF($G1651="Banking","Banking",IFERROR(INDEX(Mapping!$E$17:$E$28,MATCH($J1651,Mapping!$D$17:$D$28,0)),"(unmapped)")))))</f>
        <v/>
      </c>
    </row>
    <row r="1652" spans="11:11" x14ac:dyDescent="0.3">
      <c r="K1652" t="str">
        <f>IF($D1652="","",IFERROR(INDEX(Mapping!$H$3:$H$32,MATCH($B1652,Mapping!$G$3:$G$32,0)),IF(LEFT($F1652,3)="P2P",IFERROR(INDEX(Mapping!$E$3:$E$6,MATCH($G1652,Mapping!$D$3:$D$6,0)),IFERROR(INDEX(Mapping!$B$3:$B$13,MATCH($J1652,Mapping!$A$3:$A$13,0)),"(unmapped)")),IFERROR(INDEX(Mapping!$B$17:$B$22,MATCH($F1652,Mapping!$A$17:$A$22,0)),$F1652)&amp;" "&amp;IF($G1652="Banking","Banking",IFERROR(INDEX(Mapping!$E$17:$E$28,MATCH($J1652,Mapping!$D$17:$D$28,0)),"(unmapped)")))))</f>
        <v/>
      </c>
    </row>
    <row r="1653" spans="11:11" x14ac:dyDescent="0.3">
      <c r="K1653" t="str">
        <f>IF($D1653="","",IFERROR(INDEX(Mapping!$H$3:$H$32,MATCH($B1653,Mapping!$G$3:$G$32,0)),IF(LEFT($F1653,3)="P2P",IFERROR(INDEX(Mapping!$E$3:$E$6,MATCH($G1653,Mapping!$D$3:$D$6,0)),IFERROR(INDEX(Mapping!$B$3:$B$13,MATCH($J1653,Mapping!$A$3:$A$13,0)),"(unmapped)")),IFERROR(INDEX(Mapping!$B$17:$B$22,MATCH($F1653,Mapping!$A$17:$A$22,0)),$F1653)&amp;" "&amp;IF($G1653="Banking","Banking",IFERROR(INDEX(Mapping!$E$17:$E$28,MATCH($J1653,Mapping!$D$17:$D$28,0)),"(unmapped)")))))</f>
        <v/>
      </c>
    </row>
    <row r="1654" spans="11:11" x14ac:dyDescent="0.3">
      <c r="K1654" t="str">
        <f>IF($D1654="","",IFERROR(INDEX(Mapping!$H$3:$H$32,MATCH($B1654,Mapping!$G$3:$G$32,0)),IF(LEFT($F1654,3)="P2P",IFERROR(INDEX(Mapping!$E$3:$E$6,MATCH($G1654,Mapping!$D$3:$D$6,0)),IFERROR(INDEX(Mapping!$B$3:$B$13,MATCH($J1654,Mapping!$A$3:$A$13,0)),"(unmapped)")),IFERROR(INDEX(Mapping!$B$17:$B$22,MATCH($F1654,Mapping!$A$17:$A$22,0)),$F1654)&amp;" "&amp;IF($G1654="Banking","Banking",IFERROR(INDEX(Mapping!$E$17:$E$28,MATCH($J1654,Mapping!$D$17:$D$28,0)),"(unmapped)")))))</f>
        <v/>
      </c>
    </row>
    <row r="1655" spans="11:11" x14ac:dyDescent="0.3">
      <c r="K1655" t="str">
        <f>IF($D1655="","",IFERROR(INDEX(Mapping!$H$3:$H$32,MATCH($B1655,Mapping!$G$3:$G$32,0)),IF(LEFT($F1655,3)="P2P",IFERROR(INDEX(Mapping!$E$3:$E$6,MATCH($G1655,Mapping!$D$3:$D$6,0)),IFERROR(INDEX(Mapping!$B$3:$B$13,MATCH($J1655,Mapping!$A$3:$A$13,0)),"(unmapped)")),IFERROR(INDEX(Mapping!$B$17:$B$22,MATCH($F1655,Mapping!$A$17:$A$22,0)),$F1655)&amp;" "&amp;IF($G1655="Banking","Banking",IFERROR(INDEX(Mapping!$E$17:$E$28,MATCH($J1655,Mapping!$D$17:$D$28,0)),"(unmapped)")))))</f>
        <v/>
      </c>
    </row>
    <row r="1656" spans="11:11" x14ac:dyDescent="0.3">
      <c r="K1656" t="str">
        <f>IF($D1656="","",IFERROR(INDEX(Mapping!$H$3:$H$32,MATCH($B1656,Mapping!$G$3:$G$32,0)),IF(LEFT($F1656,3)="P2P",IFERROR(INDEX(Mapping!$E$3:$E$6,MATCH($G1656,Mapping!$D$3:$D$6,0)),IFERROR(INDEX(Mapping!$B$3:$B$13,MATCH($J1656,Mapping!$A$3:$A$13,0)),"(unmapped)")),IFERROR(INDEX(Mapping!$B$17:$B$22,MATCH($F1656,Mapping!$A$17:$A$22,0)),$F1656)&amp;" "&amp;IF($G1656="Banking","Banking",IFERROR(INDEX(Mapping!$E$17:$E$28,MATCH($J1656,Mapping!$D$17:$D$28,0)),"(unmapped)")))))</f>
        <v/>
      </c>
    </row>
    <row r="1657" spans="11:11" x14ac:dyDescent="0.3">
      <c r="K1657" t="str">
        <f>IF($D1657="","",IFERROR(INDEX(Mapping!$H$3:$H$32,MATCH($B1657,Mapping!$G$3:$G$32,0)),IF(LEFT($F1657,3)="P2P",IFERROR(INDEX(Mapping!$E$3:$E$6,MATCH($G1657,Mapping!$D$3:$D$6,0)),IFERROR(INDEX(Mapping!$B$3:$B$13,MATCH($J1657,Mapping!$A$3:$A$13,0)),"(unmapped)")),IFERROR(INDEX(Mapping!$B$17:$B$22,MATCH($F1657,Mapping!$A$17:$A$22,0)),$F1657)&amp;" "&amp;IF($G1657="Banking","Banking",IFERROR(INDEX(Mapping!$E$17:$E$28,MATCH($J1657,Mapping!$D$17:$D$28,0)),"(unmapped)")))))</f>
        <v/>
      </c>
    </row>
    <row r="1658" spans="11:11" x14ac:dyDescent="0.3">
      <c r="K1658" t="str">
        <f>IF($D1658="","",IFERROR(INDEX(Mapping!$H$3:$H$32,MATCH($B1658,Mapping!$G$3:$G$32,0)),IF(LEFT($F1658,3)="P2P",IFERROR(INDEX(Mapping!$E$3:$E$6,MATCH($G1658,Mapping!$D$3:$D$6,0)),IFERROR(INDEX(Mapping!$B$3:$B$13,MATCH($J1658,Mapping!$A$3:$A$13,0)),"(unmapped)")),IFERROR(INDEX(Mapping!$B$17:$B$22,MATCH($F1658,Mapping!$A$17:$A$22,0)),$F1658)&amp;" "&amp;IF($G1658="Banking","Banking",IFERROR(INDEX(Mapping!$E$17:$E$28,MATCH($J1658,Mapping!$D$17:$D$28,0)),"(unmapped)")))))</f>
        <v/>
      </c>
    </row>
    <row r="1659" spans="11:11" x14ac:dyDescent="0.3">
      <c r="K1659" t="str">
        <f>IF($D1659="","",IFERROR(INDEX(Mapping!$H$3:$H$32,MATCH($B1659,Mapping!$G$3:$G$32,0)),IF(LEFT($F1659,3)="P2P",IFERROR(INDEX(Mapping!$E$3:$E$6,MATCH($G1659,Mapping!$D$3:$D$6,0)),IFERROR(INDEX(Mapping!$B$3:$B$13,MATCH($J1659,Mapping!$A$3:$A$13,0)),"(unmapped)")),IFERROR(INDEX(Mapping!$B$17:$B$22,MATCH($F1659,Mapping!$A$17:$A$22,0)),$F1659)&amp;" "&amp;IF($G1659="Banking","Banking",IFERROR(INDEX(Mapping!$E$17:$E$28,MATCH($J1659,Mapping!$D$17:$D$28,0)),"(unmapped)")))))</f>
        <v/>
      </c>
    </row>
    <row r="1660" spans="11:11" x14ac:dyDescent="0.3">
      <c r="K1660" t="str">
        <f>IF($D1660="","",IFERROR(INDEX(Mapping!$H$3:$H$32,MATCH($B1660,Mapping!$G$3:$G$32,0)),IF(LEFT($F1660,3)="P2P",IFERROR(INDEX(Mapping!$E$3:$E$6,MATCH($G1660,Mapping!$D$3:$D$6,0)),IFERROR(INDEX(Mapping!$B$3:$B$13,MATCH($J1660,Mapping!$A$3:$A$13,0)),"(unmapped)")),IFERROR(INDEX(Mapping!$B$17:$B$22,MATCH($F1660,Mapping!$A$17:$A$22,0)),$F1660)&amp;" "&amp;IF($G1660="Banking","Banking",IFERROR(INDEX(Mapping!$E$17:$E$28,MATCH($J1660,Mapping!$D$17:$D$28,0)),"(unmapped)")))))</f>
        <v/>
      </c>
    </row>
    <row r="1661" spans="11:11" x14ac:dyDescent="0.3">
      <c r="K1661" t="str">
        <f>IF($D1661="","",IFERROR(INDEX(Mapping!$H$3:$H$32,MATCH($B1661,Mapping!$G$3:$G$32,0)),IF(LEFT($F1661,3)="P2P",IFERROR(INDEX(Mapping!$E$3:$E$6,MATCH($G1661,Mapping!$D$3:$D$6,0)),IFERROR(INDEX(Mapping!$B$3:$B$13,MATCH($J1661,Mapping!$A$3:$A$13,0)),"(unmapped)")),IFERROR(INDEX(Mapping!$B$17:$B$22,MATCH($F1661,Mapping!$A$17:$A$22,0)),$F1661)&amp;" "&amp;IF($G1661="Banking","Banking",IFERROR(INDEX(Mapping!$E$17:$E$28,MATCH($J1661,Mapping!$D$17:$D$28,0)),"(unmapped)")))))</f>
        <v/>
      </c>
    </row>
    <row r="1662" spans="11:11" x14ac:dyDescent="0.3">
      <c r="K1662" t="str">
        <f>IF($D1662="","",IFERROR(INDEX(Mapping!$H$3:$H$32,MATCH($B1662,Mapping!$G$3:$G$32,0)),IF(LEFT($F1662,3)="P2P",IFERROR(INDEX(Mapping!$E$3:$E$6,MATCH($G1662,Mapping!$D$3:$D$6,0)),IFERROR(INDEX(Mapping!$B$3:$B$13,MATCH($J1662,Mapping!$A$3:$A$13,0)),"(unmapped)")),IFERROR(INDEX(Mapping!$B$17:$B$22,MATCH($F1662,Mapping!$A$17:$A$22,0)),$F1662)&amp;" "&amp;IF($G1662="Banking","Banking",IFERROR(INDEX(Mapping!$E$17:$E$28,MATCH($J1662,Mapping!$D$17:$D$28,0)),"(unmapped)")))))</f>
        <v/>
      </c>
    </row>
    <row r="1663" spans="11:11" x14ac:dyDescent="0.3">
      <c r="K1663" t="str">
        <f>IF($D1663="","",IFERROR(INDEX(Mapping!$H$3:$H$32,MATCH($B1663,Mapping!$G$3:$G$32,0)),IF(LEFT($F1663,3)="P2P",IFERROR(INDEX(Mapping!$E$3:$E$6,MATCH($G1663,Mapping!$D$3:$D$6,0)),IFERROR(INDEX(Mapping!$B$3:$B$13,MATCH($J1663,Mapping!$A$3:$A$13,0)),"(unmapped)")),IFERROR(INDEX(Mapping!$B$17:$B$22,MATCH($F1663,Mapping!$A$17:$A$22,0)),$F1663)&amp;" "&amp;IF($G1663="Banking","Banking",IFERROR(INDEX(Mapping!$E$17:$E$28,MATCH($J1663,Mapping!$D$17:$D$28,0)),"(unmapped)")))))</f>
        <v/>
      </c>
    </row>
    <row r="1664" spans="11:11" x14ac:dyDescent="0.3">
      <c r="K1664" t="str">
        <f>IF($D1664="","",IFERROR(INDEX(Mapping!$H$3:$H$32,MATCH($B1664,Mapping!$G$3:$G$32,0)),IF(LEFT($F1664,3)="P2P",IFERROR(INDEX(Mapping!$E$3:$E$6,MATCH($G1664,Mapping!$D$3:$D$6,0)),IFERROR(INDEX(Mapping!$B$3:$B$13,MATCH($J1664,Mapping!$A$3:$A$13,0)),"(unmapped)")),IFERROR(INDEX(Mapping!$B$17:$B$22,MATCH($F1664,Mapping!$A$17:$A$22,0)),$F1664)&amp;" "&amp;IF($G1664="Banking","Banking",IFERROR(INDEX(Mapping!$E$17:$E$28,MATCH($J1664,Mapping!$D$17:$D$28,0)),"(unmapped)")))))</f>
        <v/>
      </c>
    </row>
    <row r="1665" spans="11:11" x14ac:dyDescent="0.3">
      <c r="K1665" t="str">
        <f>IF($D1665="","",IFERROR(INDEX(Mapping!$H$3:$H$32,MATCH($B1665,Mapping!$G$3:$G$32,0)),IF(LEFT($F1665,3)="P2P",IFERROR(INDEX(Mapping!$E$3:$E$6,MATCH($G1665,Mapping!$D$3:$D$6,0)),IFERROR(INDEX(Mapping!$B$3:$B$13,MATCH($J1665,Mapping!$A$3:$A$13,0)),"(unmapped)")),IFERROR(INDEX(Mapping!$B$17:$B$22,MATCH($F1665,Mapping!$A$17:$A$22,0)),$F1665)&amp;" "&amp;IF($G1665="Banking","Banking",IFERROR(INDEX(Mapping!$E$17:$E$28,MATCH($J1665,Mapping!$D$17:$D$28,0)),"(unmapped)")))))</f>
        <v/>
      </c>
    </row>
    <row r="1666" spans="11:11" x14ac:dyDescent="0.3">
      <c r="K1666" t="str">
        <f>IF($D1666="","",IFERROR(INDEX(Mapping!$H$3:$H$32,MATCH($B1666,Mapping!$G$3:$G$32,0)),IF(LEFT($F1666,3)="P2P",IFERROR(INDEX(Mapping!$E$3:$E$6,MATCH($G1666,Mapping!$D$3:$D$6,0)),IFERROR(INDEX(Mapping!$B$3:$B$13,MATCH($J1666,Mapping!$A$3:$A$13,0)),"(unmapped)")),IFERROR(INDEX(Mapping!$B$17:$B$22,MATCH($F1666,Mapping!$A$17:$A$22,0)),$F1666)&amp;" "&amp;IF($G1666="Banking","Banking",IFERROR(INDEX(Mapping!$E$17:$E$28,MATCH($J1666,Mapping!$D$17:$D$28,0)),"(unmapped)")))))</f>
        <v/>
      </c>
    </row>
    <row r="1667" spans="11:11" x14ac:dyDescent="0.3">
      <c r="K1667" t="str">
        <f>IF($D1667="","",IFERROR(INDEX(Mapping!$H$3:$H$32,MATCH($B1667,Mapping!$G$3:$G$32,0)),IF(LEFT($F1667,3)="P2P",IFERROR(INDEX(Mapping!$E$3:$E$6,MATCH($G1667,Mapping!$D$3:$D$6,0)),IFERROR(INDEX(Mapping!$B$3:$B$13,MATCH($J1667,Mapping!$A$3:$A$13,0)),"(unmapped)")),IFERROR(INDEX(Mapping!$B$17:$B$22,MATCH($F1667,Mapping!$A$17:$A$22,0)),$F1667)&amp;" "&amp;IF($G1667="Banking","Banking",IFERROR(INDEX(Mapping!$E$17:$E$28,MATCH($J1667,Mapping!$D$17:$D$28,0)),"(unmapped)")))))</f>
        <v/>
      </c>
    </row>
    <row r="1668" spans="11:11" x14ac:dyDescent="0.3">
      <c r="K1668" t="str">
        <f>IF($D1668="","",IFERROR(INDEX(Mapping!$H$3:$H$32,MATCH($B1668,Mapping!$G$3:$G$32,0)),IF(LEFT($F1668,3)="P2P",IFERROR(INDEX(Mapping!$E$3:$E$6,MATCH($G1668,Mapping!$D$3:$D$6,0)),IFERROR(INDEX(Mapping!$B$3:$B$13,MATCH($J1668,Mapping!$A$3:$A$13,0)),"(unmapped)")),IFERROR(INDEX(Mapping!$B$17:$B$22,MATCH($F1668,Mapping!$A$17:$A$22,0)),$F1668)&amp;" "&amp;IF($G1668="Banking","Banking",IFERROR(INDEX(Mapping!$E$17:$E$28,MATCH($J1668,Mapping!$D$17:$D$28,0)),"(unmapped)")))))</f>
        <v/>
      </c>
    </row>
    <row r="1669" spans="11:11" x14ac:dyDescent="0.3">
      <c r="K1669" t="str">
        <f>IF($D1669="","",IFERROR(INDEX(Mapping!$H$3:$H$32,MATCH($B1669,Mapping!$G$3:$G$32,0)),IF(LEFT($F1669,3)="P2P",IFERROR(INDEX(Mapping!$E$3:$E$6,MATCH($G1669,Mapping!$D$3:$D$6,0)),IFERROR(INDEX(Mapping!$B$3:$B$13,MATCH($J1669,Mapping!$A$3:$A$13,0)),"(unmapped)")),IFERROR(INDEX(Mapping!$B$17:$B$22,MATCH($F1669,Mapping!$A$17:$A$22,0)),$F1669)&amp;" "&amp;IF($G1669="Banking","Banking",IFERROR(INDEX(Mapping!$E$17:$E$28,MATCH($J1669,Mapping!$D$17:$D$28,0)),"(unmapped)")))))</f>
        <v/>
      </c>
    </row>
    <row r="1670" spans="11:11" x14ac:dyDescent="0.3">
      <c r="K1670" t="str">
        <f>IF($D1670="","",IFERROR(INDEX(Mapping!$H$3:$H$32,MATCH($B1670,Mapping!$G$3:$G$32,0)),IF(LEFT($F1670,3)="P2P",IFERROR(INDEX(Mapping!$E$3:$E$6,MATCH($G1670,Mapping!$D$3:$D$6,0)),IFERROR(INDEX(Mapping!$B$3:$B$13,MATCH($J1670,Mapping!$A$3:$A$13,0)),"(unmapped)")),IFERROR(INDEX(Mapping!$B$17:$B$22,MATCH($F1670,Mapping!$A$17:$A$22,0)),$F1670)&amp;" "&amp;IF($G1670="Banking","Banking",IFERROR(INDEX(Mapping!$E$17:$E$28,MATCH($J1670,Mapping!$D$17:$D$28,0)),"(unmapped)")))))</f>
        <v/>
      </c>
    </row>
    <row r="1671" spans="11:11" x14ac:dyDescent="0.3">
      <c r="K1671" t="str">
        <f>IF($D1671="","",IFERROR(INDEX(Mapping!$H$3:$H$32,MATCH($B1671,Mapping!$G$3:$G$32,0)),IF(LEFT($F1671,3)="P2P",IFERROR(INDEX(Mapping!$E$3:$E$6,MATCH($G1671,Mapping!$D$3:$D$6,0)),IFERROR(INDEX(Mapping!$B$3:$B$13,MATCH($J1671,Mapping!$A$3:$A$13,0)),"(unmapped)")),IFERROR(INDEX(Mapping!$B$17:$B$22,MATCH($F1671,Mapping!$A$17:$A$22,0)),$F1671)&amp;" "&amp;IF($G1671="Banking","Banking",IFERROR(INDEX(Mapping!$E$17:$E$28,MATCH($J1671,Mapping!$D$17:$D$28,0)),"(unmapped)")))))</f>
        <v/>
      </c>
    </row>
    <row r="1672" spans="11:11" x14ac:dyDescent="0.3">
      <c r="K1672" t="str">
        <f>IF($D1672="","",IFERROR(INDEX(Mapping!$H$3:$H$32,MATCH($B1672,Mapping!$G$3:$G$32,0)),IF(LEFT($F1672,3)="P2P",IFERROR(INDEX(Mapping!$E$3:$E$6,MATCH($G1672,Mapping!$D$3:$D$6,0)),IFERROR(INDEX(Mapping!$B$3:$B$13,MATCH($J1672,Mapping!$A$3:$A$13,0)),"(unmapped)")),IFERROR(INDEX(Mapping!$B$17:$B$22,MATCH($F1672,Mapping!$A$17:$A$22,0)),$F1672)&amp;" "&amp;IF($G1672="Banking","Banking",IFERROR(INDEX(Mapping!$E$17:$E$28,MATCH($J1672,Mapping!$D$17:$D$28,0)),"(unmapped)")))))</f>
        <v/>
      </c>
    </row>
    <row r="1673" spans="11:11" x14ac:dyDescent="0.3">
      <c r="K1673" t="str">
        <f>IF($D1673="","",IFERROR(INDEX(Mapping!$H$3:$H$32,MATCH($B1673,Mapping!$G$3:$G$32,0)),IF(LEFT($F1673,3)="P2P",IFERROR(INDEX(Mapping!$E$3:$E$6,MATCH($G1673,Mapping!$D$3:$D$6,0)),IFERROR(INDEX(Mapping!$B$3:$B$13,MATCH($J1673,Mapping!$A$3:$A$13,0)),"(unmapped)")),IFERROR(INDEX(Mapping!$B$17:$B$22,MATCH($F1673,Mapping!$A$17:$A$22,0)),$F1673)&amp;" "&amp;IF($G1673="Banking","Banking",IFERROR(INDEX(Mapping!$E$17:$E$28,MATCH($J1673,Mapping!$D$17:$D$28,0)),"(unmapped)")))))</f>
        <v/>
      </c>
    </row>
    <row r="1674" spans="11:11" x14ac:dyDescent="0.3">
      <c r="K1674" t="str">
        <f>IF($D1674="","",IFERROR(INDEX(Mapping!$H$3:$H$32,MATCH($B1674,Mapping!$G$3:$G$32,0)),IF(LEFT($F1674,3)="P2P",IFERROR(INDEX(Mapping!$E$3:$E$6,MATCH($G1674,Mapping!$D$3:$D$6,0)),IFERROR(INDEX(Mapping!$B$3:$B$13,MATCH($J1674,Mapping!$A$3:$A$13,0)),"(unmapped)")),IFERROR(INDEX(Mapping!$B$17:$B$22,MATCH($F1674,Mapping!$A$17:$A$22,0)),$F1674)&amp;" "&amp;IF($G1674="Banking","Banking",IFERROR(INDEX(Mapping!$E$17:$E$28,MATCH($J1674,Mapping!$D$17:$D$28,0)),"(unmapped)")))))</f>
        <v/>
      </c>
    </row>
    <row r="1675" spans="11:11" x14ac:dyDescent="0.3">
      <c r="K1675" t="str">
        <f>IF($D1675="","",IFERROR(INDEX(Mapping!$H$3:$H$32,MATCH($B1675,Mapping!$G$3:$G$32,0)),IF(LEFT($F1675,3)="P2P",IFERROR(INDEX(Mapping!$E$3:$E$6,MATCH($G1675,Mapping!$D$3:$D$6,0)),IFERROR(INDEX(Mapping!$B$3:$B$13,MATCH($J1675,Mapping!$A$3:$A$13,0)),"(unmapped)")),IFERROR(INDEX(Mapping!$B$17:$B$22,MATCH($F1675,Mapping!$A$17:$A$22,0)),$F1675)&amp;" "&amp;IF($G1675="Banking","Banking",IFERROR(INDEX(Mapping!$E$17:$E$28,MATCH($J1675,Mapping!$D$17:$D$28,0)),"(unmapped)")))))</f>
        <v/>
      </c>
    </row>
    <row r="1676" spans="11:11" x14ac:dyDescent="0.3">
      <c r="K1676" t="str">
        <f>IF($D1676="","",IFERROR(INDEX(Mapping!$H$3:$H$32,MATCH($B1676,Mapping!$G$3:$G$32,0)),IF(LEFT($F1676,3)="P2P",IFERROR(INDEX(Mapping!$E$3:$E$6,MATCH($G1676,Mapping!$D$3:$D$6,0)),IFERROR(INDEX(Mapping!$B$3:$B$13,MATCH($J1676,Mapping!$A$3:$A$13,0)),"(unmapped)")),IFERROR(INDEX(Mapping!$B$17:$B$22,MATCH($F1676,Mapping!$A$17:$A$22,0)),$F1676)&amp;" "&amp;IF($G1676="Banking","Banking",IFERROR(INDEX(Mapping!$E$17:$E$28,MATCH($J1676,Mapping!$D$17:$D$28,0)),"(unmapped)")))))</f>
        <v/>
      </c>
    </row>
    <row r="1677" spans="11:11" x14ac:dyDescent="0.3">
      <c r="K1677" t="str">
        <f>IF($D1677="","",IFERROR(INDEX(Mapping!$H$3:$H$32,MATCH($B1677,Mapping!$G$3:$G$32,0)),IF(LEFT($F1677,3)="P2P",IFERROR(INDEX(Mapping!$E$3:$E$6,MATCH($G1677,Mapping!$D$3:$D$6,0)),IFERROR(INDEX(Mapping!$B$3:$B$13,MATCH($J1677,Mapping!$A$3:$A$13,0)),"(unmapped)")),IFERROR(INDEX(Mapping!$B$17:$B$22,MATCH($F1677,Mapping!$A$17:$A$22,0)),$F1677)&amp;" "&amp;IF($G1677="Banking","Banking",IFERROR(INDEX(Mapping!$E$17:$E$28,MATCH($J1677,Mapping!$D$17:$D$28,0)),"(unmapped)")))))</f>
        <v/>
      </c>
    </row>
    <row r="1678" spans="11:11" x14ac:dyDescent="0.3">
      <c r="K1678" t="str">
        <f>IF($D1678="","",IFERROR(INDEX(Mapping!$H$3:$H$32,MATCH($B1678,Mapping!$G$3:$G$32,0)),IF(LEFT($F1678,3)="P2P",IFERROR(INDEX(Mapping!$E$3:$E$6,MATCH($G1678,Mapping!$D$3:$D$6,0)),IFERROR(INDEX(Mapping!$B$3:$B$13,MATCH($J1678,Mapping!$A$3:$A$13,0)),"(unmapped)")),IFERROR(INDEX(Mapping!$B$17:$B$22,MATCH($F1678,Mapping!$A$17:$A$22,0)),$F1678)&amp;" "&amp;IF($G1678="Banking","Banking",IFERROR(INDEX(Mapping!$E$17:$E$28,MATCH($J1678,Mapping!$D$17:$D$28,0)),"(unmapped)")))))</f>
        <v/>
      </c>
    </row>
    <row r="1679" spans="11:11" x14ac:dyDescent="0.3">
      <c r="K1679" t="str">
        <f>IF($D1679="","",IFERROR(INDEX(Mapping!$H$3:$H$32,MATCH($B1679,Mapping!$G$3:$G$32,0)),IF(LEFT($F1679,3)="P2P",IFERROR(INDEX(Mapping!$E$3:$E$6,MATCH($G1679,Mapping!$D$3:$D$6,0)),IFERROR(INDEX(Mapping!$B$3:$B$13,MATCH($J1679,Mapping!$A$3:$A$13,0)),"(unmapped)")),IFERROR(INDEX(Mapping!$B$17:$B$22,MATCH($F1679,Mapping!$A$17:$A$22,0)),$F1679)&amp;" "&amp;IF($G1679="Banking","Banking",IFERROR(INDEX(Mapping!$E$17:$E$28,MATCH($J1679,Mapping!$D$17:$D$28,0)),"(unmapped)")))))</f>
        <v/>
      </c>
    </row>
    <row r="1680" spans="11:11" x14ac:dyDescent="0.3">
      <c r="K1680" t="str">
        <f>IF($D1680="","",IFERROR(INDEX(Mapping!$H$3:$H$32,MATCH($B1680,Mapping!$G$3:$G$32,0)),IF(LEFT($F1680,3)="P2P",IFERROR(INDEX(Mapping!$E$3:$E$6,MATCH($G1680,Mapping!$D$3:$D$6,0)),IFERROR(INDEX(Mapping!$B$3:$B$13,MATCH($J1680,Mapping!$A$3:$A$13,0)),"(unmapped)")),IFERROR(INDEX(Mapping!$B$17:$B$22,MATCH($F1680,Mapping!$A$17:$A$22,0)),$F1680)&amp;" "&amp;IF($G1680="Banking","Banking",IFERROR(INDEX(Mapping!$E$17:$E$28,MATCH($J1680,Mapping!$D$17:$D$28,0)),"(unmapped)")))))</f>
        <v/>
      </c>
    </row>
    <row r="1681" spans="11:11" x14ac:dyDescent="0.3">
      <c r="K1681" t="str">
        <f>IF($D1681="","",IFERROR(INDEX(Mapping!$H$3:$H$32,MATCH($B1681,Mapping!$G$3:$G$32,0)),IF(LEFT($F1681,3)="P2P",IFERROR(INDEX(Mapping!$E$3:$E$6,MATCH($G1681,Mapping!$D$3:$D$6,0)),IFERROR(INDEX(Mapping!$B$3:$B$13,MATCH($J1681,Mapping!$A$3:$A$13,0)),"(unmapped)")),IFERROR(INDEX(Mapping!$B$17:$B$22,MATCH($F1681,Mapping!$A$17:$A$22,0)),$F1681)&amp;" "&amp;IF($G1681="Banking","Banking",IFERROR(INDEX(Mapping!$E$17:$E$28,MATCH($J1681,Mapping!$D$17:$D$28,0)),"(unmapped)")))))</f>
        <v/>
      </c>
    </row>
    <row r="1682" spans="11:11" x14ac:dyDescent="0.3">
      <c r="K1682" t="str">
        <f>IF($D1682="","",IFERROR(INDEX(Mapping!$H$3:$H$32,MATCH($B1682,Mapping!$G$3:$G$32,0)),IF(LEFT($F1682,3)="P2P",IFERROR(INDEX(Mapping!$E$3:$E$6,MATCH($G1682,Mapping!$D$3:$D$6,0)),IFERROR(INDEX(Mapping!$B$3:$B$13,MATCH($J1682,Mapping!$A$3:$A$13,0)),"(unmapped)")),IFERROR(INDEX(Mapping!$B$17:$B$22,MATCH($F1682,Mapping!$A$17:$A$22,0)),$F1682)&amp;" "&amp;IF($G1682="Banking","Banking",IFERROR(INDEX(Mapping!$E$17:$E$28,MATCH($J1682,Mapping!$D$17:$D$28,0)),"(unmapped)")))))</f>
        <v/>
      </c>
    </row>
    <row r="1683" spans="11:11" x14ac:dyDescent="0.3">
      <c r="K1683" t="str">
        <f>IF($D1683="","",IFERROR(INDEX(Mapping!$H$3:$H$32,MATCH($B1683,Mapping!$G$3:$G$32,0)),IF(LEFT($F1683,3)="P2P",IFERROR(INDEX(Mapping!$E$3:$E$6,MATCH($G1683,Mapping!$D$3:$D$6,0)),IFERROR(INDEX(Mapping!$B$3:$B$13,MATCH($J1683,Mapping!$A$3:$A$13,0)),"(unmapped)")),IFERROR(INDEX(Mapping!$B$17:$B$22,MATCH($F1683,Mapping!$A$17:$A$22,0)),$F1683)&amp;" "&amp;IF($G1683="Banking","Banking",IFERROR(INDEX(Mapping!$E$17:$E$28,MATCH($J1683,Mapping!$D$17:$D$28,0)),"(unmapped)")))))</f>
        <v/>
      </c>
    </row>
    <row r="1684" spans="11:11" x14ac:dyDescent="0.3">
      <c r="K1684" t="str">
        <f>IF($D1684="","",IFERROR(INDEX(Mapping!$H$3:$H$32,MATCH($B1684,Mapping!$G$3:$G$32,0)),IF(LEFT($F1684,3)="P2P",IFERROR(INDEX(Mapping!$E$3:$E$6,MATCH($G1684,Mapping!$D$3:$D$6,0)),IFERROR(INDEX(Mapping!$B$3:$B$13,MATCH($J1684,Mapping!$A$3:$A$13,0)),"(unmapped)")),IFERROR(INDEX(Mapping!$B$17:$B$22,MATCH($F1684,Mapping!$A$17:$A$22,0)),$F1684)&amp;" "&amp;IF($G1684="Banking","Banking",IFERROR(INDEX(Mapping!$E$17:$E$28,MATCH($J1684,Mapping!$D$17:$D$28,0)),"(unmapped)")))))</f>
        <v/>
      </c>
    </row>
    <row r="1685" spans="11:11" x14ac:dyDescent="0.3">
      <c r="K1685" t="str">
        <f>IF($D1685="","",IFERROR(INDEX(Mapping!$H$3:$H$32,MATCH($B1685,Mapping!$G$3:$G$32,0)),IF(LEFT($F1685,3)="P2P",IFERROR(INDEX(Mapping!$E$3:$E$6,MATCH($G1685,Mapping!$D$3:$D$6,0)),IFERROR(INDEX(Mapping!$B$3:$B$13,MATCH($J1685,Mapping!$A$3:$A$13,0)),"(unmapped)")),IFERROR(INDEX(Mapping!$B$17:$B$22,MATCH($F1685,Mapping!$A$17:$A$22,0)),$F1685)&amp;" "&amp;IF($G1685="Banking","Banking",IFERROR(INDEX(Mapping!$E$17:$E$28,MATCH($J1685,Mapping!$D$17:$D$28,0)),"(unmapped)")))))</f>
        <v/>
      </c>
    </row>
    <row r="1686" spans="11:11" x14ac:dyDescent="0.3">
      <c r="K1686" t="str">
        <f>IF($D1686="","",IFERROR(INDEX(Mapping!$H$3:$H$32,MATCH($B1686,Mapping!$G$3:$G$32,0)),IF(LEFT($F1686,3)="P2P",IFERROR(INDEX(Mapping!$E$3:$E$6,MATCH($G1686,Mapping!$D$3:$D$6,0)),IFERROR(INDEX(Mapping!$B$3:$B$13,MATCH($J1686,Mapping!$A$3:$A$13,0)),"(unmapped)")),IFERROR(INDEX(Mapping!$B$17:$B$22,MATCH($F1686,Mapping!$A$17:$A$22,0)),$F1686)&amp;" "&amp;IF($G1686="Banking","Banking",IFERROR(INDEX(Mapping!$E$17:$E$28,MATCH($J1686,Mapping!$D$17:$D$28,0)),"(unmapped)")))))</f>
        <v/>
      </c>
    </row>
    <row r="1687" spans="11:11" x14ac:dyDescent="0.3">
      <c r="K1687" t="str">
        <f>IF($D1687="","",IFERROR(INDEX(Mapping!$H$3:$H$32,MATCH($B1687,Mapping!$G$3:$G$32,0)),IF(LEFT($F1687,3)="P2P",IFERROR(INDEX(Mapping!$E$3:$E$6,MATCH($G1687,Mapping!$D$3:$D$6,0)),IFERROR(INDEX(Mapping!$B$3:$B$13,MATCH($J1687,Mapping!$A$3:$A$13,0)),"(unmapped)")),IFERROR(INDEX(Mapping!$B$17:$B$22,MATCH($F1687,Mapping!$A$17:$A$22,0)),$F1687)&amp;" "&amp;IF($G1687="Banking","Banking",IFERROR(INDEX(Mapping!$E$17:$E$28,MATCH($J1687,Mapping!$D$17:$D$28,0)),"(unmapped)")))))</f>
        <v/>
      </c>
    </row>
    <row r="1688" spans="11:11" x14ac:dyDescent="0.3">
      <c r="K1688" t="str">
        <f>IF($D1688="","",IFERROR(INDEX(Mapping!$H$3:$H$32,MATCH($B1688,Mapping!$G$3:$G$32,0)),IF(LEFT($F1688,3)="P2P",IFERROR(INDEX(Mapping!$E$3:$E$6,MATCH($G1688,Mapping!$D$3:$D$6,0)),IFERROR(INDEX(Mapping!$B$3:$B$13,MATCH($J1688,Mapping!$A$3:$A$13,0)),"(unmapped)")),IFERROR(INDEX(Mapping!$B$17:$B$22,MATCH($F1688,Mapping!$A$17:$A$22,0)),$F1688)&amp;" "&amp;IF($G1688="Banking","Banking",IFERROR(INDEX(Mapping!$E$17:$E$28,MATCH($J1688,Mapping!$D$17:$D$28,0)),"(unmapped)")))))</f>
        <v/>
      </c>
    </row>
    <row r="1689" spans="11:11" x14ac:dyDescent="0.3">
      <c r="K1689" t="str">
        <f>IF($D1689="","",IFERROR(INDEX(Mapping!$H$3:$H$32,MATCH($B1689,Mapping!$G$3:$G$32,0)),IF(LEFT($F1689,3)="P2P",IFERROR(INDEX(Mapping!$E$3:$E$6,MATCH($G1689,Mapping!$D$3:$D$6,0)),IFERROR(INDEX(Mapping!$B$3:$B$13,MATCH($J1689,Mapping!$A$3:$A$13,0)),"(unmapped)")),IFERROR(INDEX(Mapping!$B$17:$B$22,MATCH($F1689,Mapping!$A$17:$A$22,0)),$F1689)&amp;" "&amp;IF($G1689="Banking","Banking",IFERROR(INDEX(Mapping!$E$17:$E$28,MATCH($J1689,Mapping!$D$17:$D$28,0)),"(unmapped)")))))</f>
        <v/>
      </c>
    </row>
    <row r="1690" spans="11:11" x14ac:dyDescent="0.3">
      <c r="K1690" t="str">
        <f>IF($D1690="","",IFERROR(INDEX(Mapping!$H$3:$H$32,MATCH($B1690,Mapping!$G$3:$G$32,0)),IF(LEFT($F1690,3)="P2P",IFERROR(INDEX(Mapping!$E$3:$E$6,MATCH($G1690,Mapping!$D$3:$D$6,0)),IFERROR(INDEX(Mapping!$B$3:$B$13,MATCH($J1690,Mapping!$A$3:$A$13,0)),"(unmapped)")),IFERROR(INDEX(Mapping!$B$17:$B$22,MATCH($F1690,Mapping!$A$17:$A$22,0)),$F1690)&amp;" "&amp;IF($G1690="Banking","Banking",IFERROR(INDEX(Mapping!$E$17:$E$28,MATCH($J1690,Mapping!$D$17:$D$28,0)),"(unmapped)")))))</f>
        <v/>
      </c>
    </row>
    <row r="1691" spans="11:11" x14ac:dyDescent="0.3">
      <c r="K1691" t="str">
        <f>IF($D1691="","",IFERROR(INDEX(Mapping!$H$3:$H$32,MATCH($B1691,Mapping!$G$3:$G$32,0)),IF(LEFT($F1691,3)="P2P",IFERROR(INDEX(Mapping!$E$3:$E$6,MATCH($G1691,Mapping!$D$3:$D$6,0)),IFERROR(INDEX(Mapping!$B$3:$B$13,MATCH($J1691,Mapping!$A$3:$A$13,0)),"(unmapped)")),IFERROR(INDEX(Mapping!$B$17:$B$22,MATCH($F1691,Mapping!$A$17:$A$22,0)),$F1691)&amp;" "&amp;IF($G1691="Banking","Banking",IFERROR(INDEX(Mapping!$E$17:$E$28,MATCH($J1691,Mapping!$D$17:$D$28,0)),"(unmapped)")))))</f>
        <v/>
      </c>
    </row>
    <row r="1692" spans="11:11" x14ac:dyDescent="0.3">
      <c r="K1692" t="str">
        <f>IF($D1692="","",IFERROR(INDEX(Mapping!$H$3:$H$32,MATCH($B1692,Mapping!$G$3:$G$32,0)),IF(LEFT($F1692,3)="P2P",IFERROR(INDEX(Mapping!$E$3:$E$6,MATCH($G1692,Mapping!$D$3:$D$6,0)),IFERROR(INDEX(Mapping!$B$3:$B$13,MATCH($J1692,Mapping!$A$3:$A$13,0)),"(unmapped)")),IFERROR(INDEX(Mapping!$B$17:$B$22,MATCH($F1692,Mapping!$A$17:$A$22,0)),$F1692)&amp;" "&amp;IF($G1692="Banking","Banking",IFERROR(INDEX(Mapping!$E$17:$E$28,MATCH($J1692,Mapping!$D$17:$D$28,0)),"(unmapped)")))))</f>
        <v/>
      </c>
    </row>
    <row r="1693" spans="11:11" x14ac:dyDescent="0.3">
      <c r="K1693" t="str">
        <f>IF($D1693="","",IFERROR(INDEX(Mapping!$H$3:$H$32,MATCH($B1693,Mapping!$G$3:$G$32,0)),IF(LEFT($F1693,3)="P2P",IFERROR(INDEX(Mapping!$E$3:$E$6,MATCH($G1693,Mapping!$D$3:$D$6,0)),IFERROR(INDEX(Mapping!$B$3:$B$13,MATCH($J1693,Mapping!$A$3:$A$13,0)),"(unmapped)")),IFERROR(INDEX(Mapping!$B$17:$B$22,MATCH($F1693,Mapping!$A$17:$A$22,0)),$F1693)&amp;" "&amp;IF($G1693="Banking","Banking",IFERROR(INDEX(Mapping!$E$17:$E$28,MATCH($J1693,Mapping!$D$17:$D$28,0)),"(unmapped)")))))</f>
        <v/>
      </c>
    </row>
    <row r="1694" spans="11:11" x14ac:dyDescent="0.3">
      <c r="K1694" t="str">
        <f>IF($D1694="","",IFERROR(INDEX(Mapping!$H$3:$H$32,MATCH($B1694,Mapping!$G$3:$G$32,0)),IF(LEFT($F1694,3)="P2P",IFERROR(INDEX(Mapping!$E$3:$E$6,MATCH($G1694,Mapping!$D$3:$D$6,0)),IFERROR(INDEX(Mapping!$B$3:$B$13,MATCH($J1694,Mapping!$A$3:$A$13,0)),"(unmapped)")),IFERROR(INDEX(Mapping!$B$17:$B$22,MATCH($F1694,Mapping!$A$17:$A$22,0)),$F1694)&amp;" "&amp;IF($G1694="Banking","Banking",IFERROR(INDEX(Mapping!$E$17:$E$28,MATCH($J1694,Mapping!$D$17:$D$28,0)),"(unmapped)")))))</f>
        <v/>
      </c>
    </row>
    <row r="1695" spans="11:11" x14ac:dyDescent="0.3">
      <c r="K1695" t="str">
        <f>IF($D1695="","",IFERROR(INDEX(Mapping!$H$3:$H$32,MATCH($B1695,Mapping!$G$3:$G$32,0)),IF(LEFT($F1695,3)="P2P",IFERROR(INDEX(Mapping!$E$3:$E$6,MATCH($G1695,Mapping!$D$3:$D$6,0)),IFERROR(INDEX(Mapping!$B$3:$B$13,MATCH($J1695,Mapping!$A$3:$A$13,0)),"(unmapped)")),IFERROR(INDEX(Mapping!$B$17:$B$22,MATCH($F1695,Mapping!$A$17:$A$22,0)),$F1695)&amp;" "&amp;IF($G1695="Banking","Banking",IFERROR(INDEX(Mapping!$E$17:$E$28,MATCH($J1695,Mapping!$D$17:$D$28,0)),"(unmapped)")))))</f>
        <v/>
      </c>
    </row>
    <row r="1696" spans="11:11" x14ac:dyDescent="0.3">
      <c r="K1696" t="str">
        <f>IF($D1696="","",IFERROR(INDEX(Mapping!$H$3:$H$32,MATCH($B1696,Mapping!$G$3:$G$32,0)),IF(LEFT($F1696,3)="P2P",IFERROR(INDEX(Mapping!$E$3:$E$6,MATCH($G1696,Mapping!$D$3:$D$6,0)),IFERROR(INDEX(Mapping!$B$3:$B$13,MATCH($J1696,Mapping!$A$3:$A$13,0)),"(unmapped)")),IFERROR(INDEX(Mapping!$B$17:$B$22,MATCH($F1696,Mapping!$A$17:$A$22,0)),$F1696)&amp;" "&amp;IF($G1696="Banking","Banking",IFERROR(INDEX(Mapping!$E$17:$E$28,MATCH($J1696,Mapping!$D$17:$D$28,0)),"(unmapped)")))))</f>
        <v/>
      </c>
    </row>
    <row r="1697" spans="11:11" x14ac:dyDescent="0.3">
      <c r="K1697" t="str">
        <f>IF($D1697="","",IFERROR(INDEX(Mapping!$H$3:$H$32,MATCH($B1697,Mapping!$G$3:$G$32,0)),IF(LEFT($F1697,3)="P2P",IFERROR(INDEX(Mapping!$E$3:$E$6,MATCH($G1697,Mapping!$D$3:$D$6,0)),IFERROR(INDEX(Mapping!$B$3:$B$13,MATCH($J1697,Mapping!$A$3:$A$13,0)),"(unmapped)")),IFERROR(INDEX(Mapping!$B$17:$B$22,MATCH($F1697,Mapping!$A$17:$A$22,0)),$F1697)&amp;" "&amp;IF($G1697="Banking","Banking",IFERROR(INDEX(Mapping!$E$17:$E$28,MATCH($J1697,Mapping!$D$17:$D$28,0)),"(unmapped)")))))</f>
        <v/>
      </c>
    </row>
    <row r="1698" spans="11:11" x14ac:dyDescent="0.3">
      <c r="K1698" t="str">
        <f>IF($D1698="","",IFERROR(INDEX(Mapping!$H$3:$H$32,MATCH($B1698,Mapping!$G$3:$G$32,0)),IF(LEFT($F1698,3)="P2P",IFERROR(INDEX(Mapping!$E$3:$E$6,MATCH($G1698,Mapping!$D$3:$D$6,0)),IFERROR(INDEX(Mapping!$B$3:$B$13,MATCH($J1698,Mapping!$A$3:$A$13,0)),"(unmapped)")),IFERROR(INDEX(Mapping!$B$17:$B$22,MATCH($F1698,Mapping!$A$17:$A$22,0)),$F1698)&amp;" "&amp;IF($G1698="Banking","Banking",IFERROR(INDEX(Mapping!$E$17:$E$28,MATCH($J1698,Mapping!$D$17:$D$28,0)),"(unmapped)")))))</f>
        <v/>
      </c>
    </row>
    <row r="1699" spans="11:11" x14ac:dyDescent="0.3">
      <c r="K1699" t="str">
        <f>IF($D1699="","",IFERROR(INDEX(Mapping!$H$3:$H$32,MATCH($B1699,Mapping!$G$3:$G$32,0)),IF(LEFT($F1699,3)="P2P",IFERROR(INDEX(Mapping!$E$3:$E$6,MATCH($G1699,Mapping!$D$3:$D$6,0)),IFERROR(INDEX(Mapping!$B$3:$B$13,MATCH($J1699,Mapping!$A$3:$A$13,0)),"(unmapped)")),IFERROR(INDEX(Mapping!$B$17:$B$22,MATCH($F1699,Mapping!$A$17:$A$22,0)),$F1699)&amp;" "&amp;IF($G1699="Banking","Banking",IFERROR(INDEX(Mapping!$E$17:$E$28,MATCH($J1699,Mapping!$D$17:$D$28,0)),"(unmapped)")))))</f>
        <v/>
      </c>
    </row>
    <row r="1700" spans="11:11" x14ac:dyDescent="0.3">
      <c r="K1700" t="str">
        <f>IF($D1700="","",IFERROR(INDEX(Mapping!$H$3:$H$32,MATCH($B1700,Mapping!$G$3:$G$32,0)),IF(LEFT($F1700,3)="P2P",IFERROR(INDEX(Mapping!$E$3:$E$6,MATCH($G1700,Mapping!$D$3:$D$6,0)),IFERROR(INDEX(Mapping!$B$3:$B$13,MATCH($J1700,Mapping!$A$3:$A$13,0)),"(unmapped)")),IFERROR(INDEX(Mapping!$B$17:$B$22,MATCH($F1700,Mapping!$A$17:$A$22,0)),$F1700)&amp;" "&amp;IF($G1700="Banking","Banking",IFERROR(INDEX(Mapping!$E$17:$E$28,MATCH($J1700,Mapping!$D$17:$D$28,0)),"(unmapped)")))))</f>
        <v/>
      </c>
    </row>
    <row r="1701" spans="11:11" x14ac:dyDescent="0.3">
      <c r="K1701" t="str">
        <f>IF($D1701="","",IFERROR(INDEX(Mapping!$H$3:$H$32,MATCH($B1701,Mapping!$G$3:$G$32,0)),IF(LEFT($F1701,3)="P2P",IFERROR(INDEX(Mapping!$E$3:$E$6,MATCH($G1701,Mapping!$D$3:$D$6,0)),IFERROR(INDEX(Mapping!$B$3:$B$13,MATCH($J1701,Mapping!$A$3:$A$13,0)),"(unmapped)")),IFERROR(INDEX(Mapping!$B$17:$B$22,MATCH($F1701,Mapping!$A$17:$A$22,0)),$F1701)&amp;" "&amp;IF($G1701="Banking","Banking",IFERROR(INDEX(Mapping!$E$17:$E$28,MATCH($J1701,Mapping!$D$17:$D$28,0)),"(unmapped)")))))</f>
        <v/>
      </c>
    </row>
    <row r="1702" spans="11:11" x14ac:dyDescent="0.3">
      <c r="K1702" t="str">
        <f>IF($D1702="","",IFERROR(INDEX(Mapping!$H$3:$H$32,MATCH($B1702,Mapping!$G$3:$G$32,0)),IF(LEFT($F1702,3)="P2P",IFERROR(INDEX(Mapping!$E$3:$E$6,MATCH($G1702,Mapping!$D$3:$D$6,0)),IFERROR(INDEX(Mapping!$B$3:$B$13,MATCH($J1702,Mapping!$A$3:$A$13,0)),"(unmapped)")),IFERROR(INDEX(Mapping!$B$17:$B$22,MATCH($F1702,Mapping!$A$17:$A$22,0)),$F1702)&amp;" "&amp;IF($G1702="Banking","Banking",IFERROR(INDEX(Mapping!$E$17:$E$28,MATCH($J1702,Mapping!$D$17:$D$28,0)),"(unmapped)")))))</f>
        <v/>
      </c>
    </row>
    <row r="1703" spans="11:11" x14ac:dyDescent="0.3">
      <c r="K1703" t="str">
        <f>IF($D1703="","",IFERROR(INDEX(Mapping!$H$3:$H$32,MATCH($B1703,Mapping!$G$3:$G$32,0)),IF(LEFT($F1703,3)="P2P",IFERROR(INDEX(Mapping!$E$3:$E$6,MATCH($G1703,Mapping!$D$3:$D$6,0)),IFERROR(INDEX(Mapping!$B$3:$B$13,MATCH($J1703,Mapping!$A$3:$A$13,0)),"(unmapped)")),IFERROR(INDEX(Mapping!$B$17:$B$22,MATCH($F1703,Mapping!$A$17:$A$22,0)),$F1703)&amp;" "&amp;IF($G1703="Banking","Banking",IFERROR(INDEX(Mapping!$E$17:$E$28,MATCH($J1703,Mapping!$D$17:$D$28,0)),"(unmapped)")))))</f>
        <v/>
      </c>
    </row>
    <row r="1704" spans="11:11" x14ac:dyDescent="0.3">
      <c r="K1704" t="str">
        <f>IF($D1704="","",IFERROR(INDEX(Mapping!$H$3:$H$32,MATCH($B1704,Mapping!$G$3:$G$32,0)),IF(LEFT($F1704,3)="P2P",IFERROR(INDEX(Mapping!$E$3:$E$6,MATCH($G1704,Mapping!$D$3:$D$6,0)),IFERROR(INDEX(Mapping!$B$3:$B$13,MATCH($J1704,Mapping!$A$3:$A$13,0)),"(unmapped)")),IFERROR(INDEX(Mapping!$B$17:$B$22,MATCH($F1704,Mapping!$A$17:$A$22,0)),$F1704)&amp;" "&amp;IF($G1704="Banking","Banking",IFERROR(INDEX(Mapping!$E$17:$E$28,MATCH($J1704,Mapping!$D$17:$D$28,0)),"(unmapped)")))))</f>
        <v/>
      </c>
    </row>
    <row r="1705" spans="11:11" x14ac:dyDescent="0.3">
      <c r="K1705" t="str">
        <f>IF($D1705="","",IFERROR(INDEX(Mapping!$H$3:$H$32,MATCH($B1705,Mapping!$G$3:$G$32,0)),IF(LEFT($F1705,3)="P2P",IFERROR(INDEX(Mapping!$E$3:$E$6,MATCH($G1705,Mapping!$D$3:$D$6,0)),IFERROR(INDEX(Mapping!$B$3:$B$13,MATCH($J1705,Mapping!$A$3:$A$13,0)),"(unmapped)")),IFERROR(INDEX(Mapping!$B$17:$B$22,MATCH($F1705,Mapping!$A$17:$A$22,0)),$F1705)&amp;" "&amp;IF($G1705="Banking","Banking",IFERROR(INDEX(Mapping!$E$17:$E$28,MATCH($J1705,Mapping!$D$17:$D$28,0)),"(unmapped)")))))</f>
        <v/>
      </c>
    </row>
    <row r="1706" spans="11:11" x14ac:dyDescent="0.3">
      <c r="K1706" t="str">
        <f>IF($D1706="","",IFERROR(INDEX(Mapping!$H$3:$H$32,MATCH($B1706,Mapping!$G$3:$G$32,0)),IF(LEFT($F1706,3)="P2P",IFERROR(INDEX(Mapping!$E$3:$E$6,MATCH($G1706,Mapping!$D$3:$D$6,0)),IFERROR(INDEX(Mapping!$B$3:$B$13,MATCH($J1706,Mapping!$A$3:$A$13,0)),"(unmapped)")),IFERROR(INDEX(Mapping!$B$17:$B$22,MATCH($F1706,Mapping!$A$17:$A$22,0)),$F1706)&amp;" "&amp;IF($G1706="Banking","Banking",IFERROR(INDEX(Mapping!$E$17:$E$28,MATCH($J1706,Mapping!$D$17:$D$28,0)),"(unmapped)")))))</f>
        <v/>
      </c>
    </row>
    <row r="1707" spans="11:11" x14ac:dyDescent="0.3">
      <c r="K1707" t="str">
        <f>IF($D1707="","",IFERROR(INDEX(Mapping!$H$3:$H$32,MATCH($B1707,Mapping!$G$3:$G$32,0)),IF(LEFT($F1707,3)="P2P",IFERROR(INDEX(Mapping!$E$3:$E$6,MATCH($G1707,Mapping!$D$3:$D$6,0)),IFERROR(INDEX(Mapping!$B$3:$B$13,MATCH($J1707,Mapping!$A$3:$A$13,0)),"(unmapped)")),IFERROR(INDEX(Mapping!$B$17:$B$22,MATCH($F1707,Mapping!$A$17:$A$22,0)),$F1707)&amp;" "&amp;IF($G1707="Banking","Banking",IFERROR(INDEX(Mapping!$E$17:$E$28,MATCH($J1707,Mapping!$D$17:$D$28,0)),"(unmapped)")))))</f>
        <v/>
      </c>
    </row>
    <row r="1708" spans="11:11" x14ac:dyDescent="0.3">
      <c r="K1708" t="str">
        <f>IF($D1708="","",IFERROR(INDEX(Mapping!$H$3:$H$32,MATCH($B1708,Mapping!$G$3:$G$32,0)),IF(LEFT($F1708,3)="P2P",IFERROR(INDEX(Mapping!$E$3:$E$6,MATCH($G1708,Mapping!$D$3:$D$6,0)),IFERROR(INDEX(Mapping!$B$3:$B$13,MATCH($J1708,Mapping!$A$3:$A$13,0)),"(unmapped)")),IFERROR(INDEX(Mapping!$B$17:$B$22,MATCH($F1708,Mapping!$A$17:$A$22,0)),$F1708)&amp;" "&amp;IF($G1708="Banking","Banking",IFERROR(INDEX(Mapping!$E$17:$E$28,MATCH($J1708,Mapping!$D$17:$D$28,0)),"(unmapped)")))))</f>
        <v/>
      </c>
    </row>
    <row r="1709" spans="11:11" x14ac:dyDescent="0.3">
      <c r="K1709" t="str">
        <f>IF($D1709="","",IFERROR(INDEX(Mapping!$H$3:$H$32,MATCH($B1709,Mapping!$G$3:$G$32,0)),IF(LEFT($F1709,3)="P2P",IFERROR(INDEX(Mapping!$E$3:$E$6,MATCH($G1709,Mapping!$D$3:$D$6,0)),IFERROR(INDEX(Mapping!$B$3:$B$13,MATCH($J1709,Mapping!$A$3:$A$13,0)),"(unmapped)")),IFERROR(INDEX(Mapping!$B$17:$B$22,MATCH($F1709,Mapping!$A$17:$A$22,0)),$F1709)&amp;" "&amp;IF($G1709="Banking","Banking",IFERROR(INDEX(Mapping!$E$17:$E$28,MATCH($J1709,Mapping!$D$17:$D$28,0)),"(unmapped)")))))</f>
        <v/>
      </c>
    </row>
    <row r="1710" spans="11:11" x14ac:dyDescent="0.3">
      <c r="K1710" t="str">
        <f>IF($D1710="","",IFERROR(INDEX(Mapping!$H$3:$H$32,MATCH($B1710,Mapping!$G$3:$G$32,0)),IF(LEFT($F1710,3)="P2P",IFERROR(INDEX(Mapping!$E$3:$E$6,MATCH($G1710,Mapping!$D$3:$D$6,0)),IFERROR(INDEX(Mapping!$B$3:$B$13,MATCH($J1710,Mapping!$A$3:$A$13,0)),"(unmapped)")),IFERROR(INDEX(Mapping!$B$17:$B$22,MATCH($F1710,Mapping!$A$17:$A$22,0)),$F1710)&amp;" "&amp;IF($G1710="Banking","Banking",IFERROR(INDEX(Mapping!$E$17:$E$28,MATCH($J1710,Mapping!$D$17:$D$28,0)),"(unmapped)")))))</f>
        <v/>
      </c>
    </row>
    <row r="1711" spans="11:11" x14ac:dyDescent="0.3">
      <c r="K1711" t="str">
        <f>IF($D1711="","",IFERROR(INDEX(Mapping!$H$3:$H$32,MATCH($B1711,Mapping!$G$3:$G$32,0)),IF(LEFT($F1711,3)="P2P",IFERROR(INDEX(Mapping!$E$3:$E$6,MATCH($G1711,Mapping!$D$3:$D$6,0)),IFERROR(INDEX(Mapping!$B$3:$B$13,MATCH($J1711,Mapping!$A$3:$A$13,0)),"(unmapped)")),IFERROR(INDEX(Mapping!$B$17:$B$22,MATCH($F1711,Mapping!$A$17:$A$22,0)),$F1711)&amp;" "&amp;IF($G1711="Banking","Banking",IFERROR(INDEX(Mapping!$E$17:$E$28,MATCH($J1711,Mapping!$D$17:$D$28,0)),"(unmapped)")))))</f>
        <v/>
      </c>
    </row>
    <row r="1712" spans="11:11" x14ac:dyDescent="0.3">
      <c r="K1712" t="str">
        <f>IF($D1712="","",IFERROR(INDEX(Mapping!$H$3:$H$32,MATCH($B1712,Mapping!$G$3:$G$32,0)),IF(LEFT($F1712,3)="P2P",IFERROR(INDEX(Mapping!$E$3:$E$6,MATCH($G1712,Mapping!$D$3:$D$6,0)),IFERROR(INDEX(Mapping!$B$3:$B$13,MATCH($J1712,Mapping!$A$3:$A$13,0)),"(unmapped)")),IFERROR(INDEX(Mapping!$B$17:$B$22,MATCH($F1712,Mapping!$A$17:$A$22,0)),$F1712)&amp;" "&amp;IF($G1712="Banking","Banking",IFERROR(INDEX(Mapping!$E$17:$E$28,MATCH($J1712,Mapping!$D$17:$D$28,0)),"(unmapped)")))))</f>
        <v/>
      </c>
    </row>
    <row r="1713" spans="11:11" x14ac:dyDescent="0.3">
      <c r="K1713" t="str">
        <f>IF($D1713="","",IFERROR(INDEX(Mapping!$H$3:$H$32,MATCH($B1713,Mapping!$G$3:$G$32,0)),IF(LEFT($F1713,3)="P2P",IFERROR(INDEX(Mapping!$E$3:$E$6,MATCH($G1713,Mapping!$D$3:$D$6,0)),IFERROR(INDEX(Mapping!$B$3:$B$13,MATCH($J1713,Mapping!$A$3:$A$13,0)),"(unmapped)")),IFERROR(INDEX(Mapping!$B$17:$B$22,MATCH($F1713,Mapping!$A$17:$A$22,0)),$F1713)&amp;" "&amp;IF($G1713="Banking","Banking",IFERROR(INDEX(Mapping!$E$17:$E$28,MATCH($J1713,Mapping!$D$17:$D$28,0)),"(unmapped)")))))</f>
        <v/>
      </c>
    </row>
    <row r="1714" spans="11:11" x14ac:dyDescent="0.3">
      <c r="K1714" t="str">
        <f>IF($D1714="","",IFERROR(INDEX(Mapping!$H$3:$H$32,MATCH($B1714,Mapping!$G$3:$G$32,0)),IF(LEFT($F1714,3)="P2P",IFERROR(INDEX(Mapping!$E$3:$E$6,MATCH($G1714,Mapping!$D$3:$D$6,0)),IFERROR(INDEX(Mapping!$B$3:$B$13,MATCH($J1714,Mapping!$A$3:$A$13,0)),"(unmapped)")),IFERROR(INDEX(Mapping!$B$17:$B$22,MATCH($F1714,Mapping!$A$17:$A$22,0)),$F1714)&amp;" "&amp;IF($G1714="Banking","Banking",IFERROR(INDEX(Mapping!$E$17:$E$28,MATCH($J1714,Mapping!$D$17:$D$28,0)),"(unmapped)")))))</f>
        <v/>
      </c>
    </row>
    <row r="1715" spans="11:11" x14ac:dyDescent="0.3">
      <c r="K1715" t="str">
        <f>IF($D1715="","",IFERROR(INDEX(Mapping!$H$3:$H$32,MATCH($B1715,Mapping!$G$3:$G$32,0)),IF(LEFT($F1715,3)="P2P",IFERROR(INDEX(Mapping!$E$3:$E$6,MATCH($G1715,Mapping!$D$3:$D$6,0)),IFERROR(INDEX(Mapping!$B$3:$B$13,MATCH($J1715,Mapping!$A$3:$A$13,0)),"(unmapped)")),IFERROR(INDEX(Mapping!$B$17:$B$22,MATCH($F1715,Mapping!$A$17:$A$22,0)),$F1715)&amp;" "&amp;IF($G1715="Banking","Banking",IFERROR(INDEX(Mapping!$E$17:$E$28,MATCH($J1715,Mapping!$D$17:$D$28,0)),"(unmapped)")))))</f>
        <v/>
      </c>
    </row>
    <row r="1716" spans="11:11" x14ac:dyDescent="0.3">
      <c r="K1716" t="str">
        <f>IF($D1716="","",IFERROR(INDEX(Mapping!$H$3:$H$32,MATCH($B1716,Mapping!$G$3:$G$32,0)),IF(LEFT($F1716,3)="P2P",IFERROR(INDEX(Mapping!$E$3:$E$6,MATCH($G1716,Mapping!$D$3:$D$6,0)),IFERROR(INDEX(Mapping!$B$3:$B$13,MATCH($J1716,Mapping!$A$3:$A$13,0)),"(unmapped)")),IFERROR(INDEX(Mapping!$B$17:$B$22,MATCH($F1716,Mapping!$A$17:$A$22,0)),$F1716)&amp;" "&amp;IF($G1716="Banking","Banking",IFERROR(INDEX(Mapping!$E$17:$E$28,MATCH($J1716,Mapping!$D$17:$D$28,0)),"(unmapped)")))))</f>
        <v/>
      </c>
    </row>
    <row r="1717" spans="11:11" x14ac:dyDescent="0.3">
      <c r="K1717" t="str">
        <f>IF($D1717="","",IFERROR(INDEX(Mapping!$H$3:$H$32,MATCH($B1717,Mapping!$G$3:$G$32,0)),IF(LEFT($F1717,3)="P2P",IFERROR(INDEX(Mapping!$E$3:$E$6,MATCH($G1717,Mapping!$D$3:$D$6,0)),IFERROR(INDEX(Mapping!$B$3:$B$13,MATCH($J1717,Mapping!$A$3:$A$13,0)),"(unmapped)")),IFERROR(INDEX(Mapping!$B$17:$B$22,MATCH($F1717,Mapping!$A$17:$A$22,0)),$F1717)&amp;" "&amp;IF($G1717="Banking","Banking",IFERROR(INDEX(Mapping!$E$17:$E$28,MATCH($J1717,Mapping!$D$17:$D$28,0)),"(unmapped)")))))</f>
        <v/>
      </c>
    </row>
    <row r="1718" spans="11:11" x14ac:dyDescent="0.3">
      <c r="K1718" t="str">
        <f>IF($D1718="","",IFERROR(INDEX(Mapping!$H$3:$H$32,MATCH($B1718,Mapping!$G$3:$G$32,0)),IF(LEFT($F1718,3)="P2P",IFERROR(INDEX(Mapping!$E$3:$E$6,MATCH($G1718,Mapping!$D$3:$D$6,0)),IFERROR(INDEX(Mapping!$B$3:$B$13,MATCH($J1718,Mapping!$A$3:$A$13,0)),"(unmapped)")),IFERROR(INDEX(Mapping!$B$17:$B$22,MATCH($F1718,Mapping!$A$17:$A$22,0)),$F1718)&amp;" "&amp;IF($G1718="Banking","Banking",IFERROR(INDEX(Mapping!$E$17:$E$28,MATCH($J1718,Mapping!$D$17:$D$28,0)),"(unmapped)")))))</f>
        <v/>
      </c>
    </row>
    <row r="1719" spans="11:11" x14ac:dyDescent="0.3">
      <c r="K1719" t="str">
        <f>IF($D1719="","",IFERROR(INDEX(Mapping!$H$3:$H$32,MATCH($B1719,Mapping!$G$3:$G$32,0)),IF(LEFT($F1719,3)="P2P",IFERROR(INDEX(Mapping!$E$3:$E$6,MATCH($G1719,Mapping!$D$3:$D$6,0)),IFERROR(INDEX(Mapping!$B$3:$B$13,MATCH($J1719,Mapping!$A$3:$A$13,0)),"(unmapped)")),IFERROR(INDEX(Mapping!$B$17:$B$22,MATCH($F1719,Mapping!$A$17:$A$22,0)),$F1719)&amp;" "&amp;IF($G1719="Banking","Banking",IFERROR(INDEX(Mapping!$E$17:$E$28,MATCH($J1719,Mapping!$D$17:$D$28,0)),"(unmapped)")))))</f>
        <v/>
      </c>
    </row>
    <row r="1720" spans="11:11" x14ac:dyDescent="0.3">
      <c r="K1720" t="str">
        <f>IF($D1720="","",IFERROR(INDEX(Mapping!$H$3:$H$32,MATCH($B1720,Mapping!$G$3:$G$32,0)),IF(LEFT($F1720,3)="P2P",IFERROR(INDEX(Mapping!$E$3:$E$6,MATCH($G1720,Mapping!$D$3:$D$6,0)),IFERROR(INDEX(Mapping!$B$3:$B$13,MATCH($J1720,Mapping!$A$3:$A$13,0)),"(unmapped)")),IFERROR(INDEX(Mapping!$B$17:$B$22,MATCH($F1720,Mapping!$A$17:$A$22,0)),$F1720)&amp;" "&amp;IF($G1720="Banking","Banking",IFERROR(INDEX(Mapping!$E$17:$E$28,MATCH($J1720,Mapping!$D$17:$D$28,0)),"(unmapped)")))))</f>
        <v/>
      </c>
    </row>
    <row r="1721" spans="11:11" x14ac:dyDescent="0.3">
      <c r="K1721" t="str">
        <f>IF($D1721="","",IFERROR(INDEX(Mapping!$H$3:$H$32,MATCH($B1721,Mapping!$G$3:$G$32,0)),IF(LEFT($F1721,3)="P2P",IFERROR(INDEX(Mapping!$E$3:$E$6,MATCH($G1721,Mapping!$D$3:$D$6,0)),IFERROR(INDEX(Mapping!$B$3:$B$13,MATCH($J1721,Mapping!$A$3:$A$13,0)),"(unmapped)")),IFERROR(INDEX(Mapping!$B$17:$B$22,MATCH($F1721,Mapping!$A$17:$A$22,0)),$F1721)&amp;" "&amp;IF($G1721="Banking","Banking",IFERROR(INDEX(Mapping!$E$17:$E$28,MATCH($J1721,Mapping!$D$17:$D$28,0)),"(unmapped)")))))</f>
        <v/>
      </c>
    </row>
    <row r="1722" spans="11:11" x14ac:dyDescent="0.3">
      <c r="K1722" t="str">
        <f>IF($D1722="","",IFERROR(INDEX(Mapping!$H$3:$H$32,MATCH($B1722,Mapping!$G$3:$G$32,0)),IF(LEFT($F1722,3)="P2P",IFERROR(INDEX(Mapping!$E$3:$E$6,MATCH($G1722,Mapping!$D$3:$D$6,0)),IFERROR(INDEX(Mapping!$B$3:$B$13,MATCH($J1722,Mapping!$A$3:$A$13,0)),"(unmapped)")),IFERROR(INDEX(Mapping!$B$17:$B$22,MATCH($F1722,Mapping!$A$17:$A$22,0)),$F1722)&amp;" "&amp;IF($G1722="Banking","Banking",IFERROR(INDEX(Mapping!$E$17:$E$28,MATCH($J1722,Mapping!$D$17:$D$28,0)),"(unmapped)")))))</f>
        <v/>
      </c>
    </row>
    <row r="1723" spans="11:11" x14ac:dyDescent="0.3">
      <c r="K1723" t="str">
        <f>IF($D1723="","",IFERROR(INDEX(Mapping!$H$3:$H$32,MATCH($B1723,Mapping!$G$3:$G$32,0)),IF(LEFT($F1723,3)="P2P",IFERROR(INDEX(Mapping!$E$3:$E$6,MATCH($G1723,Mapping!$D$3:$D$6,0)),IFERROR(INDEX(Mapping!$B$3:$B$13,MATCH($J1723,Mapping!$A$3:$A$13,0)),"(unmapped)")),IFERROR(INDEX(Mapping!$B$17:$B$22,MATCH($F1723,Mapping!$A$17:$A$22,0)),$F1723)&amp;" "&amp;IF($G1723="Banking","Banking",IFERROR(INDEX(Mapping!$E$17:$E$28,MATCH($J1723,Mapping!$D$17:$D$28,0)),"(unmapped)")))))</f>
        <v/>
      </c>
    </row>
    <row r="1724" spans="11:11" x14ac:dyDescent="0.3">
      <c r="K1724" t="str">
        <f>IF($D1724="","",IFERROR(INDEX(Mapping!$H$3:$H$32,MATCH($B1724,Mapping!$G$3:$G$32,0)),IF(LEFT($F1724,3)="P2P",IFERROR(INDEX(Mapping!$E$3:$E$6,MATCH($G1724,Mapping!$D$3:$D$6,0)),IFERROR(INDEX(Mapping!$B$3:$B$13,MATCH($J1724,Mapping!$A$3:$A$13,0)),"(unmapped)")),IFERROR(INDEX(Mapping!$B$17:$B$22,MATCH($F1724,Mapping!$A$17:$A$22,0)),$F1724)&amp;" "&amp;IF($G1724="Banking","Banking",IFERROR(INDEX(Mapping!$E$17:$E$28,MATCH($J1724,Mapping!$D$17:$D$28,0)),"(unmapped)")))))</f>
        <v/>
      </c>
    </row>
    <row r="1725" spans="11:11" x14ac:dyDescent="0.3">
      <c r="K1725" t="str">
        <f>IF($D1725="","",IFERROR(INDEX(Mapping!$H$3:$H$32,MATCH($B1725,Mapping!$G$3:$G$32,0)),IF(LEFT($F1725,3)="P2P",IFERROR(INDEX(Mapping!$E$3:$E$6,MATCH($G1725,Mapping!$D$3:$D$6,0)),IFERROR(INDEX(Mapping!$B$3:$B$13,MATCH($J1725,Mapping!$A$3:$A$13,0)),"(unmapped)")),IFERROR(INDEX(Mapping!$B$17:$B$22,MATCH($F1725,Mapping!$A$17:$A$22,0)),$F1725)&amp;" "&amp;IF($G1725="Banking","Banking",IFERROR(INDEX(Mapping!$E$17:$E$28,MATCH($J1725,Mapping!$D$17:$D$28,0)),"(unmapped)")))))</f>
        <v/>
      </c>
    </row>
    <row r="1726" spans="11:11" x14ac:dyDescent="0.3">
      <c r="K1726" t="str">
        <f>IF($D1726="","",IFERROR(INDEX(Mapping!$H$3:$H$32,MATCH($B1726,Mapping!$G$3:$G$32,0)),IF(LEFT($F1726,3)="P2P",IFERROR(INDEX(Mapping!$E$3:$E$6,MATCH($G1726,Mapping!$D$3:$D$6,0)),IFERROR(INDEX(Mapping!$B$3:$B$13,MATCH($J1726,Mapping!$A$3:$A$13,0)),"(unmapped)")),IFERROR(INDEX(Mapping!$B$17:$B$22,MATCH($F1726,Mapping!$A$17:$A$22,0)),$F1726)&amp;" "&amp;IF($G1726="Banking","Banking",IFERROR(INDEX(Mapping!$E$17:$E$28,MATCH($J1726,Mapping!$D$17:$D$28,0)),"(unmapped)")))))</f>
        <v/>
      </c>
    </row>
    <row r="1727" spans="11:11" x14ac:dyDescent="0.3">
      <c r="K1727" t="str">
        <f>IF($D1727="","",IFERROR(INDEX(Mapping!$H$3:$H$32,MATCH($B1727,Mapping!$G$3:$G$32,0)),IF(LEFT($F1727,3)="P2P",IFERROR(INDEX(Mapping!$E$3:$E$6,MATCH($G1727,Mapping!$D$3:$D$6,0)),IFERROR(INDEX(Mapping!$B$3:$B$13,MATCH($J1727,Mapping!$A$3:$A$13,0)),"(unmapped)")),IFERROR(INDEX(Mapping!$B$17:$B$22,MATCH($F1727,Mapping!$A$17:$A$22,0)),$F1727)&amp;" "&amp;IF($G1727="Banking","Banking",IFERROR(INDEX(Mapping!$E$17:$E$28,MATCH($J1727,Mapping!$D$17:$D$28,0)),"(unmapped)")))))</f>
        <v/>
      </c>
    </row>
    <row r="1728" spans="11:11" x14ac:dyDescent="0.3">
      <c r="K1728" t="str">
        <f>IF($D1728="","",IFERROR(INDEX(Mapping!$H$3:$H$32,MATCH($B1728,Mapping!$G$3:$G$32,0)),IF(LEFT($F1728,3)="P2P",IFERROR(INDEX(Mapping!$E$3:$E$6,MATCH($G1728,Mapping!$D$3:$D$6,0)),IFERROR(INDEX(Mapping!$B$3:$B$13,MATCH($J1728,Mapping!$A$3:$A$13,0)),"(unmapped)")),IFERROR(INDEX(Mapping!$B$17:$B$22,MATCH($F1728,Mapping!$A$17:$A$22,0)),$F1728)&amp;" "&amp;IF($G1728="Banking","Banking",IFERROR(INDEX(Mapping!$E$17:$E$28,MATCH($J1728,Mapping!$D$17:$D$28,0)),"(unmapped)")))))</f>
        <v/>
      </c>
    </row>
    <row r="1729" spans="11:11" x14ac:dyDescent="0.3">
      <c r="K1729" t="str">
        <f>IF($D1729="","",IFERROR(INDEX(Mapping!$H$3:$H$32,MATCH($B1729,Mapping!$G$3:$G$32,0)),IF(LEFT($F1729,3)="P2P",IFERROR(INDEX(Mapping!$E$3:$E$6,MATCH($G1729,Mapping!$D$3:$D$6,0)),IFERROR(INDEX(Mapping!$B$3:$B$13,MATCH($J1729,Mapping!$A$3:$A$13,0)),"(unmapped)")),IFERROR(INDEX(Mapping!$B$17:$B$22,MATCH($F1729,Mapping!$A$17:$A$22,0)),$F1729)&amp;" "&amp;IF($G1729="Banking","Banking",IFERROR(INDEX(Mapping!$E$17:$E$28,MATCH($J1729,Mapping!$D$17:$D$28,0)),"(unmapped)")))))</f>
        <v/>
      </c>
    </row>
    <row r="1730" spans="11:11" x14ac:dyDescent="0.3">
      <c r="K1730" t="str">
        <f>IF($D1730="","",IFERROR(INDEX(Mapping!$H$3:$H$32,MATCH($B1730,Mapping!$G$3:$G$32,0)),IF(LEFT($F1730,3)="P2P",IFERROR(INDEX(Mapping!$E$3:$E$6,MATCH($G1730,Mapping!$D$3:$D$6,0)),IFERROR(INDEX(Mapping!$B$3:$B$13,MATCH($J1730,Mapping!$A$3:$A$13,0)),"(unmapped)")),IFERROR(INDEX(Mapping!$B$17:$B$22,MATCH($F1730,Mapping!$A$17:$A$22,0)),$F1730)&amp;" "&amp;IF($G1730="Banking","Banking",IFERROR(INDEX(Mapping!$E$17:$E$28,MATCH($J1730,Mapping!$D$17:$D$28,0)),"(unmapped)")))))</f>
        <v/>
      </c>
    </row>
    <row r="1731" spans="11:11" x14ac:dyDescent="0.3">
      <c r="K1731" t="str">
        <f>IF($D1731="","",IFERROR(INDEX(Mapping!$H$3:$H$32,MATCH($B1731,Mapping!$G$3:$G$32,0)),IF(LEFT($F1731,3)="P2P",IFERROR(INDEX(Mapping!$E$3:$E$6,MATCH($G1731,Mapping!$D$3:$D$6,0)),IFERROR(INDEX(Mapping!$B$3:$B$13,MATCH($J1731,Mapping!$A$3:$A$13,0)),"(unmapped)")),IFERROR(INDEX(Mapping!$B$17:$B$22,MATCH($F1731,Mapping!$A$17:$A$22,0)),$F1731)&amp;" "&amp;IF($G1731="Banking","Banking",IFERROR(INDEX(Mapping!$E$17:$E$28,MATCH($J1731,Mapping!$D$17:$D$28,0)),"(unmapped)")))))</f>
        <v/>
      </c>
    </row>
    <row r="1732" spans="11:11" x14ac:dyDescent="0.3">
      <c r="K1732" t="str">
        <f>IF($D1732="","",IFERROR(INDEX(Mapping!$H$3:$H$32,MATCH($B1732,Mapping!$G$3:$G$32,0)),IF(LEFT($F1732,3)="P2P",IFERROR(INDEX(Mapping!$E$3:$E$6,MATCH($G1732,Mapping!$D$3:$D$6,0)),IFERROR(INDEX(Mapping!$B$3:$B$13,MATCH($J1732,Mapping!$A$3:$A$13,0)),"(unmapped)")),IFERROR(INDEX(Mapping!$B$17:$B$22,MATCH($F1732,Mapping!$A$17:$A$22,0)),$F1732)&amp;" "&amp;IF($G1732="Banking","Banking",IFERROR(INDEX(Mapping!$E$17:$E$28,MATCH($J1732,Mapping!$D$17:$D$28,0)),"(unmapped)")))))</f>
        <v/>
      </c>
    </row>
    <row r="1733" spans="11:11" x14ac:dyDescent="0.3">
      <c r="K1733" t="str">
        <f>IF($D1733="","",IFERROR(INDEX(Mapping!$H$3:$H$32,MATCH($B1733,Mapping!$G$3:$G$32,0)),IF(LEFT($F1733,3)="P2P",IFERROR(INDEX(Mapping!$E$3:$E$6,MATCH($G1733,Mapping!$D$3:$D$6,0)),IFERROR(INDEX(Mapping!$B$3:$B$13,MATCH($J1733,Mapping!$A$3:$A$13,0)),"(unmapped)")),IFERROR(INDEX(Mapping!$B$17:$B$22,MATCH($F1733,Mapping!$A$17:$A$22,0)),$F1733)&amp;" "&amp;IF($G1733="Banking","Banking",IFERROR(INDEX(Mapping!$E$17:$E$28,MATCH($J1733,Mapping!$D$17:$D$28,0)),"(unmapped)")))))</f>
        <v/>
      </c>
    </row>
    <row r="1734" spans="11:11" x14ac:dyDescent="0.3">
      <c r="K1734" t="str">
        <f>IF($D1734="","",IFERROR(INDEX(Mapping!$H$3:$H$32,MATCH($B1734,Mapping!$G$3:$G$32,0)),IF(LEFT($F1734,3)="P2P",IFERROR(INDEX(Mapping!$E$3:$E$6,MATCH($G1734,Mapping!$D$3:$D$6,0)),IFERROR(INDEX(Mapping!$B$3:$B$13,MATCH($J1734,Mapping!$A$3:$A$13,0)),"(unmapped)")),IFERROR(INDEX(Mapping!$B$17:$B$22,MATCH($F1734,Mapping!$A$17:$A$22,0)),$F1734)&amp;" "&amp;IF($G1734="Banking","Banking",IFERROR(INDEX(Mapping!$E$17:$E$28,MATCH($J1734,Mapping!$D$17:$D$28,0)),"(unmapped)")))))</f>
        <v/>
      </c>
    </row>
    <row r="1735" spans="11:11" x14ac:dyDescent="0.3">
      <c r="K1735" t="str">
        <f>IF($D1735="","",IFERROR(INDEX(Mapping!$H$3:$H$32,MATCH($B1735,Mapping!$G$3:$G$32,0)),IF(LEFT($F1735,3)="P2P",IFERROR(INDEX(Mapping!$E$3:$E$6,MATCH($G1735,Mapping!$D$3:$D$6,0)),IFERROR(INDEX(Mapping!$B$3:$B$13,MATCH($J1735,Mapping!$A$3:$A$13,0)),"(unmapped)")),IFERROR(INDEX(Mapping!$B$17:$B$22,MATCH($F1735,Mapping!$A$17:$A$22,0)),$F1735)&amp;" "&amp;IF($G1735="Banking","Banking",IFERROR(INDEX(Mapping!$E$17:$E$28,MATCH($J1735,Mapping!$D$17:$D$28,0)),"(unmapped)")))))</f>
        <v/>
      </c>
    </row>
    <row r="1736" spans="11:11" x14ac:dyDescent="0.3">
      <c r="K1736" t="str">
        <f>IF($D1736="","",IFERROR(INDEX(Mapping!$H$3:$H$32,MATCH($B1736,Mapping!$G$3:$G$32,0)),IF(LEFT($F1736,3)="P2P",IFERROR(INDEX(Mapping!$E$3:$E$6,MATCH($G1736,Mapping!$D$3:$D$6,0)),IFERROR(INDEX(Mapping!$B$3:$B$13,MATCH($J1736,Mapping!$A$3:$A$13,0)),"(unmapped)")),IFERROR(INDEX(Mapping!$B$17:$B$22,MATCH($F1736,Mapping!$A$17:$A$22,0)),$F1736)&amp;" "&amp;IF($G1736="Banking","Banking",IFERROR(INDEX(Mapping!$E$17:$E$28,MATCH($J1736,Mapping!$D$17:$D$28,0)),"(unmapped)")))))</f>
        <v/>
      </c>
    </row>
    <row r="1737" spans="11:11" x14ac:dyDescent="0.3">
      <c r="K1737" t="str">
        <f>IF($D1737="","",IFERROR(INDEX(Mapping!$H$3:$H$32,MATCH($B1737,Mapping!$G$3:$G$32,0)),IF(LEFT($F1737,3)="P2P",IFERROR(INDEX(Mapping!$E$3:$E$6,MATCH($G1737,Mapping!$D$3:$D$6,0)),IFERROR(INDEX(Mapping!$B$3:$B$13,MATCH($J1737,Mapping!$A$3:$A$13,0)),"(unmapped)")),IFERROR(INDEX(Mapping!$B$17:$B$22,MATCH($F1737,Mapping!$A$17:$A$22,0)),$F1737)&amp;" "&amp;IF($G1737="Banking","Banking",IFERROR(INDEX(Mapping!$E$17:$E$28,MATCH($J1737,Mapping!$D$17:$D$28,0)),"(unmapped)")))))</f>
        <v/>
      </c>
    </row>
    <row r="1738" spans="11:11" x14ac:dyDescent="0.3">
      <c r="K1738" t="str">
        <f>IF($D1738="","",IFERROR(INDEX(Mapping!$H$3:$H$32,MATCH($B1738,Mapping!$G$3:$G$32,0)),IF(LEFT($F1738,3)="P2P",IFERROR(INDEX(Mapping!$E$3:$E$6,MATCH($G1738,Mapping!$D$3:$D$6,0)),IFERROR(INDEX(Mapping!$B$3:$B$13,MATCH($J1738,Mapping!$A$3:$A$13,0)),"(unmapped)")),IFERROR(INDEX(Mapping!$B$17:$B$22,MATCH($F1738,Mapping!$A$17:$A$22,0)),$F1738)&amp;" "&amp;IF($G1738="Banking","Banking",IFERROR(INDEX(Mapping!$E$17:$E$28,MATCH($J1738,Mapping!$D$17:$D$28,0)),"(unmapped)")))))</f>
        <v/>
      </c>
    </row>
    <row r="1739" spans="11:11" x14ac:dyDescent="0.3">
      <c r="K1739" t="str">
        <f>IF($D1739="","",IFERROR(INDEX(Mapping!$H$3:$H$32,MATCH($B1739,Mapping!$G$3:$G$32,0)),IF(LEFT($F1739,3)="P2P",IFERROR(INDEX(Mapping!$E$3:$E$6,MATCH($G1739,Mapping!$D$3:$D$6,0)),IFERROR(INDEX(Mapping!$B$3:$B$13,MATCH($J1739,Mapping!$A$3:$A$13,0)),"(unmapped)")),IFERROR(INDEX(Mapping!$B$17:$B$22,MATCH($F1739,Mapping!$A$17:$A$22,0)),$F1739)&amp;" "&amp;IF($G1739="Banking","Banking",IFERROR(INDEX(Mapping!$E$17:$E$28,MATCH($J1739,Mapping!$D$17:$D$28,0)),"(unmapped)")))))</f>
        <v/>
      </c>
    </row>
    <row r="1740" spans="11:11" x14ac:dyDescent="0.3">
      <c r="K1740" t="str">
        <f>IF($D1740="","",IFERROR(INDEX(Mapping!$H$3:$H$32,MATCH($B1740,Mapping!$G$3:$G$32,0)),IF(LEFT($F1740,3)="P2P",IFERROR(INDEX(Mapping!$E$3:$E$6,MATCH($G1740,Mapping!$D$3:$D$6,0)),IFERROR(INDEX(Mapping!$B$3:$B$13,MATCH($J1740,Mapping!$A$3:$A$13,0)),"(unmapped)")),IFERROR(INDEX(Mapping!$B$17:$B$22,MATCH($F1740,Mapping!$A$17:$A$22,0)),$F1740)&amp;" "&amp;IF($G1740="Banking","Banking",IFERROR(INDEX(Mapping!$E$17:$E$28,MATCH($J1740,Mapping!$D$17:$D$28,0)),"(unmapped)")))))</f>
        <v/>
      </c>
    </row>
    <row r="1741" spans="11:11" x14ac:dyDescent="0.3">
      <c r="K1741" t="str">
        <f>IF($D1741="","",IFERROR(INDEX(Mapping!$H$3:$H$32,MATCH($B1741,Mapping!$G$3:$G$32,0)),IF(LEFT($F1741,3)="P2P",IFERROR(INDEX(Mapping!$E$3:$E$6,MATCH($G1741,Mapping!$D$3:$D$6,0)),IFERROR(INDEX(Mapping!$B$3:$B$13,MATCH($J1741,Mapping!$A$3:$A$13,0)),"(unmapped)")),IFERROR(INDEX(Mapping!$B$17:$B$22,MATCH($F1741,Mapping!$A$17:$A$22,0)),$F1741)&amp;" "&amp;IF($G1741="Banking","Banking",IFERROR(INDEX(Mapping!$E$17:$E$28,MATCH($J1741,Mapping!$D$17:$D$28,0)),"(unmapped)")))))</f>
        <v/>
      </c>
    </row>
    <row r="1742" spans="11:11" x14ac:dyDescent="0.3">
      <c r="K1742" t="str">
        <f>IF($D1742="","",IFERROR(INDEX(Mapping!$H$3:$H$32,MATCH($B1742,Mapping!$G$3:$G$32,0)),IF(LEFT($F1742,3)="P2P",IFERROR(INDEX(Mapping!$E$3:$E$6,MATCH($G1742,Mapping!$D$3:$D$6,0)),IFERROR(INDEX(Mapping!$B$3:$B$13,MATCH($J1742,Mapping!$A$3:$A$13,0)),"(unmapped)")),IFERROR(INDEX(Mapping!$B$17:$B$22,MATCH($F1742,Mapping!$A$17:$A$22,0)),$F1742)&amp;" "&amp;IF($G1742="Banking","Banking",IFERROR(INDEX(Mapping!$E$17:$E$28,MATCH($J1742,Mapping!$D$17:$D$28,0)),"(unmapped)")))))</f>
        <v/>
      </c>
    </row>
    <row r="1743" spans="11:11" x14ac:dyDescent="0.3">
      <c r="K1743" t="str">
        <f>IF($D1743="","",IFERROR(INDEX(Mapping!$H$3:$H$32,MATCH($B1743,Mapping!$G$3:$G$32,0)),IF(LEFT($F1743,3)="P2P",IFERROR(INDEX(Mapping!$E$3:$E$6,MATCH($G1743,Mapping!$D$3:$D$6,0)),IFERROR(INDEX(Mapping!$B$3:$B$13,MATCH($J1743,Mapping!$A$3:$A$13,0)),"(unmapped)")),IFERROR(INDEX(Mapping!$B$17:$B$22,MATCH($F1743,Mapping!$A$17:$A$22,0)),$F1743)&amp;" "&amp;IF($G1743="Banking","Banking",IFERROR(INDEX(Mapping!$E$17:$E$28,MATCH($J1743,Mapping!$D$17:$D$28,0)),"(unmapped)")))))</f>
        <v/>
      </c>
    </row>
    <row r="1744" spans="11:11" x14ac:dyDescent="0.3">
      <c r="K1744" t="str">
        <f>IF($D1744="","",IFERROR(INDEX(Mapping!$H$3:$H$32,MATCH($B1744,Mapping!$G$3:$G$32,0)),IF(LEFT($F1744,3)="P2P",IFERROR(INDEX(Mapping!$E$3:$E$6,MATCH($G1744,Mapping!$D$3:$D$6,0)),IFERROR(INDEX(Mapping!$B$3:$B$13,MATCH($J1744,Mapping!$A$3:$A$13,0)),"(unmapped)")),IFERROR(INDEX(Mapping!$B$17:$B$22,MATCH($F1744,Mapping!$A$17:$A$22,0)),$F1744)&amp;" "&amp;IF($G1744="Banking","Banking",IFERROR(INDEX(Mapping!$E$17:$E$28,MATCH($J1744,Mapping!$D$17:$D$28,0)),"(unmapped)")))))</f>
        <v/>
      </c>
    </row>
    <row r="1745" spans="11:11" x14ac:dyDescent="0.3">
      <c r="K1745" t="str">
        <f>IF($D1745="","",IFERROR(INDEX(Mapping!$H$3:$H$32,MATCH($B1745,Mapping!$G$3:$G$32,0)),IF(LEFT($F1745,3)="P2P",IFERROR(INDEX(Mapping!$E$3:$E$6,MATCH($G1745,Mapping!$D$3:$D$6,0)),IFERROR(INDEX(Mapping!$B$3:$B$13,MATCH($J1745,Mapping!$A$3:$A$13,0)),"(unmapped)")),IFERROR(INDEX(Mapping!$B$17:$B$22,MATCH($F1745,Mapping!$A$17:$A$22,0)),$F1745)&amp;" "&amp;IF($G1745="Banking","Banking",IFERROR(INDEX(Mapping!$E$17:$E$28,MATCH($J1745,Mapping!$D$17:$D$28,0)),"(unmapped)")))))</f>
        <v/>
      </c>
    </row>
    <row r="1746" spans="11:11" x14ac:dyDescent="0.3">
      <c r="K1746" t="str">
        <f>IF($D1746="","",IFERROR(INDEX(Mapping!$H$3:$H$32,MATCH($B1746,Mapping!$G$3:$G$32,0)),IF(LEFT($F1746,3)="P2P",IFERROR(INDEX(Mapping!$E$3:$E$6,MATCH($G1746,Mapping!$D$3:$D$6,0)),IFERROR(INDEX(Mapping!$B$3:$B$13,MATCH($J1746,Mapping!$A$3:$A$13,0)),"(unmapped)")),IFERROR(INDEX(Mapping!$B$17:$B$22,MATCH($F1746,Mapping!$A$17:$A$22,0)),$F1746)&amp;" "&amp;IF($G1746="Banking","Banking",IFERROR(INDEX(Mapping!$E$17:$E$28,MATCH($J1746,Mapping!$D$17:$D$28,0)),"(unmapped)")))))</f>
        <v/>
      </c>
    </row>
    <row r="1747" spans="11:11" x14ac:dyDescent="0.3">
      <c r="K1747" t="str">
        <f>IF($D1747="","",IFERROR(INDEX(Mapping!$H$3:$H$32,MATCH($B1747,Mapping!$G$3:$G$32,0)),IF(LEFT($F1747,3)="P2P",IFERROR(INDEX(Mapping!$E$3:$E$6,MATCH($G1747,Mapping!$D$3:$D$6,0)),IFERROR(INDEX(Mapping!$B$3:$B$13,MATCH($J1747,Mapping!$A$3:$A$13,0)),"(unmapped)")),IFERROR(INDEX(Mapping!$B$17:$B$22,MATCH($F1747,Mapping!$A$17:$A$22,0)),$F1747)&amp;" "&amp;IF($G1747="Banking","Banking",IFERROR(INDEX(Mapping!$E$17:$E$28,MATCH($J1747,Mapping!$D$17:$D$28,0)),"(unmapped)")))))</f>
        <v/>
      </c>
    </row>
    <row r="1748" spans="11:11" x14ac:dyDescent="0.3">
      <c r="K1748" t="str">
        <f>IF($D1748="","",IFERROR(INDEX(Mapping!$H$3:$H$32,MATCH($B1748,Mapping!$G$3:$G$32,0)),IF(LEFT($F1748,3)="P2P",IFERROR(INDEX(Mapping!$E$3:$E$6,MATCH($G1748,Mapping!$D$3:$D$6,0)),IFERROR(INDEX(Mapping!$B$3:$B$13,MATCH($J1748,Mapping!$A$3:$A$13,0)),"(unmapped)")),IFERROR(INDEX(Mapping!$B$17:$B$22,MATCH($F1748,Mapping!$A$17:$A$22,0)),$F1748)&amp;" "&amp;IF($G1748="Banking","Banking",IFERROR(INDEX(Mapping!$E$17:$E$28,MATCH($J1748,Mapping!$D$17:$D$28,0)),"(unmapped)")))))</f>
        <v/>
      </c>
    </row>
    <row r="1749" spans="11:11" x14ac:dyDescent="0.3">
      <c r="K1749" t="str">
        <f>IF($D1749="","",IFERROR(INDEX(Mapping!$H$3:$H$32,MATCH($B1749,Mapping!$G$3:$G$32,0)),IF(LEFT($F1749,3)="P2P",IFERROR(INDEX(Mapping!$E$3:$E$6,MATCH($G1749,Mapping!$D$3:$D$6,0)),IFERROR(INDEX(Mapping!$B$3:$B$13,MATCH($J1749,Mapping!$A$3:$A$13,0)),"(unmapped)")),IFERROR(INDEX(Mapping!$B$17:$B$22,MATCH($F1749,Mapping!$A$17:$A$22,0)),$F1749)&amp;" "&amp;IF($G1749="Banking","Banking",IFERROR(INDEX(Mapping!$E$17:$E$28,MATCH($J1749,Mapping!$D$17:$D$28,0)),"(unmapped)")))))</f>
        <v/>
      </c>
    </row>
    <row r="1750" spans="11:11" x14ac:dyDescent="0.3">
      <c r="K1750" t="str">
        <f>IF($D1750="","",IFERROR(INDEX(Mapping!$H$3:$H$32,MATCH($B1750,Mapping!$G$3:$G$32,0)),IF(LEFT($F1750,3)="P2P",IFERROR(INDEX(Mapping!$E$3:$E$6,MATCH($G1750,Mapping!$D$3:$D$6,0)),IFERROR(INDEX(Mapping!$B$3:$B$13,MATCH($J1750,Mapping!$A$3:$A$13,0)),"(unmapped)")),IFERROR(INDEX(Mapping!$B$17:$B$22,MATCH($F1750,Mapping!$A$17:$A$22,0)),$F1750)&amp;" "&amp;IF($G1750="Banking","Banking",IFERROR(INDEX(Mapping!$E$17:$E$28,MATCH($J1750,Mapping!$D$17:$D$28,0)),"(unmapped)")))))</f>
        <v/>
      </c>
    </row>
    <row r="1751" spans="11:11" x14ac:dyDescent="0.3">
      <c r="K1751" t="str">
        <f>IF($D1751="","",IFERROR(INDEX(Mapping!$H$3:$H$32,MATCH($B1751,Mapping!$G$3:$G$32,0)),IF(LEFT($F1751,3)="P2P",IFERROR(INDEX(Mapping!$E$3:$E$6,MATCH($G1751,Mapping!$D$3:$D$6,0)),IFERROR(INDEX(Mapping!$B$3:$B$13,MATCH($J1751,Mapping!$A$3:$A$13,0)),"(unmapped)")),IFERROR(INDEX(Mapping!$B$17:$B$22,MATCH($F1751,Mapping!$A$17:$A$22,0)),$F1751)&amp;" "&amp;IF($G1751="Banking","Banking",IFERROR(INDEX(Mapping!$E$17:$E$28,MATCH($J1751,Mapping!$D$17:$D$28,0)),"(unmapped)")))))</f>
        <v/>
      </c>
    </row>
    <row r="1752" spans="11:11" x14ac:dyDescent="0.3">
      <c r="K1752" t="str">
        <f>IF($D1752="","",IFERROR(INDEX(Mapping!$H$3:$H$32,MATCH($B1752,Mapping!$G$3:$G$32,0)),IF(LEFT($F1752,3)="P2P",IFERROR(INDEX(Mapping!$E$3:$E$6,MATCH($G1752,Mapping!$D$3:$D$6,0)),IFERROR(INDEX(Mapping!$B$3:$B$13,MATCH($J1752,Mapping!$A$3:$A$13,0)),"(unmapped)")),IFERROR(INDEX(Mapping!$B$17:$B$22,MATCH($F1752,Mapping!$A$17:$A$22,0)),$F1752)&amp;" "&amp;IF($G1752="Banking","Banking",IFERROR(INDEX(Mapping!$E$17:$E$28,MATCH($J1752,Mapping!$D$17:$D$28,0)),"(unmapped)")))))</f>
        <v/>
      </c>
    </row>
    <row r="1753" spans="11:11" x14ac:dyDescent="0.3">
      <c r="K1753" t="str">
        <f>IF($D1753="","",IFERROR(INDEX(Mapping!$H$3:$H$32,MATCH($B1753,Mapping!$G$3:$G$32,0)),IF(LEFT($F1753,3)="P2P",IFERROR(INDEX(Mapping!$E$3:$E$6,MATCH($G1753,Mapping!$D$3:$D$6,0)),IFERROR(INDEX(Mapping!$B$3:$B$13,MATCH($J1753,Mapping!$A$3:$A$13,0)),"(unmapped)")),IFERROR(INDEX(Mapping!$B$17:$B$22,MATCH($F1753,Mapping!$A$17:$A$22,0)),$F1753)&amp;" "&amp;IF($G1753="Banking","Banking",IFERROR(INDEX(Mapping!$E$17:$E$28,MATCH($J1753,Mapping!$D$17:$D$28,0)),"(unmapped)")))))</f>
        <v/>
      </c>
    </row>
    <row r="1754" spans="11:11" x14ac:dyDescent="0.3">
      <c r="K1754" t="str">
        <f>IF($D1754="","",IFERROR(INDEX(Mapping!$H$3:$H$32,MATCH($B1754,Mapping!$G$3:$G$32,0)),IF(LEFT($F1754,3)="P2P",IFERROR(INDEX(Mapping!$E$3:$E$6,MATCH($G1754,Mapping!$D$3:$D$6,0)),IFERROR(INDEX(Mapping!$B$3:$B$13,MATCH($J1754,Mapping!$A$3:$A$13,0)),"(unmapped)")),IFERROR(INDEX(Mapping!$B$17:$B$22,MATCH($F1754,Mapping!$A$17:$A$22,0)),$F1754)&amp;" "&amp;IF($G1754="Banking","Banking",IFERROR(INDEX(Mapping!$E$17:$E$28,MATCH($J1754,Mapping!$D$17:$D$28,0)),"(unmapped)")))))</f>
        <v/>
      </c>
    </row>
    <row r="1755" spans="11:11" x14ac:dyDescent="0.3">
      <c r="K1755" t="str">
        <f>IF($D1755="","",IFERROR(INDEX(Mapping!$H$3:$H$32,MATCH($B1755,Mapping!$G$3:$G$32,0)),IF(LEFT($F1755,3)="P2P",IFERROR(INDEX(Mapping!$E$3:$E$6,MATCH($G1755,Mapping!$D$3:$D$6,0)),IFERROR(INDEX(Mapping!$B$3:$B$13,MATCH($J1755,Mapping!$A$3:$A$13,0)),"(unmapped)")),IFERROR(INDEX(Mapping!$B$17:$B$22,MATCH($F1755,Mapping!$A$17:$A$22,0)),$F1755)&amp;" "&amp;IF($G1755="Banking","Banking",IFERROR(INDEX(Mapping!$E$17:$E$28,MATCH($J1755,Mapping!$D$17:$D$28,0)),"(unmapped)")))))</f>
        <v/>
      </c>
    </row>
    <row r="1756" spans="11:11" x14ac:dyDescent="0.3">
      <c r="K1756" t="str">
        <f>IF($D1756="","",IFERROR(INDEX(Mapping!$H$3:$H$32,MATCH($B1756,Mapping!$G$3:$G$32,0)),IF(LEFT($F1756,3)="P2P",IFERROR(INDEX(Mapping!$E$3:$E$6,MATCH($G1756,Mapping!$D$3:$D$6,0)),IFERROR(INDEX(Mapping!$B$3:$B$13,MATCH($J1756,Mapping!$A$3:$A$13,0)),"(unmapped)")),IFERROR(INDEX(Mapping!$B$17:$B$22,MATCH($F1756,Mapping!$A$17:$A$22,0)),$F1756)&amp;" "&amp;IF($G1756="Banking","Banking",IFERROR(INDEX(Mapping!$E$17:$E$28,MATCH($J1756,Mapping!$D$17:$D$28,0)),"(unmapped)")))))</f>
        <v/>
      </c>
    </row>
    <row r="1757" spans="11:11" x14ac:dyDescent="0.3">
      <c r="K1757" t="str">
        <f>IF($D1757="","",IFERROR(INDEX(Mapping!$H$3:$H$32,MATCH($B1757,Mapping!$G$3:$G$32,0)),IF(LEFT($F1757,3)="P2P",IFERROR(INDEX(Mapping!$E$3:$E$6,MATCH($G1757,Mapping!$D$3:$D$6,0)),IFERROR(INDEX(Mapping!$B$3:$B$13,MATCH($J1757,Mapping!$A$3:$A$13,0)),"(unmapped)")),IFERROR(INDEX(Mapping!$B$17:$B$22,MATCH($F1757,Mapping!$A$17:$A$22,0)),$F1757)&amp;" "&amp;IF($G1757="Banking","Banking",IFERROR(INDEX(Mapping!$E$17:$E$28,MATCH($J1757,Mapping!$D$17:$D$28,0)),"(unmapped)")))))</f>
        <v/>
      </c>
    </row>
    <row r="1758" spans="11:11" x14ac:dyDescent="0.3">
      <c r="K1758" t="str">
        <f>IF($D1758="","",IFERROR(INDEX(Mapping!$H$3:$H$32,MATCH($B1758,Mapping!$G$3:$G$32,0)),IF(LEFT($F1758,3)="P2P",IFERROR(INDEX(Mapping!$E$3:$E$6,MATCH($G1758,Mapping!$D$3:$D$6,0)),IFERROR(INDEX(Mapping!$B$3:$B$13,MATCH($J1758,Mapping!$A$3:$A$13,0)),"(unmapped)")),IFERROR(INDEX(Mapping!$B$17:$B$22,MATCH($F1758,Mapping!$A$17:$A$22,0)),$F1758)&amp;" "&amp;IF($G1758="Banking","Banking",IFERROR(INDEX(Mapping!$E$17:$E$28,MATCH($J1758,Mapping!$D$17:$D$28,0)),"(unmapped)")))))</f>
        <v/>
      </c>
    </row>
    <row r="1759" spans="11:11" x14ac:dyDescent="0.3">
      <c r="K1759" t="str">
        <f>IF($D1759="","",IFERROR(INDEX(Mapping!$H$3:$H$32,MATCH($B1759,Mapping!$G$3:$G$32,0)),IF(LEFT($F1759,3)="P2P",IFERROR(INDEX(Mapping!$E$3:$E$6,MATCH($G1759,Mapping!$D$3:$D$6,0)),IFERROR(INDEX(Mapping!$B$3:$B$13,MATCH($J1759,Mapping!$A$3:$A$13,0)),"(unmapped)")),IFERROR(INDEX(Mapping!$B$17:$B$22,MATCH($F1759,Mapping!$A$17:$A$22,0)),$F1759)&amp;" "&amp;IF($G1759="Banking","Banking",IFERROR(INDEX(Mapping!$E$17:$E$28,MATCH($J1759,Mapping!$D$17:$D$28,0)),"(unmapped)")))))</f>
        <v/>
      </c>
    </row>
    <row r="1760" spans="11:11" x14ac:dyDescent="0.3">
      <c r="K1760" t="str">
        <f>IF($D1760="","",IFERROR(INDEX(Mapping!$H$3:$H$32,MATCH($B1760,Mapping!$G$3:$G$32,0)),IF(LEFT($F1760,3)="P2P",IFERROR(INDEX(Mapping!$E$3:$E$6,MATCH($G1760,Mapping!$D$3:$D$6,0)),IFERROR(INDEX(Mapping!$B$3:$B$13,MATCH($J1760,Mapping!$A$3:$A$13,0)),"(unmapped)")),IFERROR(INDEX(Mapping!$B$17:$B$22,MATCH($F1760,Mapping!$A$17:$A$22,0)),$F1760)&amp;" "&amp;IF($G1760="Banking","Banking",IFERROR(INDEX(Mapping!$E$17:$E$28,MATCH($J1760,Mapping!$D$17:$D$28,0)),"(unmapped)")))))</f>
        <v/>
      </c>
    </row>
    <row r="1761" spans="11:11" x14ac:dyDescent="0.3">
      <c r="K1761" t="str">
        <f>IF($D1761="","",IFERROR(INDEX(Mapping!$H$3:$H$32,MATCH($B1761,Mapping!$G$3:$G$32,0)),IF(LEFT($F1761,3)="P2P",IFERROR(INDEX(Mapping!$E$3:$E$6,MATCH($G1761,Mapping!$D$3:$D$6,0)),IFERROR(INDEX(Mapping!$B$3:$B$13,MATCH($J1761,Mapping!$A$3:$A$13,0)),"(unmapped)")),IFERROR(INDEX(Mapping!$B$17:$B$22,MATCH($F1761,Mapping!$A$17:$A$22,0)),$F1761)&amp;" "&amp;IF($G1761="Banking","Banking",IFERROR(INDEX(Mapping!$E$17:$E$28,MATCH($J1761,Mapping!$D$17:$D$28,0)),"(unmapped)")))))</f>
        <v/>
      </c>
    </row>
    <row r="1762" spans="11:11" x14ac:dyDescent="0.3">
      <c r="K1762" t="str">
        <f>IF($D1762="","",IFERROR(INDEX(Mapping!$H$3:$H$32,MATCH($B1762,Mapping!$G$3:$G$32,0)),IF(LEFT($F1762,3)="P2P",IFERROR(INDEX(Mapping!$E$3:$E$6,MATCH($G1762,Mapping!$D$3:$D$6,0)),IFERROR(INDEX(Mapping!$B$3:$B$13,MATCH($J1762,Mapping!$A$3:$A$13,0)),"(unmapped)")),IFERROR(INDEX(Mapping!$B$17:$B$22,MATCH($F1762,Mapping!$A$17:$A$22,0)),$F1762)&amp;" "&amp;IF($G1762="Banking","Banking",IFERROR(INDEX(Mapping!$E$17:$E$28,MATCH($J1762,Mapping!$D$17:$D$28,0)),"(unmapped)")))))</f>
        <v/>
      </c>
    </row>
    <row r="1763" spans="11:11" x14ac:dyDescent="0.3">
      <c r="K1763" t="str">
        <f>IF($D1763="","",IFERROR(INDEX(Mapping!$H$3:$H$32,MATCH($B1763,Mapping!$G$3:$G$32,0)),IF(LEFT($F1763,3)="P2P",IFERROR(INDEX(Mapping!$E$3:$E$6,MATCH($G1763,Mapping!$D$3:$D$6,0)),IFERROR(INDEX(Mapping!$B$3:$B$13,MATCH($J1763,Mapping!$A$3:$A$13,0)),"(unmapped)")),IFERROR(INDEX(Mapping!$B$17:$B$22,MATCH($F1763,Mapping!$A$17:$A$22,0)),$F1763)&amp;" "&amp;IF($G1763="Banking","Banking",IFERROR(INDEX(Mapping!$E$17:$E$28,MATCH($J1763,Mapping!$D$17:$D$28,0)),"(unmapped)")))))</f>
        <v/>
      </c>
    </row>
    <row r="1764" spans="11:11" x14ac:dyDescent="0.3">
      <c r="K1764" t="str">
        <f>IF($D1764="","",IFERROR(INDEX(Mapping!$H$3:$H$32,MATCH($B1764,Mapping!$G$3:$G$32,0)),IF(LEFT($F1764,3)="P2P",IFERROR(INDEX(Mapping!$E$3:$E$6,MATCH($G1764,Mapping!$D$3:$D$6,0)),IFERROR(INDEX(Mapping!$B$3:$B$13,MATCH($J1764,Mapping!$A$3:$A$13,0)),"(unmapped)")),IFERROR(INDEX(Mapping!$B$17:$B$22,MATCH($F1764,Mapping!$A$17:$A$22,0)),$F1764)&amp;" "&amp;IF($G1764="Banking","Banking",IFERROR(INDEX(Mapping!$E$17:$E$28,MATCH($J1764,Mapping!$D$17:$D$28,0)),"(unmapped)")))))</f>
        <v/>
      </c>
    </row>
    <row r="1765" spans="11:11" x14ac:dyDescent="0.3">
      <c r="K1765" t="str">
        <f>IF($D1765="","",IFERROR(INDEX(Mapping!$H$3:$H$32,MATCH($B1765,Mapping!$G$3:$G$32,0)),IF(LEFT($F1765,3)="P2P",IFERROR(INDEX(Mapping!$E$3:$E$6,MATCH($G1765,Mapping!$D$3:$D$6,0)),IFERROR(INDEX(Mapping!$B$3:$B$13,MATCH($J1765,Mapping!$A$3:$A$13,0)),"(unmapped)")),IFERROR(INDEX(Mapping!$B$17:$B$22,MATCH($F1765,Mapping!$A$17:$A$22,0)),$F1765)&amp;" "&amp;IF($G1765="Banking","Banking",IFERROR(INDEX(Mapping!$E$17:$E$28,MATCH($J1765,Mapping!$D$17:$D$28,0)),"(unmapped)")))))</f>
        <v/>
      </c>
    </row>
    <row r="1766" spans="11:11" x14ac:dyDescent="0.3">
      <c r="K1766" t="str">
        <f>IF($D1766="","",IFERROR(INDEX(Mapping!$H$3:$H$32,MATCH($B1766,Mapping!$G$3:$G$32,0)),IF(LEFT($F1766,3)="P2P",IFERROR(INDEX(Mapping!$E$3:$E$6,MATCH($G1766,Mapping!$D$3:$D$6,0)),IFERROR(INDEX(Mapping!$B$3:$B$13,MATCH($J1766,Mapping!$A$3:$A$13,0)),"(unmapped)")),IFERROR(INDEX(Mapping!$B$17:$B$22,MATCH($F1766,Mapping!$A$17:$A$22,0)),$F1766)&amp;" "&amp;IF($G1766="Banking","Banking",IFERROR(INDEX(Mapping!$E$17:$E$28,MATCH($J1766,Mapping!$D$17:$D$28,0)),"(unmapped)")))))</f>
        <v/>
      </c>
    </row>
    <row r="1767" spans="11:11" x14ac:dyDescent="0.3">
      <c r="K1767" t="str">
        <f>IF($D1767="","",IFERROR(INDEX(Mapping!$H$3:$H$32,MATCH($B1767,Mapping!$G$3:$G$32,0)),IF(LEFT($F1767,3)="P2P",IFERROR(INDEX(Mapping!$E$3:$E$6,MATCH($G1767,Mapping!$D$3:$D$6,0)),IFERROR(INDEX(Mapping!$B$3:$B$13,MATCH($J1767,Mapping!$A$3:$A$13,0)),"(unmapped)")),IFERROR(INDEX(Mapping!$B$17:$B$22,MATCH($F1767,Mapping!$A$17:$A$22,0)),$F1767)&amp;" "&amp;IF($G1767="Banking","Banking",IFERROR(INDEX(Mapping!$E$17:$E$28,MATCH($J1767,Mapping!$D$17:$D$28,0)),"(unmapped)")))))</f>
        <v/>
      </c>
    </row>
    <row r="1768" spans="11:11" x14ac:dyDescent="0.3">
      <c r="K1768" t="str">
        <f>IF($D1768="","",IFERROR(INDEX(Mapping!$H$3:$H$32,MATCH($B1768,Mapping!$G$3:$G$32,0)),IF(LEFT($F1768,3)="P2P",IFERROR(INDEX(Mapping!$E$3:$E$6,MATCH($G1768,Mapping!$D$3:$D$6,0)),IFERROR(INDEX(Mapping!$B$3:$B$13,MATCH($J1768,Mapping!$A$3:$A$13,0)),"(unmapped)")),IFERROR(INDEX(Mapping!$B$17:$B$22,MATCH($F1768,Mapping!$A$17:$A$22,0)),$F1768)&amp;" "&amp;IF($G1768="Banking","Banking",IFERROR(INDEX(Mapping!$E$17:$E$28,MATCH($J1768,Mapping!$D$17:$D$28,0)),"(unmapped)")))))</f>
        <v/>
      </c>
    </row>
    <row r="1769" spans="11:11" x14ac:dyDescent="0.3">
      <c r="K1769" t="str">
        <f>IF($D1769="","",IFERROR(INDEX(Mapping!$H$3:$H$32,MATCH($B1769,Mapping!$G$3:$G$32,0)),IF(LEFT($F1769,3)="P2P",IFERROR(INDEX(Mapping!$E$3:$E$6,MATCH($G1769,Mapping!$D$3:$D$6,0)),IFERROR(INDEX(Mapping!$B$3:$B$13,MATCH($J1769,Mapping!$A$3:$A$13,0)),"(unmapped)")),IFERROR(INDEX(Mapping!$B$17:$B$22,MATCH($F1769,Mapping!$A$17:$A$22,0)),$F1769)&amp;" "&amp;IF($G1769="Banking","Banking",IFERROR(INDEX(Mapping!$E$17:$E$28,MATCH($J1769,Mapping!$D$17:$D$28,0)),"(unmapped)")))))</f>
        <v/>
      </c>
    </row>
    <row r="1770" spans="11:11" x14ac:dyDescent="0.3">
      <c r="K1770" t="str">
        <f>IF($D1770="","",IFERROR(INDEX(Mapping!$H$3:$H$32,MATCH($B1770,Mapping!$G$3:$G$32,0)),IF(LEFT($F1770,3)="P2P",IFERROR(INDEX(Mapping!$E$3:$E$6,MATCH($G1770,Mapping!$D$3:$D$6,0)),IFERROR(INDEX(Mapping!$B$3:$B$13,MATCH($J1770,Mapping!$A$3:$A$13,0)),"(unmapped)")),IFERROR(INDEX(Mapping!$B$17:$B$22,MATCH($F1770,Mapping!$A$17:$A$22,0)),$F1770)&amp;" "&amp;IF($G1770="Banking","Banking",IFERROR(INDEX(Mapping!$E$17:$E$28,MATCH($J1770,Mapping!$D$17:$D$28,0)),"(unmapped)")))))</f>
        <v/>
      </c>
    </row>
    <row r="1771" spans="11:11" x14ac:dyDescent="0.3">
      <c r="K1771" t="str">
        <f>IF($D1771="","",IFERROR(INDEX(Mapping!$H$3:$H$32,MATCH($B1771,Mapping!$G$3:$G$32,0)),IF(LEFT($F1771,3)="P2P",IFERROR(INDEX(Mapping!$E$3:$E$6,MATCH($G1771,Mapping!$D$3:$D$6,0)),IFERROR(INDEX(Mapping!$B$3:$B$13,MATCH($J1771,Mapping!$A$3:$A$13,0)),"(unmapped)")),IFERROR(INDEX(Mapping!$B$17:$B$22,MATCH($F1771,Mapping!$A$17:$A$22,0)),$F1771)&amp;" "&amp;IF($G1771="Banking","Banking",IFERROR(INDEX(Mapping!$E$17:$E$28,MATCH($J1771,Mapping!$D$17:$D$28,0)),"(unmapped)")))))</f>
        <v/>
      </c>
    </row>
    <row r="1772" spans="11:11" x14ac:dyDescent="0.3">
      <c r="K1772" t="str">
        <f>IF($D1772="","",IFERROR(INDEX(Mapping!$H$3:$H$32,MATCH($B1772,Mapping!$G$3:$G$32,0)),IF(LEFT($F1772,3)="P2P",IFERROR(INDEX(Mapping!$E$3:$E$6,MATCH($G1772,Mapping!$D$3:$D$6,0)),IFERROR(INDEX(Mapping!$B$3:$B$13,MATCH($J1772,Mapping!$A$3:$A$13,0)),"(unmapped)")),IFERROR(INDEX(Mapping!$B$17:$B$22,MATCH($F1772,Mapping!$A$17:$A$22,0)),$F1772)&amp;" "&amp;IF($G1772="Banking","Banking",IFERROR(INDEX(Mapping!$E$17:$E$28,MATCH($J1772,Mapping!$D$17:$D$28,0)),"(unmapped)")))))</f>
        <v/>
      </c>
    </row>
    <row r="1773" spans="11:11" x14ac:dyDescent="0.3">
      <c r="K1773" t="str">
        <f>IF($D1773="","",IFERROR(INDEX(Mapping!$H$3:$H$32,MATCH($B1773,Mapping!$G$3:$G$32,0)),IF(LEFT($F1773,3)="P2P",IFERROR(INDEX(Mapping!$E$3:$E$6,MATCH($G1773,Mapping!$D$3:$D$6,0)),IFERROR(INDEX(Mapping!$B$3:$B$13,MATCH($J1773,Mapping!$A$3:$A$13,0)),"(unmapped)")),IFERROR(INDEX(Mapping!$B$17:$B$22,MATCH($F1773,Mapping!$A$17:$A$22,0)),$F1773)&amp;" "&amp;IF($G1773="Banking","Banking",IFERROR(INDEX(Mapping!$E$17:$E$28,MATCH($J1773,Mapping!$D$17:$D$28,0)),"(unmapped)")))))</f>
        <v/>
      </c>
    </row>
    <row r="1774" spans="11:11" x14ac:dyDescent="0.3">
      <c r="K1774" t="str">
        <f>IF($D1774="","",IFERROR(INDEX(Mapping!$H$3:$H$32,MATCH($B1774,Mapping!$G$3:$G$32,0)),IF(LEFT($F1774,3)="P2P",IFERROR(INDEX(Mapping!$E$3:$E$6,MATCH($G1774,Mapping!$D$3:$D$6,0)),IFERROR(INDEX(Mapping!$B$3:$B$13,MATCH($J1774,Mapping!$A$3:$A$13,0)),"(unmapped)")),IFERROR(INDEX(Mapping!$B$17:$B$22,MATCH($F1774,Mapping!$A$17:$A$22,0)),$F1774)&amp;" "&amp;IF($G1774="Banking","Banking",IFERROR(INDEX(Mapping!$E$17:$E$28,MATCH($J1774,Mapping!$D$17:$D$28,0)),"(unmapped)")))))</f>
        <v/>
      </c>
    </row>
    <row r="1775" spans="11:11" x14ac:dyDescent="0.3">
      <c r="K1775" t="str">
        <f>IF($D1775="","",IFERROR(INDEX(Mapping!$H$3:$H$32,MATCH($B1775,Mapping!$G$3:$G$32,0)),IF(LEFT($F1775,3)="P2P",IFERROR(INDEX(Mapping!$E$3:$E$6,MATCH($G1775,Mapping!$D$3:$D$6,0)),IFERROR(INDEX(Mapping!$B$3:$B$13,MATCH($J1775,Mapping!$A$3:$A$13,0)),"(unmapped)")),IFERROR(INDEX(Mapping!$B$17:$B$22,MATCH($F1775,Mapping!$A$17:$A$22,0)),$F1775)&amp;" "&amp;IF($G1775="Banking","Banking",IFERROR(INDEX(Mapping!$E$17:$E$28,MATCH($J1775,Mapping!$D$17:$D$28,0)),"(unmapped)")))))</f>
        <v/>
      </c>
    </row>
    <row r="1776" spans="11:11" x14ac:dyDescent="0.3">
      <c r="K1776" t="str">
        <f>IF($D1776="","",IFERROR(INDEX(Mapping!$H$3:$H$32,MATCH($B1776,Mapping!$G$3:$G$32,0)),IF(LEFT($F1776,3)="P2P",IFERROR(INDEX(Mapping!$E$3:$E$6,MATCH($G1776,Mapping!$D$3:$D$6,0)),IFERROR(INDEX(Mapping!$B$3:$B$13,MATCH($J1776,Mapping!$A$3:$A$13,0)),"(unmapped)")),IFERROR(INDEX(Mapping!$B$17:$B$22,MATCH($F1776,Mapping!$A$17:$A$22,0)),$F1776)&amp;" "&amp;IF($G1776="Banking","Banking",IFERROR(INDEX(Mapping!$E$17:$E$28,MATCH($J1776,Mapping!$D$17:$D$28,0)),"(unmapped)")))))</f>
        <v/>
      </c>
    </row>
    <row r="1777" spans="11:11" x14ac:dyDescent="0.3">
      <c r="K1777" t="str">
        <f>IF($D1777="","",IFERROR(INDEX(Mapping!$H$3:$H$32,MATCH($B1777,Mapping!$G$3:$G$32,0)),IF(LEFT($F1777,3)="P2P",IFERROR(INDEX(Mapping!$E$3:$E$6,MATCH($G1777,Mapping!$D$3:$D$6,0)),IFERROR(INDEX(Mapping!$B$3:$B$13,MATCH($J1777,Mapping!$A$3:$A$13,0)),"(unmapped)")),IFERROR(INDEX(Mapping!$B$17:$B$22,MATCH($F1777,Mapping!$A$17:$A$22,0)),$F1777)&amp;" "&amp;IF($G1777="Banking","Banking",IFERROR(INDEX(Mapping!$E$17:$E$28,MATCH($J1777,Mapping!$D$17:$D$28,0)),"(unmapped)")))))</f>
        <v/>
      </c>
    </row>
    <row r="1778" spans="11:11" x14ac:dyDescent="0.3">
      <c r="K1778" t="str">
        <f>IF($D1778="","",IFERROR(INDEX(Mapping!$H$3:$H$32,MATCH($B1778,Mapping!$G$3:$G$32,0)),IF(LEFT($F1778,3)="P2P",IFERROR(INDEX(Mapping!$E$3:$E$6,MATCH($G1778,Mapping!$D$3:$D$6,0)),IFERROR(INDEX(Mapping!$B$3:$B$13,MATCH($J1778,Mapping!$A$3:$A$13,0)),"(unmapped)")),IFERROR(INDEX(Mapping!$B$17:$B$22,MATCH($F1778,Mapping!$A$17:$A$22,0)),$F1778)&amp;" "&amp;IF($G1778="Banking","Banking",IFERROR(INDEX(Mapping!$E$17:$E$28,MATCH($J1778,Mapping!$D$17:$D$28,0)),"(unmapped)")))))</f>
        <v/>
      </c>
    </row>
    <row r="1779" spans="11:11" x14ac:dyDescent="0.3">
      <c r="K1779" t="str">
        <f>IF($D1779="","",IFERROR(INDEX(Mapping!$H$3:$H$32,MATCH($B1779,Mapping!$G$3:$G$32,0)),IF(LEFT($F1779,3)="P2P",IFERROR(INDEX(Mapping!$E$3:$E$6,MATCH($G1779,Mapping!$D$3:$D$6,0)),IFERROR(INDEX(Mapping!$B$3:$B$13,MATCH($J1779,Mapping!$A$3:$A$13,0)),"(unmapped)")),IFERROR(INDEX(Mapping!$B$17:$B$22,MATCH($F1779,Mapping!$A$17:$A$22,0)),$F1779)&amp;" "&amp;IF($G1779="Banking","Banking",IFERROR(INDEX(Mapping!$E$17:$E$28,MATCH($J1779,Mapping!$D$17:$D$28,0)),"(unmapped)")))))</f>
        <v/>
      </c>
    </row>
    <row r="1780" spans="11:11" x14ac:dyDescent="0.3">
      <c r="K1780" t="str">
        <f>IF($D1780="","",IFERROR(INDEX(Mapping!$H$3:$H$32,MATCH($B1780,Mapping!$G$3:$G$32,0)),IF(LEFT($F1780,3)="P2P",IFERROR(INDEX(Mapping!$E$3:$E$6,MATCH($G1780,Mapping!$D$3:$D$6,0)),IFERROR(INDEX(Mapping!$B$3:$B$13,MATCH($J1780,Mapping!$A$3:$A$13,0)),"(unmapped)")),IFERROR(INDEX(Mapping!$B$17:$B$22,MATCH($F1780,Mapping!$A$17:$A$22,0)),$F1780)&amp;" "&amp;IF($G1780="Banking","Banking",IFERROR(INDEX(Mapping!$E$17:$E$28,MATCH($J1780,Mapping!$D$17:$D$28,0)),"(unmapped)")))))</f>
        <v/>
      </c>
    </row>
    <row r="1781" spans="11:11" x14ac:dyDescent="0.3">
      <c r="K1781" t="str">
        <f>IF($D1781="","",IFERROR(INDEX(Mapping!$H$3:$H$32,MATCH($B1781,Mapping!$G$3:$G$32,0)),IF(LEFT($F1781,3)="P2P",IFERROR(INDEX(Mapping!$E$3:$E$6,MATCH($G1781,Mapping!$D$3:$D$6,0)),IFERROR(INDEX(Mapping!$B$3:$B$13,MATCH($J1781,Mapping!$A$3:$A$13,0)),"(unmapped)")),IFERROR(INDEX(Mapping!$B$17:$B$22,MATCH($F1781,Mapping!$A$17:$A$22,0)),$F1781)&amp;" "&amp;IF($G1781="Banking","Banking",IFERROR(INDEX(Mapping!$E$17:$E$28,MATCH($J1781,Mapping!$D$17:$D$28,0)),"(unmapped)")))))</f>
        <v/>
      </c>
    </row>
    <row r="1782" spans="11:11" x14ac:dyDescent="0.3">
      <c r="K1782" t="str">
        <f>IF($D1782="","",IFERROR(INDEX(Mapping!$H$3:$H$32,MATCH($B1782,Mapping!$G$3:$G$32,0)),IF(LEFT($F1782,3)="P2P",IFERROR(INDEX(Mapping!$E$3:$E$6,MATCH($G1782,Mapping!$D$3:$D$6,0)),IFERROR(INDEX(Mapping!$B$3:$B$13,MATCH($J1782,Mapping!$A$3:$A$13,0)),"(unmapped)")),IFERROR(INDEX(Mapping!$B$17:$B$22,MATCH($F1782,Mapping!$A$17:$A$22,0)),$F1782)&amp;" "&amp;IF($G1782="Banking","Banking",IFERROR(INDEX(Mapping!$E$17:$E$28,MATCH($J1782,Mapping!$D$17:$D$28,0)),"(unmapped)")))))</f>
        <v/>
      </c>
    </row>
    <row r="1783" spans="11:11" x14ac:dyDescent="0.3">
      <c r="K1783" t="str">
        <f>IF($D1783="","",IFERROR(INDEX(Mapping!$H$3:$H$32,MATCH($B1783,Mapping!$G$3:$G$32,0)),IF(LEFT($F1783,3)="P2P",IFERROR(INDEX(Mapping!$E$3:$E$6,MATCH($G1783,Mapping!$D$3:$D$6,0)),IFERROR(INDEX(Mapping!$B$3:$B$13,MATCH($J1783,Mapping!$A$3:$A$13,0)),"(unmapped)")),IFERROR(INDEX(Mapping!$B$17:$B$22,MATCH($F1783,Mapping!$A$17:$A$22,0)),$F1783)&amp;" "&amp;IF($G1783="Banking","Banking",IFERROR(INDEX(Mapping!$E$17:$E$28,MATCH($J1783,Mapping!$D$17:$D$28,0)),"(unmapped)")))))</f>
        <v/>
      </c>
    </row>
    <row r="1784" spans="11:11" x14ac:dyDescent="0.3">
      <c r="K1784" t="str">
        <f>IF($D1784="","",IFERROR(INDEX(Mapping!$H$3:$H$32,MATCH($B1784,Mapping!$G$3:$G$32,0)),IF(LEFT($F1784,3)="P2P",IFERROR(INDEX(Mapping!$E$3:$E$6,MATCH($G1784,Mapping!$D$3:$D$6,0)),IFERROR(INDEX(Mapping!$B$3:$B$13,MATCH($J1784,Mapping!$A$3:$A$13,0)),"(unmapped)")),IFERROR(INDEX(Mapping!$B$17:$B$22,MATCH($F1784,Mapping!$A$17:$A$22,0)),$F1784)&amp;" "&amp;IF($G1784="Banking","Banking",IFERROR(INDEX(Mapping!$E$17:$E$28,MATCH($J1784,Mapping!$D$17:$D$28,0)),"(unmapped)")))))</f>
        <v/>
      </c>
    </row>
    <row r="1785" spans="11:11" x14ac:dyDescent="0.3">
      <c r="K1785" t="str">
        <f>IF($D1785="","",IFERROR(INDEX(Mapping!$H$3:$H$32,MATCH($B1785,Mapping!$G$3:$G$32,0)),IF(LEFT($F1785,3)="P2P",IFERROR(INDEX(Mapping!$E$3:$E$6,MATCH($G1785,Mapping!$D$3:$D$6,0)),IFERROR(INDEX(Mapping!$B$3:$B$13,MATCH($J1785,Mapping!$A$3:$A$13,0)),"(unmapped)")),IFERROR(INDEX(Mapping!$B$17:$B$22,MATCH($F1785,Mapping!$A$17:$A$22,0)),$F1785)&amp;" "&amp;IF($G1785="Banking","Banking",IFERROR(INDEX(Mapping!$E$17:$E$28,MATCH($J1785,Mapping!$D$17:$D$28,0)),"(unmapped)")))))</f>
        <v/>
      </c>
    </row>
    <row r="1786" spans="11:11" x14ac:dyDescent="0.3">
      <c r="K1786" t="str">
        <f>IF($D1786="","",IFERROR(INDEX(Mapping!$H$3:$H$32,MATCH($B1786,Mapping!$G$3:$G$32,0)),IF(LEFT($F1786,3)="P2P",IFERROR(INDEX(Mapping!$E$3:$E$6,MATCH($G1786,Mapping!$D$3:$D$6,0)),IFERROR(INDEX(Mapping!$B$3:$B$13,MATCH($J1786,Mapping!$A$3:$A$13,0)),"(unmapped)")),IFERROR(INDEX(Mapping!$B$17:$B$22,MATCH($F1786,Mapping!$A$17:$A$22,0)),$F1786)&amp;" "&amp;IF($G1786="Banking","Banking",IFERROR(INDEX(Mapping!$E$17:$E$28,MATCH($J1786,Mapping!$D$17:$D$28,0)),"(unmapped)")))))</f>
        <v/>
      </c>
    </row>
    <row r="1787" spans="11:11" x14ac:dyDescent="0.3">
      <c r="K1787" t="str">
        <f>IF($D1787="","",IFERROR(INDEX(Mapping!$H$3:$H$32,MATCH($B1787,Mapping!$G$3:$G$32,0)),IF(LEFT($F1787,3)="P2P",IFERROR(INDEX(Mapping!$E$3:$E$6,MATCH($G1787,Mapping!$D$3:$D$6,0)),IFERROR(INDEX(Mapping!$B$3:$B$13,MATCH($J1787,Mapping!$A$3:$A$13,0)),"(unmapped)")),IFERROR(INDEX(Mapping!$B$17:$B$22,MATCH($F1787,Mapping!$A$17:$A$22,0)),$F1787)&amp;" "&amp;IF($G1787="Banking","Banking",IFERROR(INDEX(Mapping!$E$17:$E$28,MATCH($J1787,Mapping!$D$17:$D$28,0)),"(unmapped)")))))</f>
        <v/>
      </c>
    </row>
    <row r="1788" spans="11:11" x14ac:dyDescent="0.3">
      <c r="K1788" t="str">
        <f>IF($D1788="","",IFERROR(INDEX(Mapping!$H$3:$H$32,MATCH($B1788,Mapping!$G$3:$G$32,0)),IF(LEFT($F1788,3)="P2P",IFERROR(INDEX(Mapping!$E$3:$E$6,MATCH($G1788,Mapping!$D$3:$D$6,0)),IFERROR(INDEX(Mapping!$B$3:$B$13,MATCH($J1788,Mapping!$A$3:$A$13,0)),"(unmapped)")),IFERROR(INDEX(Mapping!$B$17:$B$22,MATCH($F1788,Mapping!$A$17:$A$22,0)),$F1788)&amp;" "&amp;IF($G1788="Banking","Banking",IFERROR(INDEX(Mapping!$E$17:$E$28,MATCH($J1788,Mapping!$D$17:$D$28,0)),"(unmapped)")))))</f>
        <v/>
      </c>
    </row>
    <row r="1789" spans="11:11" x14ac:dyDescent="0.3">
      <c r="K1789" t="str">
        <f>IF($D1789="","",IFERROR(INDEX(Mapping!$H$3:$H$32,MATCH($B1789,Mapping!$G$3:$G$32,0)),IF(LEFT($F1789,3)="P2P",IFERROR(INDEX(Mapping!$E$3:$E$6,MATCH($G1789,Mapping!$D$3:$D$6,0)),IFERROR(INDEX(Mapping!$B$3:$B$13,MATCH($J1789,Mapping!$A$3:$A$13,0)),"(unmapped)")),IFERROR(INDEX(Mapping!$B$17:$B$22,MATCH($F1789,Mapping!$A$17:$A$22,0)),$F1789)&amp;" "&amp;IF($G1789="Banking","Banking",IFERROR(INDEX(Mapping!$E$17:$E$28,MATCH($J1789,Mapping!$D$17:$D$28,0)),"(unmapped)")))))</f>
        <v/>
      </c>
    </row>
    <row r="1790" spans="11:11" x14ac:dyDescent="0.3">
      <c r="K1790" t="str">
        <f>IF($D1790="","",IFERROR(INDEX(Mapping!$H$3:$H$32,MATCH($B1790,Mapping!$G$3:$G$32,0)),IF(LEFT($F1790,3)="P2P",IFERROR(INDEX(Mapping!$E$3:$E$6,MATCH($G1790,Mapping!$D$3:$D$6,0)),IFERROR(INDEX(Mapping!$B$3:$B$13,MATCH($J1790,Mapping!$A$3:$A$13,0)),"(unmapped)")),IFERROR(INDEX(Mapping!$B$17:$B$22,MATCH($F1790,Mapping!$A$17:$A$22,0)),$F1790)&amp;" "&amp;IF($G1790="Banking","Banking",IFERROR(INDEX(Mapping!$E$17:$E$28,MATCH($J1790,Mapping!$D$17:$D$28,0)),"(unmapped)")))))</f>
        <v/>
      </c>
    </row>
    <row r="1791" spans="11:11" x14ac:dyDescent="0.3">
      <c r="K1791" t="str">
        <f>IF($D1791="","",IFERROR(INDEX(Mapping!$H$3:$H$32,MATCH($B1791,Mapping!$G$3:$G$32,0)),IF(LEFT($F1791,3)="P2P",IFERROR(INDEX(Mapping!$E$3:$E$6,MATCH($G1791,Mapping!$D$3:$D$6,0)),IFERROR(INDEX(Mapping!$B$3:$B$13,MATCH($J1791,Mapping!$A$3:$A$13,0)),"(unmapped)")),IFERROR(INDEX(Mapping!$B$17:$B$22,MATCH($F1791,Mapping!$A$17:$A$22,0)),$F1791)&amp;" "&amp;IF($G1791="Banking","Banking",IFERROR(INDEX(Mapping!$E$17:$E$28,MATCH($J1791,Mapping!$D$17:$D$28,0)),"(unmapped)")))))</f>
        <v/>
      </c>
    </row>
    <row r="1792" spans="11:11" x14ac:dyDescent="0.3">
      <c r="K1792" t="str">
        <f>IF($D1792="","",IFERROR(INDEX(Mapping!$H$3:$H$32,MATCH($B1792,Mapping!$G$3:$G$32,0)),IF(LEFT($F1792,3)="P2P",IFERROR(INDEX(Mapping!$E$3:$E$6,MATCH($G1792,Mapping!$D$3:$D$6,0)),IFERROR(INDEX(Mapping!$B$3:$B$13,MATCH($J1792,Mapping!$A$3:$A$13,0)),"(unmapped)")),IFERROR(INDEX(Mapping!$B$17:$B$22,MATCH($F1792,Mapping!$A$17:$A$22,0)),$F1792)&amp;" "&amp;IF($G1792="Banking","Banking",IFERROR(INDEX(Mapping!$E$17:$E$28,MATCH($J1792,Mapping!$D$17:$D$28,0)),"(unmapped)")))))</f>
        <v/>
      </c>
    </row>
    <row r="1793" spans="11:11" x14ac:dyDescent="0.3">
      <c r="K1793" t="str">
        <f>IF($D1793="","",IFERROR(INDEX(Mapping!$H$3:$H$32,MATCH($B1793,Mapping!$G$3:$G$32,0)),IF(LEFT($F1793,3)="P2P",IFERROR(INDEX(Mapping!$E$3:$E$6,MATCH($G1793,Mapping!$D$3:$D$6,0)),IFERROR(INDEX(Mapping!$B$3:$B$13,MATCH($J1793,Mapping!$A$3:$A$13,0)),"(unmapped)")),IFERROR(INDEX(Mapping!$B$17:$B$22,MATCH($F1793,Mapping!$A$17:$A$22,0)),$F1793)&amp;" "&amp;IF($G1793="Banking","Banking",IFERROR(INDEX(Mapping!$E$17:$E$28,MATCH($J1793,Mapping!$D$17:$D$28,0)),"(unmapped)")))))</f>
        <v/>
      </c>
    </row>
    <row r="1794" spans="11:11" x14ac:dyDescent="0.3">
      <c r="K1794" t="str">
        <f>IF($D1794="","",IFERROR(INDEX(Mapping!$H$3:$H$32,MATCH($B1794,Mapping!$G$3:$G$32,0)),IF(LEFT($F1794,3)="P2P",IFERROR(INDEX(Mapping!$E$3:$E$6,MATCH($G1794,Mapping!$D$3:$D$6,0)),IFERROR(INDEX(Mapping!$B$3:$B$13,MATCH($J1794,Mapping!$A$3:$A$13,0)),"(unmapped)")),IFERROR(INDEX(Mapping!$B$17:$B$22,MATCH($F1794,Mapping!$A$17:$A$22,0)),$F1794)&amp;" "&amp;IF($G1794="Banking","Banking",IFERROR(INDEX(Mapping!$E$17:$E$28,MATCH($J1794,Mapping!$D$17:$D$28,0)),"(unmapped)")))))</f>
        <v/>
      </c>
    </row>
    <row r="1795" spans="11:11" x14ac:dyDescent="0.3">
      <c r="K1795" t="str">
        <f>IF($D1795="","",IFERROR(INDEX(Mapping!$H$3:$H$32,MATCH($B1795,Mapping!$G$3:$G$32,0)),IF(LEFT($F1795,3)="P2P",IFERROR(INDEX(Mapping!$E$3:$E$6,MATCH($G1795,Mapping!$D$3:$D$6,0)),IFERROR(INDEX(Mapping!$B$3:$B$13,MATCH($J1795,Mapping!$A$3:$A$13,0)),"(unmapped)")),IFERROR(INDEX(Mapping!$B$17:$B$22,MATCH($F1795,Mapping!$A$17:$A$22,0)),$F1795)&amp;" "&amp;IF($G1795="Banking","Banking",IFERROR(INDEX(Mapping!$E$17:$E$28,MATCH($J1795,Mapping!$D$17:$D$28,0)),"(unmapped)")))))</f>
        <v/>
      </c>
    </row>
    <row r="1796" spans="11:11" x14ac:dyDescent="0.3">
      <c r="K1796" t="str">
        <f>IF($D1796="","",IFERROR(INDEX(Mapping!$H$3:$H$32,MATCH($B1796,Mapping!$G$3:$G$32,0)),IF(LEFT($F1796,3)="P2P",IFERROR(INDEX(Mapping!$E$3:$E$6,MATCH($G1796,Mapping!$D$3:$D$6,0)),IFERROR(INDEX(Mapping!$B$3:$B$13,MATCH($J1796,Mapping!$A$3:$A$13,0)),"(unmapped)")),IFERROR(INDEX(Mapping!$B$17:$B$22,MATCH($F1796,Mapping!$A$17:$A$22,0)),$F1796)&amp;" "&amp;IF($G1796="Banking","Banking",IFERROR(INDEX(Mapping!$E$17:$E$28,MATCH($J1796,Mapping!$D$17:$D$28,0)),"(unmapped)")))))</f>
        <v/>
      </c>
    </row>
    <row r="1797" spans="11:11" x14ac:dyDescent="0.3">
      <c r="K1797" t="str">
        <f>IF($D1797="","",IFERROR(INDEX(Mapping!$H$3:$H$32,MATCH($B1797,Mapping!$G$3:$G$32,0)),IF(LEFT($F1797,3)="P2P",IFERROR(INDEX(Mapping!$E$3:$E$6,MATCH($G1797,Mapping!$D$3:$D$6,0)),IFERROR(INDEX(Mapping!$B$3:$B$13,MATCH($J1797,Mapping!$A$3:$A$13,0)),"(unmapped)")),IFERROR(INDEX(Mapping!$B$17:$B$22,MATCH($F1797,Mapping!$A$17:$A$22,0)),$F1797)&amp;" "&amp;IF($G1797="Banking","Banking",IFERROR(INDEX(Mapping!$E$17:$E$28,MATCH($J1797,Mapping!$D$17:$D$28,0)),"(unmapped)")))))</f>
        <v/>
      </c>
    </row>
    <row r="1798" spans="11:11" x14ac:dyDescent="0.3">
      <c r="K1798" t="str">
        <f>IF($D1798="","",IFERROR(INDEX(Mapping!$H$3:$H$32,MATCH($B1798,Mapping!$G$3:$G$32,0)),IF(LEFT($F1798,3)="P2P",IFERROR(INDEX(Mapping!$E$3:$E$6,MATCH($G1798,Mapping!$D$3:$D$6,0)),IFERROR(INDEX(Mapping!$B$3:$B$13,MATCH($J1798,Mapping!$A$3:$A$13,0)),"(unmapped)")),IFERROR(INDEX(Mapping!$B$17:$B$22,MATCH($F1798,Mapping!$A$17:$A$22,0)),$F1798)&amp;" "&amp;IF($G1798="Banking","Banking",IFERROR(INDEX(Mapping!$E$17:$E$28,MATCH($J1798,Mapping!$D$17:$D$28,0)),"(unmapped)")))))</f>
        <v/>
      </c>
    </row>
    <row r="1799" spans="11:11" x14ac:dyDescent="0.3">
      <c r="K1799" t="str">
        <f>IF($D1799="","",IFERROR(INDEX(Mapping!$H$3:$H$32,MATCH($B1799,Mapping!$G$3:$G$32,0)),IF(LEFT($F1799,3)="P2P",IFERROR(INDEX(Mapping!$E$3:$E$6,MATCH($G1799,Mapping!$D$3:$D$6,0)),IFERROR(INDEX(Mapping!$B$3:$B$13,MATCH($J1799,Mapping!$A$3:$A$13,0)),"(unmapped)")),IFERROR(INDEX(Mapping!$B$17:$B$22,MATCH($F1799,Mapping!$A$17:$A$22,0)),$F1799)&amp;" "&amp;IF($G1799="Banking","Banking",IFERROR(INDEX(Mapping!$E$17:$E$28,MATCH($J1799,Mapping!$D$17:$D$28,0)),"(unmapped)")))))</f>
        <v/>
      </c>
    </row>
    <row r="1800" spans="11:11" x14ac:dyDescent="0.3">
      <c r="K1800" t="str">
        <f>IF($D1800="","",IFERROR(INDEX(Mapping!$H$3:$H$32,MATCH($B1800,Mapping!$G$3:$G$32,0)),IF(LEFT($F1800,3)="P2P",IFERROR(INDEX(Mapping!$E$3:$E$6,MATCH($G1800,Mapping!$D$3:$D$6,0)),IFERROR(INDEX(Mapping!$B$3:$B$13,MATCH($J1800,Mapping!$A$3:$A$13,0)),"(unmapped)")),IFERROR(INDEX(Mapping!$B$17:$B$22,MATCH($F1800,Mapping!$A$17:$A$22,0)),$F1800)&amp;" "&amp;IF($G1800="Banking","Banking",IFERROR(INDEX(Mapping!$E$17:$E$28,MATCH($J1800,Mapping!$D$17:$D$28,0)),"(unmapped)")))))</f>
        <v/>
      </c>
    </row>
    <row r="1801" spans="11:11" x14ac:dyDescent="0.3">
      <c r="K1801" t="str">
        <f>IF($D1801="","",IFERROR(INDEX(Mapping!$H$3:$H$32,MATCH($B1801,Mapping!$G$3:$G$32,0)),IF(LEFT($F1801,3)="P2P",IFERROR(INDEX(Mapping!$E$3:$E$6,MATCH($G1801,Mapping!$D$3:$D$6,0)),IFERROR(INDEX(Mapping!$B$3:$B$13,MATCH($J1801,Mapping!$A$3:$A$13,0)),"(unmapped)")),IFERROR(INDEX(Mapping!$B$17:$B$22,MATCH($F1801,Mapping!$A$17:$A$22,0)),$F1801)&amp;" "&amp;IF($G1801="Banking","Banking",IFERROR(INDEX(Mapping!$E$17:$E$28,MATCH($J1801,Mapping!$D$17:$D$28,0)),"(unmapped)")))))</f>
        <v/>
      </c>
    </row>
    <row r="1802" spans="11:11" x14ac:dyDescent="0.3">
      <c r="K1802" t="str">
        <f>IF($D1802="","",IFERROR(INDEX(Mapping!$H$3:$H$32,MATCH($B1802,Mapping!$G$3:$G$32,0)),IF(LEFT($F1802,3)="P2P",IFERROR(INDEX(Mapping!$E$3:$E$6,MATCH($G1802,Mapping!$D$3:$D$6,0)),IFERROR(INDEX(Mapping!$B$3:$B$13,MATCH($J1802,Mapping!$A$3:$A$13,0)),"(unmapped)")),IFERROR(INDEX(Mapping!$B$17:$B$22,MATCH($F1802,Mapping!$A$17:$A$22,0)),$F1802)&amp;" "&amp;IF($G1802="Banking","Banking",IFERROR(INDEX(Mapping!$E$17:$E$28,MATCH($J1802,Mapping!$D$17:$D$28,0)),"(unmapped)")))))</f>
        <v/>
      </c>
    </row>
    <row r="1803" spans="11:11" x14ac:dyDescent="0.3">
      <c r="K1803" t="str">
        <f>IF($D1803="","",IFERROR(INDEX(Mapping!$H$3:$H$32,MATCH($B1803,Mapping!$G$3:$G$32,0)),IF(LEFT($F1803,3)="P2P",IFERROR(INDEX(Mapping!$E$3:$E$6,MATCH($G1803,Mapping!$D$3:$D$6,0)),IFERROR(INDEX(Mapping!$B$3:$B$13,MATCH($J1803,Mapping!$A$3:$A$13,0)),"(unmapped)")),IFERROR(INDEX(Mapping!$B$17:$B$22,MATCH($F1803,Mapping!$A$17:$A$22,0)),$F1803)&amp;" "&amp;IF($G1803="Banking","Banking",IFERROR(INDEX(Mapping!$E$17:$E$28,MATCH($J1803,Mapping!$D$17:$D$28,0)),"(unmapped)")))))</f>
        <v/>
      </c>
    </row>
    <row r="1804" spans="11:11" x14ac:dyDescent="0.3">
      <c r="K1804" t="str">
        <f>IF($D1804="","",IFERROR(INDEX(Mapping!$H$3:$H$32,MATCH($B1804,Mapping!$G$3:$G$32,0)),IF(LEFT($F1804,3)="P2P",IFERROR(INDEX(Mapping!$E$3:$E$6,MATCH($G1804,Mapping!$D$3:$D$6,0)),IFERROR(INDEX(Mapping!$B$3:$B$13,MATCH($J1804,Mapping!$A$3:$A$13,0)),"(unmapped)")),IFERROR(INDEX(Mapping!$B$17:$B$22,MATCH($F1804,Mapping!$A$17:$A$22,0)),$F1804)&amp;" "&amp;IF($G1804="Banking","Banking",IFERROR(INDEX(Mapping!$E$17:$E$28,MATCH($J1804,Mapping!$D$17:$D$28,0)),"(unmapped)")))))</f>
        <v/>
      </c>
    </row>
    <row r="1805" spans="11:11" x14ac:dyDescent="0.3">
      <c r="K1805" t="str">
        <f>IF($D1805="","",IFERROR(INDEX(Mapping!$H$3:$H$32,MATCH($B1805,Mapping!$G$3:$G$32,0)),IF(LEFT($F1805,3)="P2P",IFERROR(INDEX(Mapping!$E$3:$E$6,MATCH($G1805,Mapping!$D$3:$D$6,0)),IFERROR(INDEX(Mapping!$B$3:$B$13,MATCH($J1805,Mapping!$A$3:$A$13,0)),"(unmapped)")),IFERROR(INDEX(Mapping!$B$17:$B$22,MATCH($F1805,Mapping!$A$17:$A$22,0)),$F1805)&amp;" "&amp;IF($G1805="Banking","Banking",IFERROR(INDEX(Mapping!$E$17:$E$28,MATCH($J1805,Mapping!$D$17:$D$28,0)),"(unmapped)")))))</f>
        <v/>
      </c>
    </row>
    <row r="1806" spans="11:11" x14ac:dyDescent="0.3">
      <c r="K1806" t="str">
        <f>IF($D1806="","",IFERROR(INDEX(Mapping!$H$3:$H$32,MATCH($B1806,Mapping!$G$3:$G$32,0)),IF(LEFT($F1806,3)="P2P",IFERROR(INDEX(Mapping!$E$3:$E$6,MATCH($G1806,Mapping!$D$3:$D$6,0)),IFERROR(INDEX(Mapping!$B$3:$B$13,MATCH($J1806,Mapping!$A$3:$A$13,0)),"(unmapped)")),IFERROR(INDEX(Mapping!$B$17:$B$22,MATCH($F1806,Mapping!$A$17:$A$22,0)),$F1806)&amp;" "&amp;IF($G1806="Banking","Banking",IFERROR(INDEX(Mapping!$E$17:$E$28,MATCH($J1806,Mapping!$D$17:$D$28,0)),"(unmapped)")))))</f>
        <v/>
      </c>
    </row>
    <row r="1807" spans="11:11" x14ac:dyDescent="0.3">
      <c r="K1807" t="str">
        <f>IF($D1807="","",IFERROR(INDEX(Mapping!$H$3:$H$32,MATCH($B1807,Mapping!$G$3:$G$32,0)),IF(LEFT($F1807,3)="P2P",IFERROR(INDEX(Mapping!$E$3:$E$6,MATCH($G1807,Mapping!$D$3:$D$6,0)),IFERROR(INDEX(Mapping!$B$3:$B$13,MATCH($J1807,Mapping!$A$3:$A$13,0)),"(unmapped)")),IFERROR(INDEX(Mapping!$B$17:$B$22,MATCH($F1807,Mapping!$A$17:$A$22,0)),$F1807)&amp;" "&amp;IF($G1807="Banking","Banking",IFERROR(INDEX(Mapping!$E$17:$E$28,MATCH($J1807,Mapping!$D$17:$D$28,0)),"(unmapped)")))))</f>
        <v/>
      </c>
    </row>
    <row r="1808" spans="11:11" x14ac:dyDescent="0.3">
      <c r="K1808" t="str">
        <f>IF($D1808="","",IFERROR(INDEX(Mapping!$H$3:$H$32,MATCH($B1808,Mapping!$G$3:$G$32,0)),IF(LEFT($F1808,3)="P2P",IFERROR(INDEX(Mapping!$E$3:$E$6,MATCH($G1808,Mapping!$D$3:$D$6,0)),IFERROR(INDEX(Mapping!$B$3:$B$13,MATCH($J1808,Mapping!$A$3:$A$13,0)),"(unmapped)")),IFERROR(INDEX(Mapping!$B$17:$B$22,MATCH($F1808,Mapping!$A$17:$A$22,0)),$F1808)&amp;" "&amp;IF($G1808="Banking","Banking",IFERROR(INDEX(Mapping!$E$17:$E$28,MATCH($J1808,Mapping!$D$17:$D$28,0)),"(unmapped)")))))</f>
        <v/>
      </c>
    </row>
    <row r="1809" spans="11:11" x14ac:dyDescent="0.3">
      <c r="K1809" t="str">
        <f>IF($D1809="","",IFERROR(INDEX(Mapping!$H$3:$H$32,MATCH($B1809,Mapping!$G$3:$G$32,0)),IF(LEFT($F1809,3)="P2P",IFERROR(INDEX(Mapping!$E$3:$E$6,MATCH($G1809,Mapping!$D$3:$D$6,0)),IFERROR(INDEX(Mapping!$B$3:$B$13,MATCH($J1809,Mapping!$A$3:$A$13,0)),"(unmapped)")),IFERROR(INDEX(Mapping!$B$17:$B$22,MATCH($F1809,Mapping!$A$17:$A$22,0)),$F1809)&amp;" "&amp;IF($G1809="Banking","Banking",IFERROR(INDEX(Mapping!$E$17:$E$28,MATCH($J1809,Mapping!$D$17:$D$28,0)),"(unmapped)")))))</f>
        <v/>
      </c>
    </row>
    <row r="1810" spans="11:11" x14ac:dyDescent="0.3">
      <c r="K1810" t="str">
        <f>IF($D1810="","",IFERROR(INDEX(Mapping!$H$3:$H$32,MATCH($B1810,Mapping!$G$3:$G$32,0)),IF(LEFT($F1810,3)="P2P",IFERROR(INDEX(Mapping!$E$3:$E$6,MATCH($G1810,Mapping!$D$3:$D$6,0)),IFERROR(INDEX(Mapping!$B$3:$B$13,MATCH($J1810,Mapping!$A$3:$A$13,0)),"(unmapped)")),IFERROR(INDEX(Mapping!$B$17:$B$22,MATCH($F1810,Mapping!$A$17:$A$22,0)),$F1810)&amp;" "&amp;IF($G1810="Banking","Banking",IFERROR(INDEX(Mapping!$E$17:$E$28,MATCH($J1810,Mapping!$D$17:$D$28,0)),"(unmapped)")))))</f>
        <v/>
      </c>
    </row>
    <row r="1811" spans="11:11" x14ac:dyDescent="0.3">
      <c r="K1811" t="str">
        <f>IF($D1811="","",IFERROR(INDEX(Mapping!$H$3:$H$32,MATCH($B1811,Mapping!$G$3:$G$32,0)),IF(LEFT($F1811,3)="P2P",IFERROR(INDEX(Mapping!$E$3:$E$6,MATCH($G1811,Mapping!$D$3:$D$6,0)),IFERROR(INDEX(Mapping!$B$3:$B$13,MATCH($J1811,Mapping!$A$3:$A$13,0)),"(unmapped)")),IFERROR(INDEX(Mapping!$B$17:$B$22,MATCH($F1811,Mapping!$A$17:$A$22,0)),$F1811)&amp;" "&amp;IF($G1811="Banking","Banking",IFERROR(INDEX(Mapping!$E$17:$E$28,MATCH($J1811,Mapping!$D$17:$D$28,0)),"(unmapped)")))))</f>
        <v/>
      </c>
    </row>
    <row r="1812" spans="11:11" x14ac:dyDescent="0.3">
      <c r="K1812" t="str">
        <f>IF($D1812="","",IFERROR(INDEX(Mapping!$H$3:$H$32,MATCH($B1812,Mapping!$G$3:$G$32,0)),IF(LEFT($F1812,3)="P2P",IFERROR(INDEX(Mapping!$E$3:$E$6,MATCH($G1812,Mapping!$D$3:$D$6,0)),IFERROR(INDEX(Mapping!$B$3:$B$13,MATCH($J1812,Mapping!$A$3:$A$13,0)),"(unmapped)")),IFERROR(INDEX(Mapping!$B$17:$B$22,MATCH($F1812,Mapping!$A$17:$A$22,0)),$F1812)&amp;" "&amp;IF($G1812="Banking","Banking",IFERROR(INDEX(Mapping!$E$17:$E$28,MATCH($J1812,Mapping!$D$17:$D$28,0)),"(unmapped)")))))</f>
        <v/>
      </c>
    </row>
    <row r="1813" spans="11:11" x14ac:dyDescent="0.3">
      <c r="K1813" t="str">
        <f>IF($D1813="","",IFERROR(INDEX(Mapping!$H$3:$H$32,MATCH($B1813,Mapping!$G$3:$G$32,0)),IF(LEFT($F1813,3)="P2P",IFERROR(INDEX(Mapping!$E$3:$E$6,MATCH($G1813,Mapping!$D$3:$D$6,0)),IFERROR(INDEX(Mapping!$B$3:$B$13,MATCH($J1813,Mapping!$A$3:$A$13,0)),"(unmapped)")),IFERROR(INDEX(Mapping!$B$17:$B$22,MATCH($F1813,Mapping!$A$17:$A$22,0)),$F1813)&amp;" "&amp;IF($G1813="Banking","Banking",IFERROR(INDEX(Mapping!$E$17:$E$28,MATCH($J1813,Mapping!$D$17:$D$28,0)),"(unmapped)")))))</f>
        <v/>
      </c>
    </row>
    <row r="1814" spans="11:11" x14ac:dyDescent="0.3">
      <c r="K1814" t="str">
        <f>IF($D1814="","",IFERROR(INDEX(Mapping!$H$3:$H$32,MATCH($B1814,Mapping!$G$3:$G$32,0)),IF(LEFT($F1814,3)="P2P",IFERROR(INDEX(Mapping!$E$3:$E$6,MATCH($G1814,Mapping!$D$3:$D$6,0)),IFERROR(INDEX(Mapping!$B$3:$B$13,MATCH($J1814,Mapping!$A$3:$A$13,0)),"(unmapped)")),IFERROR(INDEX(Mapping!$B$17:$B$22,MATCH($F1814,Mapping!$A$17:$A$22,0)),$F1814)&amp;" "&amp;IF($G1814="Banking","Banking",IFERROR(INDEX(Mapping!$E$17:$E$28,MATCH($J1814,Mapping!$D$17:$D$28,0)),"(unmapped)")))))</f>
        <v/>
      </c>
    </row>
    <row r="1815" spans="11:11" x14ac:dyDescent="0.3">
      <c r="K1815" t="str">
        <f>IF($D1815="","",IFERROR(INDEX(Mapping!$H$3:$H$32,MATCH($B1815,Mapping!$G$3:$G$32,0)),IF(LEFT($F1815,3)="P2P",IFERROR(INDEX(Mapping!$E$3:$E$6,MATCH($G1815,Mapping!$D$3:$D$6,0)),IFERROR(INDEX(Mapping!$B$3:$B$13,MATCH($J1815,Mapping!$A$3:$A$13,0)),"(unmapped)")),IFERROR(INDEX(Mapping!$B$17:$B$22,MATCH($F1815,Mapping!$A$17:$A$22,0)),$F1815)&amp;" "&amp;IF($G1815="Banking","Banking",IFERROR(INDEX(Mapping!$E$17:$E$28,MATCH($J1815,Mapping!$D$17:$D$28,0)),"(unmapped)")))))</f>
        <v/>
      </c>
    </row>
    <row r="1816" spans="11:11" x14ac:dyDescent="0.3">
      <c r="K1816" t="str">
        <f>IF($D1816="","",IFERROR(INDEX(Mapping!$H$3:$H$32,MATCH($B1816,Mapping!$G$3:$G$32,0)),IF(LEFT($F1816,3)="P2P",IFERROR(INDEX(Mapping!$E$3:$E$6,MATCH($G1816,Mapping!$D$3:$D$6,0)),IFERROR(INDEX(Mapping!$B$3:$B$13,MATCH($J1816,Mapping!$A$3:$A$13,0)),"(unmapped)")),IFERROR(INDEX(Mapping!$B$17:$B$22,MATCH($F1816,Mapping!$A$17:$A$22,0)),$F1816)&amp;" "&amp;IF($G1816="Banking","Banking",IFERROR(INDEX(Mapping!$E$17:$E$28,MATCH($J1816,Mapping!$D$17:$D$28,0)),"(unmapped)")))))</f>
        <v/>
      </c>
    </row>
    <row r="1817" spans="11:11" x14ac:dyDescent="0.3">
      <c r="K1817" t="str">
        <f>IF($D1817="","",IFERROR(INDEX(Mapping!$H$3:$H$32,MATCH($B1817,Mapping!$G$3:$G$32,0)),IF(LEFT($F1817,3)="P2P",IFERROR(INDEX(Mapping!$E$3:$E$6,MATCH($G1817,Mapping!$D$3:$D$6,0)),IFERROR(INDEX(Mapping!$B$3:$B$13,MATCH($J1817,Mapping!$A$3:$A$13,0)),"(unmapped)")),IFERROR(INDEX(Mapping!$B$17:$B$22,MATCH($F1817,Mapping!$A$17:$A$22,0)),$F1817)&amp;" "&amp;IF($G1817="Banking","Banking",IFERROR(INDEX(Mapping!$E$17:$E$28,MATCH($J1817,Mapping!$D$17:$D$28,0)),"(unmapped)")))))</f>
        <v/>
      </c>
    </row>
    <row r="1818" spans="11:11" x14ac:dyDescent="0.3">
      <c r="K1818" t="str">
        <f>IF($D1818="","",IFERROR(INDEX(Mapping!$H$3:$H$32,MATCH($B1818,Mapping!$G$3:$G$32,0)),IF(LEFT($F1818,3)="P2P",IFERROR(INDEX(Mapping!$E$3:$E$6,MATCH($G1818,Mapping!$D$3:$D$6,0)),IFERROR(INDEX(Mapping!$B$3:$B$13,MATCH($J1818,Mapping!$A$3:$A$13,0)),"(unmapped)")),IFERROR(INDEX(Mapping!$B$17:$B$22,MATCH($F1818,Mapping!$A$17:$A$22,0)),$F1818)&amp;" "&amp;IF($G1818="Banking","Banking",IFERROR(INDEX(Mapping!$E$17:$E$28,MATCH($J1818,Mapping!$D$17:$D$28,0)),"(unmapped)")))))</f>
        <v/>
      </c>
    </row>
    <row r="1819" spans="11:11" x14ac:dyDescent="0.3">
      <c r="K1819" t="str">
        <f>IF($D1819="","",IFERROR(INDEX(Mapping!$H$3:$H$32,MATCH($B1819,Mapping!$G$3:$G$32,0)),IF(LEFT($F1819,3)="P2P",IFERROR(INDEX(Mapping!$E$3:$E$6,MATCH($G1819,Mapping!$D$3:$D$6,0)),IFERROR(INDEX(Mapping!$B$3:$B$13,MATCH($J1819,Mapping!$A$3:$A$13,0)),"(unmapped)")),IFERROR(INDEX(Mapping!$B$17:$B$22,MATCH($F1819,Mapping!$A$17:$A$22,0)),$F1819)&amp;" "&amp;IF($G1819="Banking","Banking",IFERROR(INDEX(Mapping!$E$17:$E$28,MATCH($J1819,Mapping!$D$17:$D$28,0)),"(unmapped)")))))</f>
        <v/>
      </c>
    </row>
    <row r="1820" spans="11:11" x14ac:dyDescent="0.3">
      <c r="K1820" t="str">
        <f>IF($D1820="","",IFERROR(INDEX(Mapping!$H$3:$H$32,MATCH($B1820,Mapping!$G$3:$G$32,0)),IF(LEFT($F1820,3)="P2P",IFERROR(INDEX(Mapping!$E$3:$E$6,MATCH($G1820,Mapping!$D$3:$D$6,0)),IFERROR(INDEX(Mapping!$B$3:$B$13,MATCH($J1820,Mapping!$A$3:$A$13,0)),"(unmapped)")),IFERROR(INDEX(Mapping!$B$17:$B$22,MATCH($F1820,Mapping!$A$17:$A$22,0)),$F1820)&amp;" "&amp;IF($G1820="Banking","Banking",IFERROR(INDEX(Mapping!$E$17:$E$28,MATCH($J1820,Mapping!$D$17:$D$28,0)),"(unmapped)")))))</f>
        <v/>
      </c>
    </row>
    <row r="1821" spans="11:11" x14ac:dyDescent="0.3">
      <c r="K1821" t="str">
        <f>IF($D1821="","",IFERROR(INDEX(Mapping!$H$3:$H$32,MATCH($B1821,Mapping!$G$3:$G$32,0)),IF(LEFT($F1821,3)="P2P",IFERROR(INDEX(Mapping!$E$3:$E$6,MATCH($G1821,Mapping!$D$3:$D$6,0)),IFERROR(INDEX(Mapping!$B$3:$B$13,MATCH($J1821,Mapping!$A$3:$A$13,0)),"(unmapped)")),IFERROR(INDEX(Mapping!$B$17:$B$22,MATCH($F1821,Mapping!$A$17:$A$22,0)),$F1821)&amp;" "&amp;IF($G1821="Banking","Banking",IFERROR(INDEX(Mapping!$E$17:$E$28,MATCH($J1821,Mapping!$D$17:$D$28,0)),"(unmapped)")))))</f>
        <v/>
      </c>
    </row>
    <row r="1822" spans="11:11" x14ac:dyDescent="0.3">
      <c r="K1822" t="str">
        <f>IF($D1822="","",IFERROR(INDEX(Mapping!$H$3:$H$32,MATCH($B1822,Mapping!$G$3:$G$32,0)),IF(LEFT($F1822,3)="P2P",IFERROR(INDEX(Mapping!$E$3:$E$6,MATCH($G1822,Mapping!$D$3:$D$6,0)),IFERROR(INDEX(Mapping!$B$3:$B$13,MATCH($J1822,Mapping!$A$3:$A$13,0)),"(unmapped)")),IFERROR(INDEX(Mapping!$B$17:$B$22,MATCH($F1822,Mapping!$A$17:$A$22,0)),$F1822)&amp;" "&amp;IF($G1822="Banking","Banking",IFERROR(INDEX(Mapping!$E$17:$E$28,MATCH($J1822,Mapping!$D$17:$D$28,0)),"(unmapped)")))))</f>
        <v/>
      </c>
    </row>
    <row r="1823" spans="11:11" x14ac:dyDescent="0.3">
      <c r="K1823" t="str">
        <f>IF($D1823="","",IFERROR(INDEX(Mapping!$H$3:$H$32,MATCH($B1823,Mapping!$G$3:$G$32,0)),IF(LEFT($F1823,3)="P2P",IFERROR(INDEX(Mapping!$E$3:$E$6,MATCH($G1823,Mapping!$D$3:$D$6,0)),IFERROR(INDEX(Mapping!$B$3:$B$13,MATCH($J1823,Mapping!$A$3:$A$13,0)),"(unmapped)")),IFERROR(INDEX(Mapping!$B$17:$B$22,MATCH($F1823,Mapping!$A$17:$A$22,0)),$F1823)&amp;" "&amp;IF($G1823="Banking","Banking",IFERROR(INDEX(Mapping!$E$17:$E$28,MATCH($J1823,Mapping!$D$17:$D$28,0)),"(unmapped)")))))</f>
        <v/>
      </c>
    </row>
    <row r="1824" spans="11:11" x14ac:dyDescent="0.3">
      <c r="K1824" t="str">
        <f>IF($D1824="","",IFERROR(INDEX(Mapping!$H$3:$H$32,MATCH($B1824,Mapping!$G$3:$G$32,0)),IF(LEFT($F1824,3)="P2P",IFERROR(INDEX(Mapping!$E$3:$E$6,MATCH($G1824,Mapping!$D$3:$D$6,0)),IFERROR(INDEX(Mapping!$B$3:$B$13,MATCH($J1824,Mapping!$A$3:$A$13,0)),"(unmapped)")),IFERROR(INDEX(Mapping!$B$17:$B$22,MATCH($F1824,Mapping!$A$17:$A$22,0)),$F1824)&amp;" "&amp;IF($G1824="Banking","Banking",IFERROR(INDEX(Mapping!$E$17:$E$28,MATCH($J1824,Mapping!$D$17:$D$28,0)),"(unmapped)")))))</f>
        <v/>
      </c>
    </row>
    <row r="1825" spans="11:11" x14ac:dyDescent="0.3">
      <c r="K1825" t="str">
        <f>IF($D1825="","",IFERROR(INDEX(Mapping!$H$3:$H$32,MATCH($B1825,Mapping!$G$3:$G$32,0)),IF(LEFT($F1825,3)="P2P",IFERROR(INDEX(Mapping!$E$3:$E$6,MATCH($G1825,Mapping!$D$3:$D$6,0)),IFERROR(INDEX(Mapping!$B$3:$B$13,MATCH($J1825,Mapping!$A$3:$A$13,0)),"(unmapped)")),IFERROR(INDEX(Mapping!$B$17:$B$22,MATCH($F1825,Mapping!$A$17:$A$22,0)),$F1825)&amp;" "&amp;IF($G1825="Banking","Banking",IFERROR(INDEX(Mapping!$E$17:$E$28,MATCH($J1825,Mapping!$D$17:$D$28,0)),"(unmapped)")))))</f>
        <v/>
      </c>
    </row>
    <row r="1826" spans="11:11" x14ac:dyDescent="0.3">
      <c r="K1826" t="str">
        <f>IF($D1826="","",IFERROR(INDEX(Mapping!$H$3:$H$32,MATCH($B1826,Mapping!$G$3:$G$32,0)),IF(LEFT($F1826,3)="P2P",IFERROR(INDEX(Mapping!$E$3:$E$6,MATCH($G1826,Mapping!$D$3:$D$6,0)),IFERROR(INDEX(Mapping!$B$3:$B$13,MATCH($J1826,Mapping!$A$3:$A$13,0)),"(unmapped)")),IFERROR(INDEX(Mapping!$B$17:$B$22,MATCH($F1826,Mapping!$A$17:$A$22,0)),$F1826)&amp;" "&amp;IF($G1826="Banking","Banking",IFERROR(INDEX(Mapping!$E$17:$E$28,MATCH($J1826,Mapping!$D$17:$D$28,0)),"(unmapped)")))))</f>
        <v/>
      </c>
    </row>
    <row r="1827" spans="11:11" x14ac:dyDescent="0.3">
      <c r="K1827" t="str">
        <f>IF($D1827="","",IFERROR(INDEX(Mapping!$H$3:$H$32,MATCH($B1827,Mapping!$G$3:$G$32,0)),IF(LEFT($F1827,3)="P2P",IFERROR(INDEX(Mapping!$E$3:$E$6,MATCH($G1827,Mapping!$D$3:$D$6,0)),IFERROR(INDEX(Mapping!$B$3:$B$13,MATCH($J1827,Mapping!$A$3:$A$13,0)),"(unmapped)")),IFERROR(INDEX(Mapping!$B$17:$B$22,MATCH($F1827,Mapping!$A$17:$A$22,0)),$F1827)&amp;" "&amp;IF($G1827="Banking","Banking",IFERROR(INDEX(Mapping!$E$17:$E$28,MATCH($J1827,Mapping!$D$17:$D$28,0)),"(unmapped)")))))</f>
        <v/>
      </c>
    </row>
    <row r="1828" spans="11:11" x14ac:dyDescent="0.3">
      <c r="K1828" t="str">
        <f>IF($D1828="","",IFERROR(INDEX(Mapping!$H$3:$H$32,MATCH($B1828,Mapping!$G$3:$G$32,0)),IF(LEFT($F1828,3)="P2P",IFERROR(INDEX(Mapping!$E$3:$E$6,MATCH($G1828,Mapping!$D$3:$D$6,0)),IFERROR(INDEX(Mapping!$B$3:$B$13,MATCH($J1828,Mapping!$A$3:$A$13,0)),"(unmapped)")),IFERROR(INDEX(Mapping!$B$17:$B$22,MATCH($F1828,Mapping!$A$17:$A$22,0)),$F1828)&amp;" "&amp;IF($G1828="Banking","Banking",IFERROR(INDEX(Mapping!$E$17:$E$28,MATCH($J1828,Mapping!$D$17:$D$28,0)),"(unmapped)")))))</f>
        <v/>
      </c>
    </row>
    <row r="1829" spans="11:11" x14ac:dyDescent="0.3">
      <c r="K1829" t="str">
        <f>IF($D1829="","",IFERROR(INDEX(Mapping!$H$3:$H$32,MATCH($B1829,Mapping!$G$3:$G$32,0)),IF(LEFT($F1829,3)="P2P",IFERROR(INDEX(Mapping!$E$3:$E$6,MATCH($G1829,Mapping!$D$3:$D$6,0)),IFERROR(INDEX(Mapping!$B$3:$B$13,MATCH($J1829,Mapping!$A$3:$A$13,0)),"(unmapped)")),IFERROR(INDEX(Mapping!$B$17:$B$22,MATCH($F1829,Mapping!$A$17:$A$22,0)),$F1829)&amp;" "&amp;IF($G1829="Banking","Banking",IFERROR(INDEX(Mapping!$E$17:$E$28,MATCH($J1829,Mapping!$D$17:$D$28,0)),"(unmapped)")))))</f>
        <v/>
      </c>
    </row>
    <row r="1830" spans="11:11" x14ac:dyDescent="0.3">
      <c r="K1830" t="str">
        <f>IF($D1830="","",IFERROR(INDEX(Mapping!$H$3:$H$32,MATCH($B1830,Mapping!$G$3:$G$32,0)),IF(LEFT($F1830,3)="P2P",IFERROR(INDEX(Mapping!$E$3:$E$6,MATCH($G1830,Mapping!$D$3:$D$6,0)),IFERROR(INDEX(Mapping!$B$3:$B$13,MATCH($J1830,Mapping!$A$3:$A$13,0)),"(unmapped)")),IFERROR(INDEX(Mapping!$B$17:$B$22,MATCH($F1830,Mapping!$A$17:$A$22,0)),$F1830)&amp;" "&amp;IF($G1830="Banking","Banking",IFERROR(INDEX(Mapping!$E$17:$E$28,MATCH($J1830,Mapping!$D$17:$D$28,0)),"(unmapped)")))))</f>
        <v/>
      </c>
    </row>
    <row r="1831" spans="11:11" x14ac:dyDescent="0.3">
      <c r="K1831" t="str">
        <f>IF($D1831="","",IFERROR(INDEX(Mapping!$H$3:$H$32,MATCH($B1831,Mapping!$G$3:$G$32,0)),IF(LEFT($F1831,3)="P2P",IFERROR(INDEX(Mapping!$E$3:$E$6,MATCH($G1831,Mapping!$D$3:$D$6,0)),IFERROR(INDEX(Mapping!$B$3:$B$13,MATCH($J1831,Mapping!$A$3:$A$13,0)),"(unmapped)")),IFERROR(INDEX(Mapping!$B$17:$B$22,MATCH($F1831,Mapping!$A$17:$A$22,0)),$F1831)&amp;" "&amp;IF($G1831="Banking","Banking",IFERROR(INDEX(Mapping!$E$17:$E$28,MATCH($J1831,Mapping!$D$17:$D$28,0)),"(unmapped)")))))</f>
        <v/>
      </c>
    </row>
    <row r="1832" spans="11:11" x14ac:dyDescent="0.3">
      <c r="K1832" t="str">
        <f>IF($D1832="","",IFERROR(INDEX(Mapping!$H$3:$H$32,MATCH($B1832,Mapping!$G$3:$G$32,0)),IF(LEFT($F1832,3)="P2P",IFERROR(INDEX(Mapping!$E$3:$E$6,MATCH($G1832,Mapping!$D$3:$D$6,0)),IFERROR(INDEX(Mapping!$B$3:$B$13,MATCH($J1832,Mapping!$A$3:$A$13,0)),"(unmapped)")),IFERROR(INDEX(Mapping!$B$17:$B$22,MATCH($F1832,Mapping!$A$17:$A$22,0)),$F1832)&amp;" "&amp;IF($G1832="Banking","Banking",IFERROR(INDEX(Mapping!$E$17:$E$28,MATCH($J1832,Mapping!$D$17:$D$28,0)),"(unmapped)")))))</f>
        <v/>
      </c>
    </row>
    <row r="1833" spans="11:11" x14ac:dyDescent="0.3">
      <c r="K1833" t="str">
        <f>IF($D1833="","",IFERROR(INDEX(Mapping!$H$3:$H$32,MATCH($B1833,Mapping!$G$3:$G$32,0)),IF(LEFT($F1833,3)="P2P",IFERROR(INDEX(Mapping!$E$3:$E$6,MATCH($G1833,Mapping!$D$3:$D$6,0)),IFERROR(INDEX(Mapping!$B$3:$B$13,MATCH($J1833,Mapping!$A$3:$A$13,0)),"(unmapped)")),IFERROR(INDEX(Mapping!$B$17:$B$22,MATCH($F1833,Mapping!$A$17:$A$22,0)),$F1833)&amp;" "&amp;IF($G1833="Banking","Banking",IFERROR(INDEX(Mapping!$E$17:$E$28,MATCH($J1833,Mapping!$D$17:$D$28,0)),"(unmapped)")))))</f>
        <v/>
      </c>
    </row>
    <row r="1834" spans="11:11" x14ac:dyDescent="0.3">
      <c r="K1834" t="str">
        <f>IF($D1834="","",IFERROR(INDEX(Mapping!$H$3:$H$32,MATCH($B1834,Mapping!$G$3:$G$32,0)),IF(LEFT($F1834,3)="P2P",IFERROR(INDEX(Mapping!$E$3:$E$6,MATCH($G1834,Mapping!$D$3:$D$6,0)),IFERROR(INDEX(Mapping!$B$3:$B$13,MATCH($J1834,Mapping!$A$3:$A$13,0)),"(unmapped)")),IFERROR(INDEX(Mapping!$B$17:$B$22,MATCH($F1834,Mapping!$A$17:$A$22,0)),$F1834)&amp;" "&amp;IF($G1834="Banking","Banking",IFERROR(INDEX(Mapping!$E$17:$E$28,MATCH($J1834,Mapping!$D$17:$D$28,0)),"(unmapped)")))))</f>
        <v/>
      </c>
    </row>
    <row r="1835" spans="11:11" x14ac:dyDescent="0.3">
      <c r="K1835" t="str">
        <f>IF($D1835="","",IFERROR(INDEX(Mapping!$H$3:$H$32,MATCH($B1835,Mapping!$G$3:$G$32,0)),IF(LEFT($F1835,3)="P2P",IFERROR(INDEX(Mapping!$E$3:$E$6,MATCH($G1835,Mapping!$D$3:$D$6,0)),IFERROR(INDEX(Mapping!$B$3:$B$13,MATCH($J1835,Mapping!$A$3:$A$13,0)),"(unmapped)")),IFERROR(INDEX(Mapping!$B$17:$B$22,MATCH($F1835,Mapping!$A$17:$A$22,0)),$F1835)&amp;" "&amp;IF($G1835="Banking","Banking",IFERROR(INDEX(Mapping!$E$17:$E$28,MATCH($J1835,Mapping!$D$17:$D$28,0)),"(unmapped)")))))</f>
        <v/>
      </c>
    </row>
    <row r="1836" spans="11:11" x14ac:dyDescent="0.3">
      <c r="K1836" t="str">
        <f>IF($D1836="","",IFERROR(INDEX(Mapping!$H$3:$H$32,MATCH($B1836,Mapping!$G$3:$G$32,0)),IF(LEFT($F1836,3)="P2P",IFERROR(INDEX(Mapping!$E$3:$E$6,MATCH($G1836,Mapping!$D$3:$D$6,0)),IFERROR(INDEX(Mapping!$B$3:$B$13,MATCH($J1836,Mapping!$A$3:$A$13,0)),"(unmapped)")),IFERROR(INDEX(Mapping!$B$17:$B$22,MATCH($F1836,Mapping!$A$17:$A$22,0)),$F1836)&amp;" "&amp;IF($G1836="Banking","Banking",IFERROR(INDEX(Mapping!$E$17:$E$28,MATCH($J1836,Mapping!$D$17:$D$28,0)),"(unmapped)")))))</f>
        <v/>
      </c>
    </row>
    <row r="1837" spans="11:11" x14ac:dyDescent="0.3">
      <c r="K1837" t="str">
        <f>IF($D1837="","",IFERROR(INDEX(Mapping!$H$3:$H$32,MATCH($B1837,Mapping!$G$3:$G$32,0)),IF(LEFT($F1837,3)="P2P",IFERROR(INDEX(Mapping!$E$3:$E$6,MATCH($G1837,Mapping!$D$3:$D$6,0)),IFERROR(INDEX(Mapping!$B$3:$B$13,MATCH($J1837,Mapping!$A$3:$A$13,0)),"(unmapped)")),IFERROR(INDEX(Mapping!$B$17:$B$22,MATCH($F1837,Mapping!$A$17:$A$22,0)),$F1837)&amp;" "&amp;IF($G1837="Banking","Banking",IFERROR(INDEX(Mapping!$E$17:$E$28,MATCH($J1837,Mapping!$D$17:$D$28,0)),"(unmapped)")))))</f>
        <v/>
      </c>
    </row>
    <row r="1838" spans="11:11" x14ac:dyDescent="0.3">
      <c r="K1838" t="str">
        <f>IF($D1838="","",IFERROR(INDEX(Mapping!$H$3:$H$32,MATCH($B1838,Mapping!$G$3:$G$32,0)),IF(LEFT($F1838,3)="P2P",IFERROR(INDEX(Mapping!$E$3:$E$6,MATCH($G1838,Mapping!$D$3:$D$6,0)),IFERROR(INDEX(Mapping!$B$3:$B$13,MATCH($J1838,Mapping!$A$3:$A$13,0)),"(unmapped)")),IFERROR(INDEX(Mapping!$B$17:$B$22,MATCH($F1838,Mapping!$A$17:$A$22,0)),$F1838)&amp;" "&amp;IF($G1838="Banking","Banking",IFERROR(INDEX(Mapping!$E$17:$E$28,MATCH($J1838,Mapping!$D$17:$D$28,0)),"(unmapped)")))))</f>
        <v/>
      </c>
    </row>
    <row r="1839" spans="11:11" x14ac:dyDescent="0.3">
      <c r="K1839" t="str">
        <f>IF($D1839="","",IFERROR(INDEX(Mapping!$H$3:$H$32,MATCH($B1839,Mapping!$G$3:$G$32,0)),IF(LEFT($F1839,3)="P2P",IFERROR(INDEX(Mapping!$E$3:$E$6,MATCH($G1839,Mapping!$D$3:$D$6,0)),IFERROR(INDEX(Mapping!$B$3:$B$13,MATCH($J1839,Mapping!$A$3:$A$13,0)),"(unmapped)")),IFERROR(INDEX(Mapping!$B$17:$B$22,MATCH($F1839,Mapping!$A$17:$A$22,0)),$F1839)&amp;" "&amp;IF($G1839="Banking","Banking",IFERROR(INDEX(Mapping!$E$17:$E$28,MATCH($J1839,Mapping!$D$17:$D$28,0)),"(unmapped)")))))</f>
        <v/>
      </c>
    </row>
    <row r="1840" spans="11:11" x14ac:dyDescent="0.3">
      <c r="K1840" t="str">
        <f>IF($D1840="","",IFERROR(INDEX(Mapping!$H$3:$H$32,MATCH($B1840,Mapping!$G$3:$G$32,0)),IF(LEFT($F1840,3)="P2P",IFERROR(INDEX(Mapping!$E$3:$E$6,MATCH($G1840,Mapping!$D$3:$D$6,0)),IFERROR(INDEX(Mapping!$B$3:$B$13,MATCH($J1840,Mapping!$A$3:$A$13,0)),"(unmapped)")),IFERROR(INDEX(Mapping!$B$17:$B$22,MATCH($F1840,Mapping!$A$17:$A$22,0)),$F1840)&amp;" "&amp;IF($G1840="Banking","Banking",IFERROR(INDEX(Mapping!$E$17:$E$28,MATCH($J1840,Mapping!$D$17:$D$28,0)),"(unmapped)")))))</f>
        <v/>
      </c>
    </row>
    <row r="1841" spans="11:11" x14ac:dyDescent="0.3">
      <c r="K1841" t="str">
        <f>IF($D1841="","",IFERROR(INDEX(Mapping!$H$3:$H$32,MATCH($B1841,Mapping!$G$3:$G$32,0)),IF(LEFT($F1841,3)="P2P",IFERROR(INDEX(Mapping!$E$3:$E$6,MATCH($G1841,Mapping!$D$3:$D$6,0)),IFERROR(INDEX(Mapping!$B$3:$B$13,MATCH($J1841,Mapping!$A$3:$A$13,0)),"(unmapped)")),IFERROR(INDEX(Mapping!$B$17:$B$22,MATCH($F1841,Mapping!$A$17:$A$22,0)),$F1841)&amp;" "&amp;IF($G1841="Banking","Banking",IFERROR(INDEX(Mapping!$E$17:$E$28,MATCH($J1841,Mapping!$D$17:$D$28,0)),"(unmapped)")))))</f>
        <v/>
      </c>
    </row>
    <row r="1842" spans="11:11" x14ac:dyDescent="0.3">
      <c r="K1842" t="str">
        <f>IF($D1842="","",IFERROR(INDEX(Mapping!$H$3:$H$32,MATCH($B1842,Mapping!$G$3:$G$32,0)),IF(LEFT($F1842,3)="P2P",IFERROR(INDEX(Mapping!$E$3:$E$6,MATCH($G1842,Mapping!$D$3:$D$6,0)),IFERROR(INDEX(Mapping!$B$3:$B$13,MATCH($J1842,Mapping!$A$3:$A$13,0)),"(unmapped)")),IFERROR(INDEX(Mapping!$B$17:$B$22,MATCH($F1842,Mapping!$A$17:$A$22,0)),$F1842)&amp;" "&amp;IF($G1842="Banking","Banking",IFERROR(INDEX(Mapping!$E$17:$E$28,MATCH($J1842,Mapping!$D$17:$D$28,0)),"(unmapped)")))))</f>
        <v/>
      </c>
    </row>
    <row r="1843" spans="11:11" x14ac:dyDescent="0.3">
      <c r="K1843" t="str">
        <f>IF($D1843="","",IFERROR(INDEX(Mapping!$H$3:$H$32,MATCH($B1843,Mapping!$G$3:$G$32,0)),IF(LEFT($F1843,3)="P2P",IFERROR(INDEX(Mapping!$E$3:$E$6,MATCH($G1843,Mapping!$D$3:$D$6,0)),IFERROR(INDEX(Mapping!$B$3:$B$13,MATCH($J1843,Mapping!$A$3:$A$13,0)),"(unmapped)")),IFERROR(INDEX(Mapping!$B$17:$B$22,MATCH($F1843,Mapping!$A$17:$A$22,0)),$F1843)&amp;" "&amp;IF($G1843="Banking","Banking",IFERROR(INDEX(Mapping!$E$17:$E$28,MATCH($J1843,Mapping!$D$17:$D$28,0)),"(unmapped)")))))</f>
        <v/>
      </c>
    </row>
    <row r="1844" spans="11:11" x14ac:dyDescent="0.3">
      <c r="K1844" t="str">
        <f>IF($D1844="","",IFERROR(INDEX(Mapping!$H$3:$H$32,MATCH($B1844,Mapping!$G$3:$G$32,0)),IF(LEFT($F1844,3)="P2P",IFERROR(INDEX(Mapping!$E$3:$E$6,MATCH($G1844,Mapping!$D$3:$D$6,0)),IFERROR(INDEX(Mapping!$B$3:$B$13,MATCH($J1844,Mapping!$A$3:$A$13,0)),"(unmapped)")),IFERROR(INDEX(Mapping!$B$17:$B$22,MATCH($F1844,Mapping!$A$17:$A$22,0)),$F1844)&amp;" "&amp;IF($G1844="Banking","Banking",IFERROR(INDEX(Mapping!$E$17:$E$28,MATCH($J1844,Mapping!$D$17:$D$28,0)),"(unmapped)")))))</f>
        <v/>
      </c>
    </row>
    <row r="1845" spans="11:11" x14ac:dyDescent="0.3">
      <c r="K1845" t="str">
        <f>IF($D1845="","",IFERROR(INDEX(Mapping!$H$3:$H$32,MATCH($B1845,Mapping!$G$3:$G$32,0)),IF(LEFT($F1845,3)="P2P",IFERROR(INDEX(Mapping!$E$3:$E$6,MATCH($G1845,Mapping!$D$3:$D$6,0)),IFERROR(INDEX(Mapping!$B$3:$B$13,MATCH($J1845,Mapping!$A$3:$A$13,0)),"(unmapped)")),IFERROR(INDEX(Mapping!$B$17:$B$22,MATCH($F1845,Mapping!$A$17:$A$22,0)),$F1845)&amp;" "&amp;IF($G1845="Banking","Banking",IFERROR(INDEX(Mapping!$E$17:$E$28,MATCH($J1845,Mapping!$D$17:$D$28,0)),"(unmapped)")))))</f>
        <v/>
      </c>
    </row>
    <row r="1846" spans="11:11" x14ac:dyDescent="0.3">
      <c r="K1846" t="str">
        <f>IF($D1846="","",IFERROR(INDEX(Mapping!$H$3:$H$32,MATCH($B1846,Mapping!$G$3:$G$32,0)),IF(LEFT($F1846,3)="P2P",IFERROR(INDEX(Mapping!$E$3:$E$6,MATCH($G1846,Mapping!$D$3:$D$6,0)),IFERROR(INDEX(Mapping!$B$3:$B$13,MATCH($J1846,Mapping!$A$3:$A$13,0)),"(unmapped)")),IFERROR(INDEX(Mapping!$B$17:$B$22,MATCH($F1846,Mapping!$A$17:$A$22,0)),$F1846)&amp;" "&amp;IF($G1846="Banking","Banking",IFERROR(INDEX(Mapping!$E$17:$E$28,MATCH($J1846,Mapping!$D$17:$D$28,0)),"(unmapped)")))))</f>
        <v/>
      </c>
    </row>
    <row r="1847" spans="11:11" x14ac:dyDescent="0.3">
      <c r="K1847" t="str">
        <f>IF($D1847="","",IFERROR(INDEX(Mapping!$H$3:$H$32,MATCH($B1847,Mapping!$G$3:$G$32,0)),IF(LEFT($F1847,3)="P2P",IFERROR(INDEX(Mapping!$E$3:$E$6,MATCH($G1847,Mapping!$D$3:$D$6,0)),IFERROR(INDEX(Mapping!$B$3:$B$13,MATCH($J1847,Mapping!$A$3:$A$13,0)),"(unmapped)")),IFERROR(INDEX(Mapping!$B$17:$B$22,MATCH($F1847,Mapping!$A$17:$A$22,0)),$F1847)&amp;" "&amp;IF($G1847="Banking","Banking",IFERROR(INDEX(Mapping!$E$17:$E$28,MATCH($J1847,Mapping!$D$17:$D$28,0)),"(unmapped)")))))</f>
        <v/>
      </c>
    </row>
    <row r="1848" spans="11:11" x14ac:dyDescent="0.3">
      <c r="K1848" t="str">
        <f>IF($D1848="","",IFERROR(INDEX(Mapping!$H$3:$H$32,MATCH($B1848,Mapping!$G$3:$G$32,0)),IF(LEFT($F1848,3)="P2P",IFERROR(INDEX(Mapping!$E$3:$E$6,MATCH($G1848,Mapping!$D$3:$D$6,0)),IFERROR(INDEX(Mapping!$B$3:$B$13,MATCH($J1848,Mapping!$A$3:$A$13,0)),"(unmapped)")),IFERROR(INDEX(Mapping!$B$17:$B$22,MATCH($F1848,Mapping!$A$17:$A$22,0)),$F1848)&amp;" "&amp;IF($G1848="Banking","Banking",IFERROR(INDEX(Mapping!$E$17:$E$28,MATCH($J1848,Mapping!$D$17:$D$28,0)),"(unmapped)")))))</f>
        <v/>
      </c>
    </row>
    <row r="1849" spans="11:11" x14ac:dyDescent="0.3">
      <c r="K1849" t="str">
        <f>IF($D1849="","",IFERROR(INDEX(Mapping!$H$3:$H$32,MATCH($B1849,Mapping!$G$3:$G$32,0)),IF(LEFT($F1849,3)="P2P",IFERROR(INDEX(Mapping!$E$3:$E$6,MATCH($G1849,Mapping!$D$3:$D$6,0)),IFERROR(INDEX(Mapping!$B$3:$B$13,MATCH($J1849,Mapping!$A$3:$A$13,0)),"(unmapped)")),IFERROR(INDEX(Mapping!$B$17:$B$22,MATCH($F1849,Mapping!$A$17:$A$22,0)),$F1849)&amp;" "&amp;IF($G1849="Banking","Banking",IFERROR(INDEX(Mapping!$E$17:$E$28,MATCH($J1849,Mapping!$D$17:$D$28,0)),"(unmapped)")))))</f>
        <v/>
      </c>
    </row>
    <row r="1850" spans="11:11" x14ac:dyDescent="0.3">
      <c r="K1850" t="str">
        <f>IF($D1850="","",IFERROR(INDEX(Mapping!$H$3:$H$32,MATCH($B1850,Mapping!$G$3:$G$32,0)),IF(LEFT($F1850,3)="P2P",IFERROR(INDEX(Mapping!$E$3:$E$6,MATCH($G1850,Mapping!$D$3:$D$6,0)),IFERROR(INDEX(Mapping!$B$3:$B$13,MATCH($J1850,Mapping!$A$3:$A$13,0)),"(unmapped)")),IFERROR(INDEX(Mapping!$B$17:$B$22,MATCH($F1850,Mapping!$A$17:$A$22,0)),$F1850)&amp;" "&amp;IF($G1850="Banking","Banking",IFERROR(INDEX(Mapping!$E$17:$E$28,MATCH($J1850,Mapping!$D$17:$D$28,0)),"(unmapped)")))))</f>
        <v/>
      </c>
    </row>
    <row r="1851" spans="11:11" x14ac:dyDescent="0.3">
      <c r="K1851" t="str">
        <f>IF($D1851="","",IFERROR(INDEX(Mapping!$H$3:$H$32,MATCH($B1851,Mapping!$G$3:$G$32,0)),IF(LEFT($F1851,3)="P2P",IFERROR(INDEX(Mapping!$E$3:$E$6,MATCH($G1851,Mapping!$D$3:$D$6,0)),IFERROR(INDEX(Mapping!$B$3:$B$13,MATCH($J1851,Mapping!$A$3:$A$13,0)),"(unmapped)")),IFERROR(INDEX(Mapping!$B$17:$B$22,MATCH($F1851,Mapping!$A$17:$A$22,0)),$F1851)&amp;" "&amp;IF($G1851="Banking","Banking",IFERROR(INDEX(Mapping!$E$17:$E$28,MATCH($J1851,Mapping!$D$17:$D$28,0)),"(unmapped)")))))</f>
        <v/>
      </c>
    </row>
    <row r="1852" spans="11:11" x14ac:dyDescent="0.3">
      <c r="K1852" t="str">
        <f>IF($D1852="","",IFERROR(INDEX(Mapping!$H$3:$H$32,MATCH($B1852,Mapping!$G$3:$G$32,0)),IF(LEFT($F1852,3)="P2P",IFERROR(INDEX(Mapping!$E$3:$E$6,MATCH($G1852,Mapping!$D$3:$D$6,0)),IFERROR(INDEX(Mapping!$B$3:$B$13,MATCH($J1852,Mapping!$A$3:$A$13,0)),"(unmapped)")),IFERROR(INDEX(Mapping!$B$17:$B$22,MATCH($F1852,Mapping!$A$17:$A$22,0)),$F1852)&amp;" "&amp;IF($G1852="Banking","Banking",IFERROR(INDEX(Mapping!$E$17:$E$28,MATCH($J1852,Mapping!$D$17:$D$28,0)),"(unmapped)")))))</f>
        <v/>
      </c>
    </row>
    <row r="1853" spans="11:11" x14ac:dyDescent="0.3">
      <c r="K1853" t="str">
        <f>IF($D1853="","",IFERROR(INDEX(Mapping!$H$3:$H$32,MATCH($B1853,Mapping!$G$3:$G$32,0)),IF(LEFT($F1853,3)="P2P",IFERROR(INDEX(Mapping!$E$3:$E$6,MATCH($G1853,Mapping!$D$3:$D$6,0)),IFERROR(INDEX(Mapping!$B$3:$B$13,MATCH($J1853,Mapping!$A$3:$A$13,0)),"(unmapped)")),IFERROR(INDEX(Mapping!$B$17:$B$22,MATCH($F1853,Mapping!$A$17:$A$22,0)),$F1853)&amp;" "&amp;IF($G1853="Banking","Banking",IFERROR(INDEX(Mapping!$E$17:$E$28,MATCH($J1853,Mapping!$D$17:$D$28,0)),"(unmapped)")))))</f>
        <v/>
      </c>
    </row>
    <row r="1854" spans="11:11" x14ac:dyDescent="0.3">
      <c r="K1854" t="str">
        <f>IF($D1854="","",IFERROR(INDEX(Mapping!$H$3:$H$32,MATCH($B1854,Mapping!$G$3:$G$32,0)),IF(LEFT($F1854,3)="P2P",IFERROR(INDEX(Mapping!$E$3:$E$6,MATCH($G1854,Mapping!$D$3:$D$6,0)),IFERROR(INDEX(Mapping!$B$3:$B$13,MATCH($J1854,Mapping!$A$3:$A$13,0)),"(unmapped)")),IFERROR(INDEX(Mapping!$B$17:$B$22,MATCH($F1854,Mapping!$A$17:$A$22,0)),$F1854)&amp;" "&amp;IF($G1854="Banking","Banking",IFERROR(INDEX(Mapping!$E$17:$E$28,MATCH($J1854,Mapping!$D$17:$D$28,0)),"(unmapped)")))))</f>
        <v/>
      </c>
    </row>
    <row r="1855" spans="11:11" x14ac:dyDescent="0.3">
      <c r="K1855" t="str">
        <f>IF($D1855="","",IFERROR(INDEX(Mapping!$H$3:$H$32,MATCH($B1855,Mapping!$G$3:$G$32,0)),IF(LEFT($F1855,3)="P2P",IFERROR(INDEX(Mapping!$E$3:$E$6,MATCH($G1855,Mapping!$D$3:$D$6,0)),IFERROR(INDEX(Mapping!$B$3:$B$13,MATCH($J1855,Mapping!$A$3:$A$13,0)),"(unmapped)")),IFERROR(INDEX(Mapping!$B$17:$B$22,MATCH($F1855,Mapping!$A$17:$A$22,0)),$F1855)&amp;" "&amp;IF($G1855="Banking","Banking",IFERROR(INDEX(Mapping!$E$17:$E$28,MATCH($J1855,Mapping!$D$17:$D$28,0)),"(unmapped)")))))</f>
        <v/>
      </c>
    </row>
    <row r="1856" spans="11:11" x14ac:dyDescent="0.3">
      <c r="K1856" t="str">
        <f>IF($D1856="","",IFERROR(INDEX(Mapping!$H$3:$H$32,MATCH($B1856,Mapping!$G$3:$G$32,0)),IF(LEFT($F1856,3)="P2P",IFERROR(INDEX(Mapping!$E$3:$E$6,MATCH($G1856,Mapping!$D$3:$D$6,0)),IFERROR(INDEX(Mapping!$B$3:$B$13,MATCH($J1856,Mapping!$A$3:$A$13,0)),"(unmapped)")),IFERROR(INDEX(Mapping!$B$17:$B$22,MATCH($F1856,Mapping!$A$17:$A$22,0)),$F1856)&amp;" "&amp;IF($G1856="Banking","Banking",IFERROR(INDEX(Mapping!$E$17:$E$28,MATCH($J1856,Mapping!$D$17:$D$28,0)),"(unmapped)")))))</f>
        <v/>
      </c>
    </row>
    <row r="1857" spans="11:11" x14ac:dyDescent="0.3">
      <c r="K1857" t="str">
        <f>IF($D1857="","",IFERROR(INDEX(Mapping!$H$3:$H$32,MATCH($B1857,Mapping!$G$3:$G$32,0)),IF(LEFT($F1857,3)="P2P",IFERROR(INDEX(Mapping!$E$3:$E$6,MATCH($G1857,Mapping!$D$3:$D$6,0)),IFERROR(INDEX(Mapping!$B$3:$B$13,MATCH($J1857,Mapping!$A$3:$A$13,0)),"(unmapped)")),IFERROR(INDEX(Mapping!$B$17:$B$22,MATCH($F1857,Mapping!$A$17:$A$22,0)),$F1857)&amp;" "&amp;IF($G1857="Banking","Banking",IFERROR(INDEX(Mapping!$E$17:$E$28,MATCH($J1857,Mapping!$D$17:$D$28,0)),"(unmapped)")))))</f>
        <v/>
      </c>
    </row>
    <row r="1858" spans="11:11" x14ac:dyDescent="0.3">
      <c r="K1858" t="str">
        <f>IF($D1858="","",IFERROR(INDEX(Mapping!$H$3:$H$32,MATCH($B1858,Mapping!$G$3:$G$32,0)),IF(LEFT($F1858,3)="P2P",IFERROR(INDEX(Mapping!$E$3:$E$6,MATCH($G1858,Mapping!$D$3:$D$6,0)),IFERROR(INDEX(Mapping!$B$3:$B$13,MATCH($J1858,Mapping!$A$3:$A$13,0)),"(unmapped)")),IFERROR(INDEX(Mapping!$B$17:$B$22,MATCH($F1858,Mapping!$A$17:$A$22,0)),$F1858)&amp;" "&amp;IF($G1858="Banking","Banking",IFERROR(INDEX(Mapping!$E$17:$E$28,MATCH($J1858,Mapping!$D$17:$D$28,0)),"(unmapped)")))))</f>
        <v/>
      </c>
    </row>
    <row r="1859" spans="11:11" x14ac:dyDescent="0.3">
      <c r="K1859" t="str">
        <f>IF($D1859="","",IFERROR(INDEX(Mapping!$H$3:$H$32,MATCH($B1859,Mapping!$G$3:$G$32,0)),IF(LEFT($F1859,3)="P2P",IFERROR(INDEX(Mapping!$E$3:$E$6,MATCH($G1859,Mapping!$D$3:$D$6,0)),IFERROR(INDEX(Mapping!$B$3:$B$13,MATCH($J1859,Mapping!$A$3:$A$13,0)),"(unmapped)")),IFERROR(INDEX(Mapping!$B$17:$B$22,MATCH($F1859,Mapping!$A$17:$A$22,0)),$F1859)&amp;" "&amp;IF($G1859="Banking","Banking",IFERROR(INDEX(Mapping!$E$17:$E$28,MATCH($J1859,Mapping!$D$17:$D$28,0)),"(unmapped)")))))</f>
        <v/>
      </c>
    </row>
    <row r="1860" spans="11:11" x14ac:dyDescent="0.3">
      <c r="K1860" t="str">
        <f>IF($D1860="","",IFERROR(INDEX(Mapping!$H$3:$H$32,MATCH($B1860,Mapping!$G$3:$G$32,0)),IF(LEFT($F1860,3)="P2P",IFERROR(INDEX(Mapping!$E$3:$E$6,MATCH($G1860,Mapping!$D$3:$D$6,0)),IFERROR(INDEX(Mapping!$B$3:$B$13,MATCH($J1860,Mapping!$A$3:$A$13,0)),"(unmapped)")),IFERROR(INDEX(Mapping!$B$17:$B$22,MATCH($F1860,Mapping!$A$17:$A$22,0)),$F1860)&amp;" "&amp;IF($G1860="Banking","Banking",IFERROR(INDEX(Mapping!$E$17:$E$28,MATCH($J1860,Mapping!$D$17:$D$28,0)),"(unmapped)")))))</f>
        <v/>
      </c>
    </row>
    <row r="1861" spans="11:11" x14ac:dyDescent="0.3">
      <c r="K1861" t="str">
        <f>IF($D1861="","",IFERROR(INDEX(Mapping!$H$3:$H$32,MATCH($B1861,Mapping!$G$3:$G$32,0)),IF(LEFT($F1861,3)="P2P",IFERROR(INDEX(Mapping!$E$3:$E$6,MATCH($G1861,Mapping!$D$3:$D$6,0)),IFERROR(INDEX(Mapping!$B$3:$B$13,MATCH($J1861,Mapping!$A$3:$A$13,0)),"(unmapped)")),IFERROR(INDEX(Mapping!$B$17:$B$22,MATCH($F1861,Mapping!$A$17:$A$22,0)),$F1861)&amp;" "&amp;IF($G1861="Banking","Banking",IFERROR(INDEX(Mapping!$E$17:$E$28,MATCH($J1861,Mapping!$D$17:$D$28,0)),"(unmapped)")))))</f>
        <v/>
      </c>
    </row>
    <row r="1862" spans="11:11" x14ac:dyDescent="0.3">
      <c r="K1862" t="str">
        <f>IF($D1862="","",IFERROR(INDEX(Mapping!$H$3:$H$32,MATCH($B1862,Mapping!$G$3:$G$32,0)),IF(LEFT($F1862,3)="P2P",IFERROR(INDEX(Mapping!$E$3:$E$6,MATCH($G1862,Mapping!$D$3:$D$6,0)),IFERROR(INDEX(Mapping!$B$3:$B$13,MATCH($J1862,Mapping!$A$3:$A$13,0)),"(unmapped)")),IFERROR(INDEX(Mapping!$B$17:$B$22,MATCH($F1862,Mapping!$A$17:$A$22,0)),$F1862)&amp;" "&amp;IF($G1862="Banking","Banking",IFERROR(INDEX(Mapping!$E$17:$E$28,MATCH($J1862,Mapping!$D$17:$D$28,0)),"(unmapped)")))))</f>
        <v/>
      </c>
    </row>
    <row r="1863" spans="11:11" x14ac:dyDescent="0.3">
      <c r="K1863" t="str">
        <f>IF($D1863="","",IFERROR(INDEX(Mapping!$H$3:$H$32,MATCH($B1863,Mapping!$G$3:$G$32,0)),IF(LEFT($F1863,3)="P2P",IFERROR(INDEX(Mapping!$E$3:$E$6,MATCH($G1863,Mapping!$D$3:$D$6,0)),IFERROR(INDEX(Mapping!$B$3:$B$13,MATCH($J1863,Mapping!$A$3:$A$13,0)),"(unmapped)")),IFERROR(INDEX(Mapping!$B$17:$B$22,MATCH($F1863,Mapping!$A$17:$A$22,0)),$F1863)&amp;" "&amp;IF($G1863="Banking","Banking",IFERROR(INDEX(Mapping!$E$17:$E$28,MATCH($J1863,Mapping!$D$17:$D$28,0)),"(unmapped)")))))</f>
        <v/>
      </c>
    </row>
    <row r="1864" spans="11:11" x14ac:dyDescent="0.3">
      <c r="K1864" t="str">
        <f>IF($D1864="","",IFERROR(INDEX(Mapping!$H$3:$H$32,MATCH($B1864,Mapping!$G$3:$G$32,0)),IF(LEFT($F1864,3)="P2P",IFERROR(INDEX(Mapping!$E$3:$E$6,MATCH($G1864,Mapping!$D$3:$D$6,0)),IFERROR(INDEX(Mapping!$B$3:$B$13,MATCH($J1864,Mapping!$A$3:$A$13,0)),"(unmapped)")),IFERROR(INDEX(Mapping!$B$17:$B$22,MATCH($F1864,Mapping!$A$17:$A$22,0)),$F1864)&amp;" "&amp;IF($G1864="Banking","Banking",IFERROR(INDEX(Mapping!$E$17:$E$28,MATCH($J1864,Mapping!$D$17:$D$28,0)),"(unmapped)")))))</f>
        <v/>
      </c>
    </row>
    <row r="1865" spans="11:11" x14ac:dyDescent="0.3">
      <c r="K1865" t="str">
        <f>IF($D1865="","",IFERROR(INDEX(Mapping!$H$3:$H$32,MATCH($B1865,Mapping!$G$3:$G$32,0)),IF(LEFT($F1865,3)="P2P",IFERROR(INDEX(Mapping!$E$3:$E$6,MATCH($G1865,Mapping!$D$3:$D$6,0)),IFERROR(INDEX(Mapping!$B$3:$B$13,MATCH($J1865,Mapping!$A$3:$A$13,0)),"(unmapped)")),IFERROR(INDEX(Mapping!$B$17:$B$22,MATCH($F1865,Mapping!$A$17:$A$22,0)),$F1865)&amp;" "&amp;IF($G1865="Banking","Banking",IFERROR(INDEX(Mapping!$E$17:$E$28,MATCH($J1865,Mapping!$D$17:$D$28,0)),"(unmapped)")))))</f>
        <v/>
      </c>
    </row>
    <row r="1866" spans="11:11" x14ac:dyDescent="0.3">
      <c r="K1866" t="str">
        <f>IF($D1866="","",IFERROR(INDEX(Mapping!$H$3:$H$32,MATCH($B1866,Mapping!$G$3:$G$32,0)),IF(LEFT($F1866,3)="P2P",IFERROR(INDEX(Mapping!$E$3:$E$6,MATCH($G1866,Mapping!$D$3:$D$6,0)),IFERROR(INDEX(Mapping!$B$3:$B$13,MATCH($J1866,Mapping!$A$3:$A$13,0)),"(unmapped)")),IFERROR(INDEX(Mapping!$B$17:$B$22,MATCH($F1866,Mapping!$A$17:$A$22,0)),$F1866)&amp;" "&amp;IF($G1866="Banking","Banking",IFERROR(INDEX(Mapping!$E$17:$E$28,MATCH($J1866,Mapping!$D$17:$D$28,0)),"(unmapped)")))))</f>
        <v/>
      </c>
    </row>
    <row r="1867" spans="11:11" x14ac:dyDescent="0.3">
      <c r="K1867" t="str">
        <f>IF($D1867="","",IFERROR(INDEX(Mapping!$H$3:$H$32,MATCH($B1867,Mapping!$G$3:$G$32,0)),IF(LEFT($F1867,3)="P2P",IFERROR(INDEX(Mapping!$E$3:$E$6,MATCH($G1867,Mapping!$D$3:$D$6,0)),IFERROR(INDEX(Mapping!$B$3:$B$13,MATCH($J1867,Mapping!$A$3:$A$13,0)),"(unmapped)")),IFERROR(INDEX(Mapping!$B$17:$B$22,MATCH($F1867,Mapping!$A$17:$A$22,0)),$F1867)&amp;" "&amp;IF($G1867="Banking","Banking",IFERROR(INDEX(Mapping!$E$17:$E$28,MATCH($J1867,Mapping!$D$17:$D$28,0)),"(unmapped)")))))</f>
        <v/>
      </c>
    </row>
    <row r="1868" spans="11:11" x14ac:dyDescent="0.3">
      <c r="K1868" t="str">
        <f>IF($D1868="","",IFERROR(INDEX(Mapping!$H$3:$H$32,MATCH($B1868,Mapping!$G$3:$G$32,0)),IF(LEFT($F1868,3)="P2P",IFERROR(INDEX(Mapping!$E$3:$E$6,MATCH($G1868,Mapping!$D$3:$D$6,0)),IFERROR(INDEX(Mapping!$B$3:$B$13,MATCH($J1868,Mapping!$A$3:$A$13,0)),"(unmapped)")),IFERROR(INDEX(Mapping!$B$17:$B$22,MATCH($F1868,Mapping!$A$17:$A$22,0)),$F1868)&amp;" "&amp;IF($G1868="Banking","Banking",IFERROR(INDEX(Mapping!$E$17:$E$28,MATCH($J1868,Mapping!$D$17:$D$28,0)),"(unmapped)")))))</f>
        <v/>
      </c>
    </row>
    <row r="1869" spans="11:11" x14ac:dyDescent="0.3">
      <c r="K1869" t="str">
        <f>IF($D1869="","",IFERROR(INDEX(Mapping!$H$3:$H$32,MATCH($B1869,Mapping!$G$3:$G$32,0)),IF(LEFT($F1869,3)="P2P",IFERROR(INDEX(Mapping!$E$3:$E$6,MATCH($G1869,Mapping!$D$3:$D$6,0)),IFERROR(INDEX(Mapping!$B$3:$B$13,MATCH($J1869,Mapping!$A$3:$A$13,0)),"(unmapped)")),IFERROR(INDEX(Mapping!$B$17:$B$22,MATCH($F1869,Mapping!$A$17:$A$22,0)),$F1869)&amp;" "&amp;IF($G1869="Banking","Banking",IFERROR(INDEX(Mapping!$E$17:$E$28,MATCH($J1869,Mapping!$D$17:$D$28,0)),"(unmapped)")))))</f>
        <v/>
      </c>
    </row>
    <row r="1870" spans="11:11" x14ac:dyDescent="0.3">
      <c r="K1870" t="str">
        <f>IF($D1870="","",IFERROR(INDEX(Mapping!$H$3:$H$32,MATCH($B1870,Mapping!$G$3:$G$32,0)),IF(LEFT($F1870,3)="P2P",IFERROR(INDEX(Mapping!$E$3:$E$6,MATCH($G1870,Mapping!$D$3:$D$6,0)),IFERROR(INDEX(Mapping!$B$3:$B$13,MATCH($J1870,Mapping!$A$3:$A$13,0)),"(unmapped)")),IFERROR(INDEX(Mapping!$B$17:$B$22,MATCH($F1870,Mapping!$A$17:$A$22,0)),$F1870)&amp;" "&amp;IF($G1870="Banking","Banking",IFERROR(INDEX(Mapping!$E$17:$E$28,MATCH($J1870,Mapping!$D$17:$D$28,0)),"(unmapped)")))))</f>
        <v/>
      </c>
    </row>
    <row r="1871" spans="11:11" x14ac:dyDescent="0.3">
      <c r="K1871" t="str">
        <f>IF($D1871="","",IFERROR(INDEX(Mapping!$H$3:$H$32,MATCH($B1871,Mapping!$G$3:$G$32,0)),IF(LEFT($F1871,3)="P2P",IFERROR(INDEX(Mapping!$E$3:$E$6,MATCH($G1871,Mapping!$D$3:$D$6,0)),IFERROR(INDEX(Mapping!$B$3:$B$13,MATCH($J1871,Mapping!$A$3:$A$13,0)),"(unmapped)")),IFERROR(INDEX(Mapping!$B$17:$B$22,MATCH($F1871,Mapping!$A$17:$A$22,0)),$F1871)&amp;" "&amp;IF($G1871="Banking","Banking",IFERROR(INDEX(Mapping!$E$17:$E$28,MATCH($J1871,Mapping!$D$17:$D$28,0)),"(unmapped)")))))</f>
        <v/>
      </c>
    </row>
    <row r="1872" spans="11:11" x14ac:dyDescent="0.3">
      <c r="K1872" t="str">
        <f>IF($D1872="","",IFERROR(INDEX(Mapping!$H$3:$H$32,MATCH($B1872,Mapping!$G$3:$G$32,0)),IF(LEFT($F1872,3)="P2P",IFERROR(INDEX(Mapping!$E$3:$E$6,MATCH($G1872,Mapping!$D$3:$D$6,0)),IFERROR(INDEX(Mapping!$B$3:$B$13,MATCH($J1872,Mapping!$A$3:$A$13,0)),"(unmapped)")),IFERROR(INDEX(Mapping!$B$17:$B$22,MATCH($F1872,Mapping!$A$17:$A$22,0)),$F1872)&amp;" "&amp;IF($G1872="Banking","Banking",IFERROR(INDEX(Mapping!$E$17:$E$28,MATCH($J1872,Mapping!$D$17:$D$28,0)),"(unmapped)")))))</f>
        <v/>
      </c>
    </row>
    <row r="1873" spans="11:11" x14ac:dyDescent="0.3">
      <c r="K1873" t="str">
        <f>IF($D1873="","",IFERROR(INDEX(Mapping!$H$3:$H$32,MATCH($B1873,Mapping!$G$3:$G$32,0)),IF(LEFT($F1873,3)="P2P",IFERROR(INDEX(Mapping!$E$3:$E$6,MATCH($G1873,Mapping!$D$3:$D$6,0)),IFERROR(INDEX(Mapping!$B$3:$B$13,MATCH($J1873,Mapping!$A$3:$A$13,0)),"(unmapped)")),IFERROR(INDEX(Mapping!$B$17:$B$22,MATCH($F1873,Mapping!$A$17:$A$22,0)),$F1873)&amp;" "&amp;IF($G1873="Banking","Banking",IFERROR(INDEX(Mapping!$E$17:$E$28,MATCH($J1873,Mapping!$D$17:$D$28,0)),"(unmapped)")))))</f>
        <v/>
      </c>
    </row>
    <row r="1874" spans="11:11" x14ac:dyDescent="0.3">
      <c r="K1874" t="str">
        <f>IF($D1874="","",IFERROR(INDEX(Mapping!$H$3:$H$32,MATCH($B1874,Mapping!$G$3:$G$32,0)),IF(LEFT($F1874,3)="P2P",IFERROR(INDEX(Mapping!$E$3:$E$6,MATCH($G1874,Mapping!$D$3:$D$6,0)),IFERROR(INDEX(Mapping!$B$3:$B$13,MATCH($J1874,Mapping!$A$3:$A$13,0)),"(unmapped)")),IFERROR(INDEX(Mapping!$B$17:$B$22,MATCH($F1874,Mapping!$A$17:$A$22,0)),$F1874)&amp;" "&amp;IF($G1874="Banking","Banking",IFERROR(INDEX(Mapping!$E$17:$E$28,MATCH($J1874,Mapping!$D$17:$D$28,0)),"(unmapped)")))))</f>
        <v/>
      </c>
    </row>
    <row r="1875" spans="11:11" x14ac:dyDescent="0.3">
      <c r="K1875" t="str">
        <f>IF($D1875="","",IFERROR(INDEX(Mapping!$H$3:$H$32,MATCH($B1875,Mapping!$G$3:$G$32,0)),IF(LEFT($F1875,3)="P2P",IFERROR(INDEX(Mapping!$E$3:$E$6,MATCH($G1875,Mapping!$D$3:$D$6,0)),IFERROR(INDEX(Mapping!$B$3:$B$13,MATCH($J1875,Mapping!$A$3:$A$13,0)),"(unmapped)")),IFERROR(INDEX(Mapping!$B$17:$B$22,MATCH($F1875,Mapping!$A$17:$A$22,0)),$F1875)&amp;" "&amp;IF($G1875="Banking","Banking",IFERROR(INDEX(Mapping!$E$17:$E$28,MATCH($J1875,Mapping!$D$17:$D$28,0)),"(unmapped)")))))</f>
        <v/>
      </c>
    </row>
    <row r="1876" spans="11:11" x14ac:dyDescent="0.3">
      <c r="K1876" t="str">
        <f>IF($D1876="","",IFERROR(INDEX(Mapping!$H$3:$H$32,MATCH($B1876,Mapping!$G$3:$G$32,0)),IF(LEFT($F1876,3)="P2P",IFERROR(INDEX(Mapping!$E$3:$E$6,MATCH($G1876,Mapping!$D$3:$D$6,0)),IFERROR(INDEX(Mapping!$B$3:$B$13,MATCH($J1876,Mapping!$A$3:$A$13,0)),"(unmapped)")),IFERROR(INDEX(Mapping!$B$17:$B$22,MATCH($F1876,Mapping!$A$17:$A$22,0)),$F1876)&amp;" "&amp;IF($G1876="Banking","Banking",IFERROR(INDEX(Mapping!$E$17:$E$28,MATCH($J1876,Mapping!$D$17:$D$28,0)),"(unmapped)")))))</f>
        <v/>
      </c>
    </row>
    <row r="1877" spans="11:11" x14ac:dyDescent="0.3">
      <c r="K1877" t="str">
        <f>IF($D1877="","",IFERROR(INDEX(Mapping!$H$3:$H$32,MATCH($B1877,Mapping!$G$3:$G$32,0)),IF(LEFT($F1877,3)="P2P",IFERROR(INDEX(Mapping!$E$3:$E$6,MATCH($G1877,Mapping!$D$3:$D$6,0)),IFERROR(INDEX(Mapping!$B$3:$B$13,MATCH($J1877,Mapping!$A$3:$A$13,0)),"(unmapped)")),IFERROR(INDEX(Mapping!$B$17:$B$22,MATCH($F1877,Mapping!$A$17:$A$22,0)),$F1877)&amp;" "&amp;IF($G1877="Banking","Banking",IFERROR(INDEX(Mapping!$E$17:$E$28,MATCH($J1877,Mapping!$D$17:$D$28,0)),"(unmapped)")))))</f>
        <v/>
      </c>
    </row>
    <row r="1878" spans="11:11" x14ac:dyDescent="0.3">
      <c r="K1878" t="str">
        <f>IF($D1878="","",IFERROR(INDEX(Mapping!$H$3:$H$32,MATCH($B1878,Mapping!$G$3:$G$32,0)),IF(LEFT($F1878,3)="P2P",IFERROR(INDEX(Mapping!$E$3:$E$6,MATCH($G1878,Mapping!$D$3:$D$6,0)),IFERROR(INDEX(Mapping!$B$3:$B$13,MATCH($J1878,Mapping!$A$3:$A$13,0)),"(unmapped)")),IFERROR(INDEX(Mapping!$B$17:$B$22,MATCH($F1878,Mapping!$A$17:$A$22,0)),$F1878)&amp;" "&amp;IF($G1878="Banking","Banking",IFERROR(INDEX(Mapping!$E$17:$E$28,MATCH($J1878,Mapping!$D$17:$D$28,0)),"(unmapped)")))))</f>
        <v/>
      </c>
    </row>
    <row r="1879" spans="11:11" x14ac:dyDescent="0.3">
      <c r="K1879" t="str">
        <f>IF($D1879="","",IFERROR(INDEX(Mapping!$H$3:$H$32,MATCH($B1879,Mapping!$G$3:$G$32,0)),IF(LEFT($F1879,3)="P2P",IFERROR(INDEX(Mapping!$E$3:$E$6,MATCH($G1879,Mapping!$D$3:$D$6,0)),IFERROR(INDEX(Mapping!$B$3:$B$13,MATCH($J1879,Mapping!$A$3:$A$13,0)),"(unmapped)")),IFERROR(INDEX(Mapping!$B$17:$B$22,MATCH($F1879,Mapping!$A$17:$A$22,0)),$F1879)&amp;" "&amp;IF($G1879="Banking","Banking",IFERROR(INDEX(Mapping!$E$17:$E$28,MATCH($J1879,Mapping!$D$17:$D$28,0)),"(unmapped)")))))</f>
        <v/>
      </c>
    </row>
    <row r="1880" spans="11:11" x14ac:dyDescent="0.3">
      <c r="K1880" t="str">
        <f>IF($D1880="","",IFERROR(INDEX(Mapping!$H$3:$H$32,MATCH($B1880,Mapping!$G$3:$G$32,0)),IF(LEFT($F1880,3)="P2P",IFERROR(INDEX(Mapping!$E$3:$E$6,MATCH($G1880,Mapping!$D$3:$D$6,0)),IFERROR(INDEX(Mapping!$B$3:$B$13,MATCH($J1880,Mapping!$A$3:$A$13,0)),"(unmapped)")),IFERROR(INDEX(Mapping!$B$17:$B$22,MATCH($F1880,Mapping!$A$17:$A$22,0)),$F1880)&amp;" "&amp;IF($G1880="Banking","Banking",IFERROR(INDEX(Mapping!$E$17:$E$28,MATCH($J1880,Mapping!$D$17:$D$28,0)),"(unmapped)")))))</f>
        <v/>
      </c>
    </row>
    <row r="1881" spans="11:11" x14ac:dyDescent="0.3">
      <c r="K1881" t="str">
        <f>IF($D1881="","",IFERROR(INDEX(Mapping!$H$3:$H$32,MATCH($B1881,Mapping!$G$3:$G$32,0)),IF(LEFT($F1881,3)="P2P",IFERROR(INDEX(Mapping!$E$3:$E$6,MATCH($G1881,Mapping!$D$3:$D$6,0)),IFERROR(INDEX(Mapping!$B$3:$B$13,MATCH($J1881,Mapping!$A$3:$A$13,0)),"(unmapped)")),IFERROR(INDEX(Mapping!$B$17:$B$22,MATCH($F1881,Mapping!$A$17:$A$22,0)),$F1881)&amp;" "&amp;IF($G1881="Banking","Banking",IFERROR(INDEX(Mapping!$E$17:$E$28,MATCH($J1881,Mapping!$D$17:$D$28,0)),"(unmapped)")))))</f>
        <v/>
      </c>
    </row>
    <row r="1882" spans="11:11" x14ac:dyDescent="0.3">
      <c r="K1882" t="str">
        <f>IF($D1882="","",IFERROR(INDEX(Mapping!$H$3:$H$32,MATCH($B1882,Mapping!$G$3:$G$32,0)),IF(LEFT($F1882,3)="P2P",IFERROR(INDEX(Mapping!$E$3:$E$6,MATCH($G1882,Mapping!$D$3:$D$6,0)),IFERROR(INDEX(Mapping!$B$3:$B$13,MATCH($J1882,Mapping!$A$3:$A$13,0)),"(unmapped)")),IFERROR(INDEX(Mapping!$B$17:$B$22,MATCH($F1882,Mapping!$A$17:$A$22,0)),$F1882)&amp;" "&amp;IF($G1882="Banking","Banking",IFERROR(INDEX(Mapping!$E$17:$E$28,MATCH($J1882,Mapping!$D$17:$D$28,0)),"(unmapped)")))))</f>
        <v/>
      </c>
    </row>
    <row r="1883" spans="11:11" x14ac:dyDescent="0.3">
      <c r="K1883" t="str">
        <f>IF($D1883="","",IFERROR(INDEX(Mapping!$H$3:$H$32,MATCH($B1883,Mapping!$G$3:$G$32,0)),IF(LEFT($F1883,3)="P2P",IFERROR(INDEX(Mapping!$E$3:$E$6,MATCH($G1883,Mapping!$D$3:$D$6,0)),IFERROR(INDEX(Mapping!$B$3:$B$13,MATCH($J1883,Mapping!$A$3:$A$13,0)),"(unmapped)")),IFERROR(INDEX(Mapping!$B$17:$B$22,MATCH($F1883,Mapping!$A$17:$A$22,0)),$F1883)&amp;" "&amp;IF($G1883="Banking","Banking",IFERROR(INDEX(Mapping!$E$17:$E$28,MATCH($J1883,Mapping!$D$17:$D$28,0)),"(unmapped)")))))</f>
        <v/>
      </c>
    </row>
    <row r="1884" spans="11:11" x14ac:dyDescent="0.3">
      <c r="K1884" t="str">
        <f>IF($D1884="","",IFERROR(INDEX(Mapping!$H$3:$H$32,MATCH($B1884,Mapping!$G$3:$G$32,0)),IF(LEFT($F1884,3)="P2P",IFERROR(INDEX(Mapping!$E$3:$E$6,MATCH($G1884,Mapping!$D$3:$D$6,0)),IFERROR(INDEX(Mapping!$B$3:$B$13,MATCH($J1884,Mapping!$A$3:$A$13,0)),"(unmapped)")),IFERROR(INDEX(Mapping!$B$17:$B$22,MATCH($F1884,Mapping!$A$17:$A$22,0)),$F1884)&amp;" "&amp;IF($G1884="Banking","Banking",IFERROR(INDEX(Mapping!$E$17:$E$28,MATCH($J1884,Mapping!$D$17:$D$28,0)),"(unmapped)")))))</f>
        <v/>
      </c>
    </row>
    <row r="1885" spans="11:11" x14ac:dyDescent="0.3">
      <c r="K1885" t="str">
        <f>IF($D1885="","",IFERROR(INDEX(Mapping!$H$3:$H$32,MATCH($B1885,Mapping!$G$3:$G$32,0)),IF(LEFT($F1885,3)="P2P",IFERROR(INDEX(Mapping!$E$3:$E$6,MATCH($G1885,Mapping!$D$3:$D$6,0)),IFERROR(INDEX(Mapping!$B$3:$B$13,MATCH($J1885,Mapping!$A$3:$A$13,0)),"(unmapped)")),IFERROR(INDEX(Mapping!$B$17:$B$22,MATCH($F1885,Mapping!$A$17:$A$22,0)),$F1885)&amp;" "&amp;IF($G1885="Banking","Banking",IFERROR(INDEX(Mapping!$E$17:$E$28,MATCH($J1885,Mapping!$D$17:$D$28,0)),"(unmapped)")))))</f>
        <v/>
      </c>
    </row>
    <row r="1886" spans="11:11" x14ac:dyDescent="0.3">
      <c r="K1886" t="str">
        <f>IF($D1886="","",IFERROR(INDEX(Mapping!$H$3:$H$32,MATCH($B1886,Mapping!$G$3:$G$32,0)),IF(LEFT($F1886,3)="P2P",IFERROR(INDEX(Mapping!$E$3:$E$6,MATCH($G1886,Mapping!$D$3:$D$6,0)),IFERROR(INDEX(Mapping!$B$3:$B$13,MATCH($J1886,Mapping!$A$3:$A$13,0)),"(unmapped)")),IFERROR(INDEX(Mapping!$B$17:$B$22,MATCH($F1886,Mapping!$A$17:$A$22,0)),$F1886)&amp;" "&amp;IF($G1886="Banking","Banking",IFERROR(INDEX(Mapping!$E$17:$E$28,MATCH($J1886,Mapping!$D$17:$D$28,0)),"(unmapped)")))))</f>
        <v/>
      </c>
    </row>
    <row r="1887" spans="11:11" x14ac:dyDescent="0.3">
      <c r="K1887" t="str">
        <f>IF($D1887="","",IFERROR(INDEX(Mapping!$H$3:$H$32,MATCH($B1887,Mapping!$G$3:$G$32,0)),IF(LEFT($F1887,3)="P2P",IFERROR(INDEX(Mapping!$E$3:$E$6,MATCH($G1887,Mapping!$D$3:$D$6,0)),IFERROR(INDEX(Mapping!$B$3:$B$13,MATCH($J1887,Mapping!$A$3:$A$13,0)),"(unmapped)")),IFERROR(INDEX(Mapping!$B$17:$B$22,MATCH($F1887,Mapping!$A$17:$A$22,0)),$F1887)&amp;" "&amp;IF($G1887="Banking","Banking",IFERROR(INDEX(Mapping!$E$17:$E$28,MATCH($J1887,Mapping!$D$17:$D$28,0)),"(unmapped)")))))</f>
        <v/>
      </c>
    </row>
    <row r="1888" spans="11:11" x14ac:dyDescent="0.3">
      <c r="K1888" t="str">
        <f>IF($D1888="","",IFERROR(INDEX(Mapping!$H$3:$H$32,MATCH($B1888,Mapping!$G$3:$G$32,0)),IF(LEFT($F1888,3)="P2P",IFERROR(INDEX(Mapping!$E$3:$E$6,MATCH($G1888,Mapping!$D$3:$D$6,0)),IFERROR(INDEX(Mapping!$B$3:$B$13,MATCH($J1888,Mapping!$A$3:$A$13,0)),"(unmapped)")),IFERROR(INDEX(Mapping!$B$17:$B$22,MATCH($F1888,Mapping!$A$17:$A$22,0)),$F1888)&amp;" "&amp;IF($G1888="Banking","Banking",IFERROR(INDEX(Mapping!$E$17:$E$28,MATCH($J1888,Mapping!$D$17:$D$28,0)),"(unmapped)")))))</f>
        <v/>
      </c>
    </row>
    <row r="1889" spans="11:11" x14ac:dyDescent="0.3">
      <c r="K1889" t="str">
        <f>IF($D1889="","",IFERROR(INDEX(Mapping!$H$3:$H$32,MATCH($B1889,Mapping!$G$3:$G$32,0)),IF(LEFT($F1889,3)="P2P",IFERROR(INDEX(Mapping!$E$3:$E$6,MATCH($G1889,Mapping!$D$3:$D$6,0)),IFERROR(INDEX(Mapping!$B$3:$B$13,MATCH($J1889,Mapping!$A$3:$A$13,0)),"(unmapped)")),IFERROR(INDEX(Mapping!$B$17:$B$22,MATCH($F1889,Mapping!$A$17:$A$22,0)),$F1889)&amp;" "&amp;IF($G1889="Banking","Banking",IFERROR(INDEX(Mapping!$E$17:$E$28,MATCH($J1889,Mapping!$D$17:$D$28,0)),"(unmapped)")))))</f>
        <v/>
      </c>
    </row>
    <row r="1890" spans="11:11" x14ac:dyDescent="0.3">
      <c r="K1890" t="str">
        <f>IF($D1890="","",IFERROR(INDEX(Mapping!$H$3:$H$32,MATCH($B1890,Mapping!$G$3:$G$32,0)),IF(LEFT($F1890,3)="P2P",IFERROR(INDEX(Mapping!$E$3:$E$6,MATCH($G1890,Mapping!$D$3:$D$6,0)),IFERROR(INDEX(Mapping!$B$3:$B$13,MATCH($J1890,Mapping!$A$3:$A$13,0)),"(unmapped)")),IFERROR(INDEX(Mapping!$B$17:$B$22,MATCH($F1890,Mapping!$A$17:$A$22,0)),$F1890)&amp;" "&amp;IF($G1890="Banking","Banking",IFERROR(INDEX(Mapping!$E$17:$E$28,MATCH($J1890,Mapping!$D$17:$D$28,0)),"(unmapped)")))))</f>
        <v/>
      </c>
    </row>
    <row r="1891" spans="11:11" x14ac:dyDescent="0.3">
      <c r="K1891" t="str">
        <f>IF($D1891="","",IFERROR(INDEX(Mapping!$H$3:$H$32,MATCH($B1891,Mapping!$G$3:$G$32,0)),IF(LEFT($F1891,3)="P2P",IFERROR(INDEX(Mapping!$E$3:$E$6,MATCH($G1891,Mapping!$D$3:$D$6,0)),IFERROR(INDEX(Mapping!$B$3:$B$13,MATCH($J1891,Mapping!$A$3:$A$13,0)),"(unmapped)")),IFERROR(INDEX(Mapping!$B$17:$B$22,MATCH($F1891,Mapping!$A$17:$A$22,0)),$F1891)&amp;" "&amp;IF($G1891="Banking","Banking",IFERROR(INDEX(Mapping!$E$17:$E$28,MATCH($J1891,Mapping!$D$17:$D$28,0)),"(unmapped)")))))</f>
        <v/>
      </c>
    </row>
    <row r="1892" spans="11:11" x14ac:dyDescent="0.3">
      <c r="K1892" t="str">
        <f>IF($D1892="","",IFERROR(INDEX(Mapping!$H$3:$H$32,MATCH($B1892,Mapping!$G$3:$G$32,0)),IF(LEFT($F1892,3)="P2P",IFERROR(INDEX(Mapping!$E$3:$E$6,MATCH($G1892,Mapping!$D$3:$D$6,0)),IFERROR(INDEX(Mapping!$B$3:$B$13,MATCH($J1892,Mapping!$A$3:$A$13,0)),"(unmapped)")),IFERROR(INDEX(Mapping!$B$17:$B$22,MATCH($F1892,Mapping!$A$17:$A$22,0)),$F1892)&amp;" "&amp;IF($G1892="Banking","Banking",IFERROR(INDEX(Mapping!$E$17:$E$28,MATCH($J1892,Mapping!$D$17:$D$28,0)),"(unmapped)")))))</f>
        <v/>
      </c>
    </row>
    <row r="1893" spans="11:11" x14ac:dyDescent="0.3">
      <c r="K1893" t="str">
        <f>IF($D1893="","",IFERROR(INDEX(Mapping!$H$3:$H$32,MATCH($B1893,Mapping!$G$3:$G$32,0)),IF(LEFT($F1893,3)="P2P",IFERROR(INDEX(Mapping!$E$3:$E$6,MATCH($G1893,Mapping!$D$3:$D$6,0)),IFERROR(INDEX(Mapping!$B$3:$B$13,MATCH($J1893,Mapping!$A$3:$A$13,0)),"(unmapped)")),IFERROR(INDEX(Mapping!$B$17:$B$22,MATCH($F1893,Mapping!$A$17:$A$22,0)),$F1893)&amp;" "&amp;IF($G1893="Banking","Banking",IFERROR(INDEX(Mapping!$E$17:$E$28,MATCH($J1893,Mapping!$D$17:$D$28,0)),"(unmapped)")))))</f>
        <v/>
      </c>
    </row>
    <row r="1894" spans="11:11" x14ac:dyDescent="0.3">
      <c r="K1894" t="str">
        <f>IF($D1894="","",IFERROR(INDEX(Mapping!$H$3:$H$32,MATCH($B1894,Mapping!$G$3:$G$32,0)),IF(LEFT($F1894,3)="P2P",IFERROR(INDEX(Mapping!$E$3:$E$6,MATCH($G1894,Mapping!$D$3:$D$6,0)),IFERROR(INDEX(Mapping!$B$3:$B$13,MATCH($J1894,Mapping!$A$3:$A$13,0)),"(unmapped)")),IFERROR(INDEX(Mapping!$B$17:$B$22,MATCH($F1894,Mapping!$A$17:$A$22,0)),$F1894)&amp;" "&amp;IF($G1894="Banking","Banking",IFERROR(INDEX(Mapping!$E$17:$E$28,MATCH($J1894,Mapping!$D$17:$D$28,0)),"(unmapped)")))))</f>
        <v/>
      </c>
    </row>
    <row r="1895" spans="11:11" x14ac:dyDescent="0.3">
      <c r="K1895" t="str">
        <f>IF($D1895="","",IFERROR(INDEX(Mapping!$H$3:$H$32,MATCH($B1895,Mapping!$G$3:$G$32,0)),IF(LEFT($F1895,3)="P2P",IFERROR(INDEX(Mapping!$E$3:$E$6,MATCH($G1895,Mapping!$D$3:$D$6,0)),IFERROR(INDEX(Mapping!$B$3:$B$13,MATCH($J1895,Mapping!$A$3:$A$13,0)),"(unmapped)")),IFERROR(INDEX(Mapping!$B$17:$B$22,MATCH($F1895,Mapping!$A$17:$A$22,0)),$F1895)&amp;" "&amp;IF($G1895="Banking","Banking",IFERROR(INDEX(Mapping!$E$17:$E$28,MATCH($J1895,Mapping!$D$17:$D$28,0)),"(unmapped)")))))</f>
        <v/>
      </c>
    </row>
    <row r="1896" spans="11:11" x14ac:dyDescent="0.3">
      <c r="K1896" t="str">
        <f>IF($D1896="","",IFERROR(INDEX(Mapping!$H$3:$H$32,MATCH($B1896,Mapping!$G$3:$G$32,0)),IF(LEFT($F1896,3)="P2P",IFERROR(INDEX(Mapping!$E$3:$E$6,MATCH($G1896,Mapping!$D$3:$D$6,0)),IFERROR(INDEX(Mapping!$B$3:$B$13,MATCH($J1896,Mapping!$A$3:$A$13,0)),"(unmapped)")),IFERROR(INDEX(Mapping!$B$17:$B$22,MATCH($F1896,Mapping!$A$17:$A$22,0)),$F1896)&amp;" "&amp;IF($G1896="Banking","Banking",IFERROR(INDEX(Mapping!$E$17:$E$28,MATCH($J1896,Mapping!$D$17:$D$28,0)),"(unmapped)")))))</f>
        <v/>
      </c>
    </row>
    <row r="1897" spans="11:11" x14ac:dyDescent="0.3">
      <c r="K1897" t="str">
        <f>IF($D1897="","",IFERROR(INDEX(Mapping!$H$3:$H$32,MATCH($B1897,Mapping!$G$3:$G$32,0)),IF(LEFT($F1897,3)="P2P",IFERROR(INDEX(Mapping!$E$3:$E$6,MATCH($G1897,Mapping!$D$3:$D$6,0)),IFERROR(INDEX(Mapping!$B$3:$B$13,MATCH($J1897,Mapping!$A$3:$A$13,0)),"(unmapped)")),IFERROR(INDEX(Mapping!$B$17:$B$22,MATCH($F1897,Mapping!$A$17:$A$22,0)),$F1897)&amp;" "&amp;IF($G1897="Banking","Banking",IFERROR(INDEX(Mapping!$E$17:$E$28,MATCH($J1897,Mapping!$D$17:$D$28,0)),"(unmapped)")))))</f>
        <v/>
      </c>
    </row>
    <row r="1898" spans="11:11" x14ac:dyDescent="0.3">
      <c r="K1898" t="str">
        <f>IF($D1898="","",IFERROR(INDEX(Mapping!$H$3:$H$32,MATCH($B1898,Mapping!$G$3:$G$32,0)),IF(LEFT($F1898,3)="P2P",IFERROR(INDEX(Mapping!$E$3:$E$6,MATCH($G1898,Mapping!$D$3:$D$6,0)),IFERROR(INDEX(Mapping!$B$3:$B$13,MATCH($J1898,Mapping!$A$3:$A$13,0)),"(unmapped)")),IFERROR(INDEX(Mapping!$B$17:$B$22,MATCH($F1898,Mapping!$A$17:$A$22,0)),$F1898)&amp;" "&amp;IF($G1898="Banking","Banking",IFERROR(INDEX(Mapping!$E$17:$E$28,MATCH($J1898,Mapping!$D$17:$D$28,0)),"(unmapped)")))))</f>
        <v/>
      </c>
    </row>
    <row r="1899" spans="11:11" x14ac:dyDescent="0.3">
      <c r="K1899" t="str">
        <f>IF($D1899="","",IFERROR(INDEX(Mapping!$H$3:$H$32,MATCH($B1899,Mapping!$G$3:$G$32,0)),IF(LEFT($F1899,3)="P2P",IFERROR(INDEX(Mapping!$E$3:$E$6,MATCH($G1899,Mapping!$D$3:$D$6,0)),IFERROR(INDEX(Mapping!$B$3:$B$13,MATCH($J1899,Mapping!$A$3:$A$13,0)),"(unmapped)")),IFERROR(INDEX(Mapping!$B$17:$B$22,MATCH($F1899,Mapping!$A$17:$A$22,0)),$F1899)&amp;" "&amp;IF($G1899="Banking","Banking",IFERROR(INDEX(Mapping!$E$17:$E$28,MATCH($J1899,Mapping!$D$17:$D$28,0)),"(unmapped)")))))</f>
        <v/>
      </c>
    </row>
    <row r="1900" spans="11:11" x14ac:dyDescent="0.3">
      <c r="K1900" t="str">
        <f>IF($D1900="","",IFERROR(INDEX(Mapping!$H$3:$H$32,MATCH($B1900,Mapping!$G$3:$G$32,0)),IF(LEFT($F1900,3)="P2P",IFERROR(INDEX(Mapping!$E$3:$E$6,MATCH($G1900,Mapping!$D$3:$D$6,0)),IFERROR(INDEX(Mapping!$B$3:$B$13,MATCH($J1900,Mapping!$A$3:$A$13,0)),"(unmapped)")),IFERROR(INDEX(Mapping!$B$17:$B$22,MATCH($F1900,Mapping!$A$17:$A$22,0)),$F1900)&amp;" "&amp;IF($G1900="Banking","Banking",IFERROR(INDEX(Mapping!$E$17:$E$28,MATCH($J1900,Mapping!$D$17:$D$28,0)),"(unmapped)")))))</f>
        <v/>
      </c>
    </row>
    <row r="1901" spans="11:11" x14ac:dyDescent="0.3">
      <c r="K1901" t="str">
        <f>IF($D1901="","",IFERROR(INDEX(Mapping!$H$3:$H$32,MATCH($B1901,Mapping!$G$3:$G$32,0)),IF(LEFT($F1901,3)="P2P",IFERROR(INDEX(Mapping!$E$3:$E$6,MATCH($G1901,Mapping!$D$3:$D$6,0)),IFERROR(INDEX(Mapping!$B$3:$B$13,MATCH($J1901,Mapping!$A$3:$A$13,0)),"(unmapped)")),IFERROR(INDEX(Mapping!$B$17:$B$22,MATCH($F1901,Mapping!$A$17:$A$22,0)),$F1901)&amp;" "&amp;IF($G1901="Banking","Banking",IFERROR(INDEX(Mapping!$E$17:$E$28,MATCH($J1901,Mapping!$D$17:$D$28,0)),"(unmapped)")))))</f>
        <v/>
      </c>
    </row>
    <row r="1902" spans="11:11" x14ac:dyDescent="0.3">
      <c r="K1902" t="str">
        <f>IF($D1902="","",IFERROR(INDEX(Mapping!$H$3:$H$32,MATCH($B1902,Mapping!$G$3:$G$32,0)),IF(LEFT($F1902,3)="P2P",IFERROR(INDEX(Mapping!$E$3:$E$6,MATCH($G1902,Mapping!$D$3:$D$6,0)),IFERROR(INDEX(Mapping!$B$3:$B$13,MATCH($J1902,Mapping!$A$3:$A$13,0)),"(unmapped)")),IFERROR(INDEX(Mapping!$B$17:$B$22,MATCH($F1902,Mapping!$A$17:$A$22,0)),$F1902)&amp;" "&amp;IF($G1902="Banking","Banking",IFERROR(INDEX(Mapping!$E$17:$E$28,MATCH($J1902,Mapping!$D$17:$D$28,0)),"(unmapped)")))))</f>
        <v/>
      </c>
    </row>
    <row r="1903" spans="11:11" x14ac:dyDescent="0.3">
      <c r="K1903" t="str">
        <f>IF($D1903="","",IFERROR(INDEX(Mapping!$H$3:$H$32,MATCH($B1903,Mapping!$G$3:$G$32,0)),IF(LEFT($F1903,3)="P2P",IFERROR(INDEX(Mapping!$E$3:$E$6,MATCH($G1903,Mapping!$D$3:$D$6,0)),IFERROR(INDEX(Mapping!$B$3:$B$13,MATCH($J1903,Mapping!$A$3:$A$13,0)),"(unmapped)")),IFERROR(INDEX(Mapping!$B$17:$B$22,MATCH($F1903,Mapping!$A$17:$A$22,0)),$F1903)&amp;" "&amp;IF($G1903="Banking","Banking",IFERROR(INDEX(Mapping!$E$17:$E$28,MATCH($J1903,Mapping!$D$17:$D$28,0)),"(unmapped)")))))</f>
        <v/>
      </c>
    </row>
    <row r="1904" spans="11:11" x14ac:dyDescent="0.3">
      <c r="K1904" t="str">
        <f>IF($D1904="","",IFERROR(INDEX(Mapping!$H$3:$H$32,MATCH($B1904,Mapping!$G$3:$G$32,0)),IF(LEFT($F1904,3)="P2P",IFERROR(INDEX(Mapping!$E$3:$E$6,MATCH($G1904,Mapping!$D$3:$D$6,0)),IFERROR(INDEX(Mapping!$B$3:$B$13,MATCH($J1904,Mapping!$A$3:$A$13,0)),"(unmapped)")),IFERROR(INDEX(Mapping!$B$17:$B$22,MATCH($F1904,Mapping!$A$17:$A$22,0)),$F1904)&amp;" "&amp;IF($G1904="Banking","Banking",IFERROR(INDEX(Mapping!$E$17:$E$28,MATCH($J1904,Mapping!$D$17:$D$28,0)),"(unmapped)")))))</f>
        <v/>
      </c>
    </row>
    <row r="1905" spans="11:11" x14ac:dyDescent="0.3">
      <c r="K1905" t="str">
        <f>IF($D1905="","",IFERROR(INDEX(Mapping!$H$3:$H$32,MATCH($B1905,Mapping!$G$3:$G$32,0)),IF(LEFT($F1905,3)="P2P",IFERROR(INDEX(Mapping!$E$3:$E$6,MATCH($G1905,Mapping!$D$3:$D$6,0)),IFERROR(INDEX(Mapping!$B$3:$B$13,MATCH($J1905,Mapping!$A$3:$A$13,0)),"(unmapped)")),IFERROR(INDEX(Mapping!$B$17:$B$22,MATCH($F1905,Mapping!$A$17:$A$22,0)),$F1905)&amp;" "&amp;IF($G1905="Banking","Banking",IFERROR(INDEX(Mapping!$E$17:$E$28,MATCH($J1905,Mapping!$D$17:$D$28,0)),"(unmapped)")))))</f>
        <v/>
      </c>
    </row>
    <row r="1906" spans="11:11" x14ac:dyDescent="0.3">
      <c r="K1906" t="str">
        <f>IF($D1906="","",IFERROR(INDEX(Mapping!$H$3:$H$32,MATCH($B1906,Mapping!$G$3:$G$32,0)),IF(LEFT($F1906,3)="P2P",IFERROR(INDEX(Mapping!$E$3:$E$6,MATCH($G1906,Mapping!$D$3:$D$6,0)),IFERROR(INDEX(Mapping!$B$3:$B$13,MATCH($J1906,Mapping!$A$3:$A$13,0)),"(unmapped)")),IFERROR(INDEX(Mapping!$B$17:$B$22,MATCH($F1906,Mapping!$A$17:$A$22,0)),$F1906)&amp;" "&amp;IF($G1906="Banking","Banking",IFERROR(INDEX(Mapping!$E$17:$E$28,MATCH($J1906,Mapping!$D$17:$D$28,0)),"(unmapped)")))))</f>
        <v/>
      </c>
    </row>
    <row r="1907" spans="11:11" x14ac:dyDescent="0.3">
      <c r="K1907" t="str">
        <f>IF($D1907="","",IFERROR(INDEX(Mapping!$H$3:$H$32,MATCH($B1907,Mapping!$G$3:$G$32,0)),IF(LEFT($F1907,3)="P2P",IFERROR(INDEX(Mapping!$E$3:$E$6,MATCH($G1907,Mapping!$D$3:$D$6,0)),IFERROR(INDEX(Mapping!$B$3:$B$13,MATCH($J1907,Mapping!$A$3:$A$13,0)),"(unmapped)")),IFERROR(INDEX(Mapping!$B$17:$B$22,MATCH($F1907,Mapping!$A$17:$A$22,0)),$F1907)&amp;" "&amp;IF($G1907="Banking","Banking",IFERROR(INDEX(Mapping!$E$17:$E$28,MATCH($J1907,Mapping!$D$17:$D$28,0)),"(unmapped)")))))</f>
        <v/>
      </c>
    </row>
    <row r="1908" spans="11:11" x14ac:dyDescent="0.3">
      <c r="K1908" t="str">
        <f>IF($D1908="","",IFERROR(INDEX(Mapping!$H$3:$H$32,MATCH($B1908,Mapping!$G$3:$G$32,0)),IF(LEFT($F1908,3)="P2P",IFERROR(INDEX(Mapping!$E$3:$E$6,MATCH($G1908,Mapping!$D$3:$D$6,0)),IFERROR(INDEX(Mapping!$B$3:$B$13,MATCH($J1908,Mapping!$A$3:$A$13,0)),"(unmapped)")),IFERROR(INDEX(Mapping!$B$17:$B$22,MATCH($F1908,Mapping!$A$17:$A$22,0)),$F1908)&amp;" "&amp;IF($G1908="Banking","Banking",IFERROR(INDEX(Mapping!$E$17:$E$28,MATCH($J1908,Mapping!$D$17:$D$28,0)),"(unmapped)")))))</f>
        <v/>
      </c>
    </row>
    <row r="1909" spans="11:11" x14ac:dyDescent="0.3">
      <c r="K1909" t="str">
        <f>IF($D1909="","",IFERROR(INDEX(Mapping!$H$3:$H$32,MATCH($B1909,Mapping!$G$3:$G$32,0)),IF(LEFT($F1909,3)="P2P",IFERROR(INDEX(Mapping!$E$3:$E$6,MATCH($G1909,Mapping!$D$3:$D$6,0)),IFERROR(INDEX(Mapping!$B$3:$B$13,MATCH($J1909,Mapping!$A$3:$A$13,0)),"(unmapped)")),IFERROR(INDEX(Mapping!$B$17:$B$22,MATCH($F1909,Mapping!$A$17:$A$22,0)),$F1909)&amp;" "&amp;IF($G1909="Banking","Banking",IFERROR(INDEX(Mapping!$E$17:$E$28,MATCH($J1909,Mapping!$D$17:$D$28,0)),"(unmapped)")))))</f>
        <v/>
      </c>
    </row>
    <row r="1910" spans="11:11" x14ac:dyDescent="0.3">
      <c r="K1910" t="str">
        <f>IF($D1910="","",IFERROR(INDEX(Mapping!$H$3:$H$32,MATCH($B1910,Mapping!$G$3:$G$32,0)),IF(LEFT($F1910,3)="P2P",IFERROR(INDEX(Mapping!$E$3:$E$6,MATCH($G1910,Mapping!$D$3:$D$6,0)),IFERROR(INDEX(Mapping!$B$3:$B$13,MATCH($J1910,Mapping!$A$3:$A$13,0)),"(unmapped)")),IFERROR(INDEX(Mapping!$B$17:$B$22,MATCH($F1910,Mapping!$A$17:$A$22,0)),$F1910)&amp;" "&amp;IF($G1910="Banking","Banking",IFERROR(INDEX(Mapping!$E$17:$E$28,MATCH($J1910,Mapping!$D$17:$D$28,0)),"(unmapped)")))))</f>
        <v/>
      </c>
    </row>
    <row r="1911" spans="11:11" x14ac:dyDescent="0.3">
      <c r="K1911" t="str">
        <f>IF($D1911="","",IFERROR(INDEX(Mapping!$H$3:$H$32,MATCH($B1911,Mapping!$G$3:$G$32,0)),IF(LEFT($F1911,3)="P2P",IFERROR(INDEX(Mapping!$E$3:$E$6,MATCH($G1911,Mapping!$D$3:$D$6,0)),IFERROR(INDEX(Mapping!$B$3:$B$13,MATCH($J1911,Mapping!$A$3:$A$13,0)),"(unmapped)")),IFERROR(INDEX(Mapping!$B$17:$B$22,MATCH($F1911,Mapping!$A$17:$A$22,0)),$F1911)&amp;" "&amp;IF($G1911="Banking","Banking",IFERROR(INDEX(Mapping!$E$17:$E$28,MATCH($J1911,Mapping!$D$17:$D$28,0)),"(unmapped)")))))</f>
        <v/>
      </c>
    </row>
    <row r="1912" spans="11:11" x14ac:dyDescent="0.3">
      <c r="K1912" t="str">
        <f>IF($D1912="","",IFERROR(INDEX(Mapping!$H$3:$H$32,MATCH($B1912,Mapping!$G$3:$G$32,0)),IF(LEFT($F1912,3)="P2P",IFERROR(INDEX(Mapping!$E$3:$E$6,MATCH($G1912,Mapping!$D$3:$D$6,0)),IFERROR(INDEX(Mapping!$B$3:$B$13,MATCH($J1912,Mapping!$A$3:$A$13,0)),"(unmapped)")),IFERROR(INDEX(Mapping!$B$17:$B$22,MATCH($F1912,Mapping!$A$17:$A$22,0)),$F1912)&amp;" "&amp;IF($G1912="Banking","Banking",IFERROR(INDEX(Mapping!$E$17:$E$28,MATCH($J1912,Mapping!$D$17:$D$28,0)),"(unmapped)")))))</f>
        <v/>
      </c>
    </row>
    <row r="1913" spans="11:11" x14ac:dyDescent="0.3">
      <c r="K1913" t="str">
        <f>IF($D1913="","",IFERROR(INDEX(Mapping!$H$3:$H$32,MATCH($B1913,Mapping!$G$3:$G$32,0)),IF(LEFT($F1913,3)="P2P",IFERROR(INDEX(Mapping!$E$3:$E$6,MATCH($G1913,Mapping!$D$3:$D$6,0)),IFERROR(INDEX(Mapping!$B$3:$B$13,MATCH($J1913,Mapping!$A$3:$A$13,0)),"(unmapped)")),IFERROR(INDEX(Mapping!$B$17:$B$22,MATCH($F1913,Mapping!$A$17:$A$22,0)),$F1913)&amp;" "&amp;IF($G1913="Banking","Banking",IFERROR(INDEX(Mapping!$E$17:$E$28,MATCH($J1913,Mapping!$D$17:$D$28,0)),"(unmapped)")))))</f>
        <v/>
      </c>
    </row>
    <row r="1914" spans="11:11" x14ac:dyDescent="0.3">
      <c r="K1914" t="str">
        <f>IF($D1914="","",IFERROR(INDEX(Mapping!$H$3:$H$32,MATCH($B1914,Mapping!$G$3:$G$32,0)),IF(LEFT($F1914,3)="P2P",IFERROR(INDEX(Mapping!$E$3:$E$6,MATCH($G1914,Mapping!$D$3:$D$6,0)),IFERROR(INDEX(Mapping!$B$3:$B$13,MATCH($J1914,Mapping!$A$3:$A$13,0)),"(unmapped)")),IFERROR(INDEX(Mapping!$B$17:$B$22,MATCH($F1914,Mapping!$A$17:$A$22,0)),$F1914)&amp;" "&amp;IF($G1914="Banking","Banking",IFERROR(INDEX(Mapping!$E$17:$E$28,MATCH($J1914,Mapping!$D$17:$D$28,0)),"(unmapped)")))))</f>
        <v/>
      </c>
    </row>
    <row r="1915" spans="11:11" x14ac:dyDescent="0.3">
      <c r="K1915" t="str">
        <f>IF($D1915="","",IFERROR(INDEX(Mapping!$H$3:$H$32,MATCH($B1915,Mapping!$G$3:$G$32,0)),IF(LEFT($F1915,3)="P2P",IFERROR(INDEX(Mapping!$E$3:$E$6,MATCH($G1915,Mapping!$D$3:$D$6,0)),IFERROR(INDEX(Mapping!$B$3:$B$13,MATCH($J1915,Mapping!$A$3:$A$13,0)),"(unmapped)")),IFERROR(INDEX(Mapping!$B$17:$B$22,MATCH($F1915,Mapping!$A$17:$A$22,0)),$F1915)&amp;" "&amp;IF($G1915="Banking","Banking",IFERROR(INDEX(Mapping!$E$17:$E$28,MATCH($J1915,Mapping!$D$17:$D$28,0)),"(unmapped)")))))</f>
        <v/>
      </c>
    </row>
    <row r="1916" spans="11:11" x14ac:dyDescent="0.3">
      <c r="K1916" t="str">
        <f>IF($D1916="","",IFERROR(INDEX(Mapping!$H$3:$H$32,MATCH($B1916,Mapping!$G$3:$G$32,0)),IF(LEFT($F1916,3)="P2P",IFERROR(INDEX(Mapping!$E$3:$E$6,MATCH($G1916,Mapping!$D$3:$D$6,0)),IFERROR(INDEX(Mapping!$B$3:$B$13,MATCH($J1916,Mapping!$A$3:$A$13,0)),"(unmapped)")),IFERROR(INDEX(Mapping!$B$17:$B$22,MATCH($F1916,Mapping!$A$17:$A$22,0)),$F1916)&amp;" "&amp;IF($G1916="Banking","Banking",IFERROR(INDEX(Mapping!$E$17:$E$28,MATCH($J1916,Mapping!$D$17:$D$28,0)),"(unmapped)")))))</f>
        <v/>
      </c>
    </row>
    <row r="1917" spans="11:11" x14ac:dyDescent="0.3">
      <c r="K1917" t="str">
        <f>IF($D1917="","",IFERROR(INDEX(Mapping!$H$3:$H$32,MATCH($B1917,Mapping!$G$3:$G$32,0)),IF(LEFT($F1917,3)="P2P",IFERROR(INDEX(Mapping!$E$3:$E$6,MATCH($G1917,Mapping!$D$3:$D$6,0)),IFERROR(INDEX(Mapping!$B$3:$B$13,MATCH($J1917,Mapping!$A$3:$A$13,0)),"(unmapped)")),IFERROR(INDEX(Mapping!$B$17:$B$22,MATCH($F1917,Mapping!$A$17:$A$22,0)),$F1917)&amp;" "&amp;IF($G1917="Banking","Banking",IFERROR(INDEX(Mapping!$E$17:$E$28,MATCH($J1917,Mapping!$D$17:$D$28,0)),"(unmapped)")))))</f>
        <v/>
      </c>
    </row>
    <row r="1918" spans="11:11" x14ac:dyDescent="0.3">
      <c r="K1918" t="str">
        <f>IF($D1918="","",IFERROR(INDEX(Mapping!$H$3:$H$32,MATCH($B1918,Mapping!$G$3:$G$32,0)),IF(LEFT($F1918,3)="P2P",IFERROR(INDEX(Mapping!$E$3:$E$6,MATCH($G1918,Mapping!$D$3:$D$6,0)),IFERROR(INDEX(Mapping!$B$3:$B$13,MATCH($J1918,Mapping!$A$3:$A$13,0)),"(unmapped)")),IFERROR(INDEX(Mapping!$B$17:$B$22,MATCH($F1918,Mapping!$A$17:$A$22,0)),$F1918)&amp;" "&amp;IF($G1918="Banking","Banking",IFERROR(INDEX(Mapping!$E$17:$E$28,MATCH($J1918,Mapping!$D$17:$D$28,0)),"(unmapped)")))))</f>
        <v/>
      </c>
    </row>
    <row r="1919" spans="11:11" x14ac:dyDescent="0.3">
      <c r="K1919" t="str">
        <f>IF($D1919="","",IFERROR(INDEX(Mapping!$H$3:$H$32,MATCH($B1919,Mapping!$G$3:$G$32,0)),IF(LEFT($F1919,3)="P2P",IFERROR(INDEX(Mapping!$E$3:$E$6,MATCH($G1919,Mapping!$D$3:$D$6,0)),IFERROR(INDEX(Mapping!$B$3:$B$13,MATCH($J1919,Mapping!$A$3:$A$13,0)),"(unmapped)")),IFERROR(INDEX(Mapping!$B$17:$B$22,MATCH($F1919,Mapping!$A$17:$A$22,0)),$F1919)&amp;" "&amp;IF($G1919="Banking","Banking",IFERROR(INDEX(Mapping!$E$17:$E$28,MATCH($J1919,Mapping!$D$17:$D$28,0)),"(unmapped)")))))</f>
        <v/>
      </c>
    </row>
    <row r="1920" spans="11:11" x14ac:dyDescent="0.3">
      <c r="K1920" t="str">
        <f>IF($D1920="","",IFERROR(INDEX(Mapping!$H$3:$H$32,MATCH($B1920,Mapping!$G$3:$G$32,0)),IF(LEFT($F1920,3)="P2P",IFERROR(INDEX(Mapping!$E$3:$E$6,MATCH($G1920,Mapping!$D$3:$D$6,0)),IFERROR(INDEX(Mapping!$B$3:$B$13,MATCH($J1920,Mapping!$A$3:$A$13,0)),"(unmapped)")),IFERROR(INDEX(Mapping!$B$17:$B$22,MATCH($F1920,Mapping!$A$17:$A$22,0)),$F1920)&amp;" "&amp;IF($G1920="Banking","Banking",IFERROR(INDEX(Mapping!$E$17:$E$28,MATCH($J1920,Mapping!$D$17:$D$28,0)),"(unmapped)")))))</f>
        <v/>
      </c>
    </row>
    <row r="1921" spans="11:11" x14ac:dyDescent="0.3">
      <c r="K1921" t="str">
        <f>IF($D1921="","",IFERROR(INDEX(Mapping!$H$3:$H$32,MATCH($B1921,Mapping!$G$3:$G$32,0)),IF(LEFT($F1921,3)="P2P",IFERROR(INDEX(Mapping!$E$3:$E$6,MATCH($G1921,Mapping!$D$3:$D$6,0)),IFERROR(INDEX(Mapping!$B$3:$B$13,MATCH($J1921,Mapping!$A$3:$A$13,0)),"(unmapped)")),IFERROR(INDEX(Mapping!$B$17:$B$22,MATCH($F1921,Mapping!$A$17:$A$22,0)),$F1921)&amp;" "&amp;IF($G1921="Banking","Banking",IFERROR(INDEX(Mapping!$E$17:$E$28,MATCH($J1921,Mapping!$D$17:$D$28,0)),"(unmapped)")))))</f>
        <v/>
      </c>
    </row>
    <row r="1922" spans="11:11" x14ac:dyDescent="0.3">
      <c r="K1922" t="str">
        <f>IF($D1922="","",IFERROR(INDEX(Mapping!$H$3:$H$32,MATCH($B1922,Mapping!$G$3:$G$32,0)),IF(LEFT($F1922,3)="P2P",IFERROR(INDEX(Mapping!$E$3:$E$6,MATCH($G1922,Mapping!$D$3:$D$6,0)),IFERROR(INDEX(Mapping!$B$3:$B$13,MATCH($J1922,Mapping!$A$3:$A$13,0)),"(unmapped)")),IFERROR(INDEX(Mapping!$B$17:$B$22,MATCH($F1922,Mapping!$A$17:$A$22,0)),$F1922)&amp;" "&amp;IF($G1922="Banking","Banking",IFERROR(INDEX(Mapping!$E$17:$E$28,MATCH($J1922,Mapping!$D$17:$D$28,0)),"(unmapped)")))))</f>
        <v/>
      </c>
    </row>
    <row r="1923" spans="11:11" x14ac:dyDescent="0.3">
      <c r="K1923" t="str">
        <f>IF($D1923="","",IFERROR(INDEX(Mapping!$H$3:$H$32,MATCH($B1923,Mapping!$G$3:$G$32,0)),IF(LEFT($F1923,3)="P2P",IFERROR(INDEX(Mapping!$E$3:$E$6,MATCH($G1923,Mapping!$D$3:$D$6,0)),IFERROR(INDEX(Mapping!$B$3:$B$13,MATCH($J1923,Mapping!$A$3:$A$13,0)),"(unmapped)")),IFERROR(INDEX(Mapping!$B$17:$B$22,MATCH($F1923,Mapping!$A$17:$A$22,0)),$F1923)&amp;" "&amp;IF($G1923="Banking","Banking",IFERROR(INDEX(Mapping!$E$17:$E$28,MATCH($J1923,Mapping!$D$17:$D$28,0)),"(unmapped)")))))</f>
        <v/>
      </c>
    </row>
    <row r="1924" spans="11:11" x14ac:dyDescent="0.3">
      <c r="K1924" t="str">
        <f>IF($D1924="","",IFERROR(INDEX(Mapping!$H$3:$H$32,MATCH($B1924,Mapping!$G$3:$G$32,0)),IF(LEFT($F1924,3)="P2P",IFERROR(INDEX(Mapping!$E$3:$E$6,MATCH($G1924,Mapping!$D$3:$D$6,0)),IFERROR(INDEX(Mapping!$B$3:$B$13,MATCH($J1924,Mapping!$A$3:$A$13,0)),"(unmapped)")),IFERROR(INDEX(Mapping!$B$17:$B$22,MATCH($F1924,Mapping!$A$17:$A$22,0)),$F1924)&amp;" "&amp;IF($G1924="Banking","Banking",IFERROR(INDEX(Mapping!$E$17:$E$28,MATCH($J1924,Mapping!$D$17:$D$28,0)),"(unmapped)")))))</f>
        <v/>
      </c>
    </row>
    <row r="1925" spans="11:11" x14ac:dyDescent="0.3">
      <c r="K1925" t="str">
        <f>IF($D1925="","",IFERROR(INDEX(Mapping!$H$3:$H$32,MATCH($B1925,Mapping!$G$3:$G$32,0)),IF(LEFT($F1925,3)="P2P",IFERROR(INDEX(Mapping!$E$3:$E$6,MATCH($G1925,Mapping!$D$3:$D$6,0)),IFERROR(INDEX(Mapping!$B$3:$B$13,MATCH($J1925,Mapping!$A$3:$A$13,0)),"(unmapped)")),IFERROR(INDEX(Mapping!$B$17:$B$22,MATCH($F1925,Mapping!$A$17:$A$22,0)),$F1925)&amp;" "&amp;IF($G1925="Banking","Banking",IFERROR(INDEX(Mapping!$E$17:$E$28,MATCH($J1925,Mapping!$D$17:$D$28,0)),"(unmapped)")))))</f>
        <v/>
      </c>
    </row>
    <row r="1926" spans="11:11" x14ac:dyDescent="0.3">
      <c r="K1926" t="str">
        <f>IF($D1926="","",IFERROR(INDEX(Mapping!$H$3:$H$32,MATCH($B1926,Mapping!$G$3:$G$32,0)),IF(LEFT($F1926,3)="P2P",IFERROR(INDEX(Mapping!$E$3:$E$6,MATCH($G1926,Mapping!$D$3:$D$6,0)),IFERROR(INDEX(Mapping!$B$3:$B$13,MATCH($J1926,Mapping!$A$3:$A$13,0)),"(unmapped)")),IFERROR(INDEX(Mapping!$B$17:$B$22,MATCH($F1926,Mapping!$A$17:$A$22,0)),$F1926)&amp;" "&amp;IF($G1926="Banking","Banking",IFERROR(INDEX(Mapping!$E$17:$E$28,MATCH($J1926,Mapping!$D$17:$D$28,0)),"(unmapped)")))))</f>
        <v/>
      </c>
    </row>
    <row r="1927" spans="11:11" x14ac:dyDescent="0.3">
      <c r="K1927" t="str">
        <f>IF($D1927="","",IFERROR(INDEX(Mapping!$H$3:$H$32,MATCH($B1927,Mapping!$G$3:$G$32,0)),IF(LEFT($F1927,3)="P2P",IFERROR(INDEX(Mapping!$E$3:$E$6,MATCH($G1927,Mapping!$D$3:$D$6,0)),IFERROR(INDEX(Mapping!$B$3:$B$13,MATCH($J1927,Mapping!$A$3:$A$13,0)),"(unmapped)")),IFERROR(INDEX(Mapping!$B$17:$B$22,MATCH($F1927,Mapping!$A$17:$A$22,0)),$F1927)&amp;" "&amp;IF($G1927="Banking","Banking",IFERROR(INDEX(Mapping!$E$17:$E$28,MATCH($J1927,Mapping!$D$17:$D$28,0)),"(unmapped)")))))</f>
        <v/>
      </c>
    </row>
    <row r="1928" spans="11:11" x14ac:dyDescent="0.3">
      <c r="K1928" t="str">
        <f>IF($D1928="","",IFERROR(INDEX(Mapping!$H$3:$H$32,MATCH($B1928,Mapping!$G$3:$G$32,0)),IF(LEFT($F1928,3)="P2P",IFERROR(INDEX(Mapping!$E$3:$E$6,MATCH($G1928,Mapping!$D$3:$D$6,0)),IFERROR(INDEX(Mapping!$B$3:$B$13,MATCH($J1928,Mapping!$A$3:$A$13,0)),"(unmapped)")),IFERROR(INDEX(Mapping!$B$17:$B$22,MATCH($F1928,Mapping!$A$17:$A$22,0)),$F1928)&amp;" "&amp;IF($G1928="Banking","Banking",IFERROR(INDEX(Mapping!$E$17:$E$28,MATCH($J1928,Mapping!$D$17:$D$28,0)),"(unmapped)")))))</f>
        <v/>
      </c>
    </row>
    <row r="1929" spans="11:11" x14ac:dyDescent="0.3">
      <c r="K1929" t="str">
        <f>IF($D1929="","",IFERROR(INDEX(Mapping!$H$3:$H$32,MATCH($B1929,Mapping!$G$3:$G$32,0)),IF(LEFT($F1929,3)="P2P",IFERROR(INDEX(Mapping!$E$3:$E$6,MATCH($G1929,Mapping!$D$3:$D$6,0)),IFERROR(INDEX(Mapping!$B$3:$B$13,MATCH($J1929,Mapping!$A$3:$A$13,0)),"(unmapped)")),IFERROR(INDEX(Mapping!$B$17:$B$22,MATCH($F1929,Mapping!$A$17:$A$22,0)),$F1929)&amp;" "&amp;IF($G1929="Banking","Banking",IFERROR(INDEX(Mapping!$E$17:$E$28,MATCH($J1929,Mapping!$D$17:$D$28,0)),"(unmapped)")))))</f>
        <v/>
      </c>
    </row>
    <row r="1930" spans="11:11" x14ac:dyDescent="0.3">
      <c r="K1930" t="str">
        <f>IF($D1930="","",IFERROR(INDEX(Mapping!$H$3:$H$32,MATCH($B1930,Mapping!$G$3:$G$32,0)),IF(LEFT($F1930,3)="P2P",IFERROR(INDEX(Mapping!$E$3:$E$6,MATCH($G1930,Mapping!$D$3:$D$6,0)),IFERROR(INDEX(Mapping!$B$3:$B$13,MATCH($J1930,Mapping!$A$3:$A$13,0)),"(unmapped)")),IFERROR(INDEX(Mapping!$B$17:$B$22,MATCH($F1930,Mapping!$A$17:$A$22,0)),$F1930)&amp;" "&amp;IF($G1930="Banking","Banking",IFERROR(INDEX(Mapping!$E$17:$E$28,MATCH($J1930,Mapping!$D$17:$D$28,0)),"(unmapped)")))))</f>
        <v/>
      </c>
    </row>
    <row r="1931" spans="11:11" x14ac:dyDescent="0.3">
      <c r="K1931" t="str">
        <f>IF($D1931="","",IFERROR(INDEX(Mapping!$H$3:$H$32,MATCH($B1931,Mapping!$G$3:$G$32,0)),IF(LEFT($F1931,3)="P2P",IFERROR(INDEX(Mapping!$E$3:$E$6,MATCH($G1931,Mapping!$D$3:$D$6,0)),IFERROR(INDEX(Mapping!$B$3:$B$13,MATCH($J1931,Mapping!$A$3:$A$13,0)),"(unmapped)")),IFERROR(INDEX(Mapping!$B$17:$B$22,MATCH($F1931,Mapping!$A$17:$A$22,0)),$F1931)&amp;" "&amp;IF($G1931="Banking","Banking",IFERROR(INDEX(Mapping!$E$17:$E$28,MATCH($J1931,Mapping!$D$17:$D$28,0)),"(unmapped)")))))</f>
        <v/>
      </c>
    </row>
    <row r="1932" spans="11:11" x14ac:dyDescent="0.3">
      <c r="K1932" t="str">
        <f>IF($D1932="","",IFERROR(INDEX(Mapping!$H$3:$H$32,MATCH($B1932,Mapping!$G$3:$G$32,0)),IF(LEFT($F1932,3)="P2P",IFERROR(INDEX(Mapping!$E$3:$E$6,MATCH($G1932,Mapping!$D$3:$D$6,0)),IFERROR(INDEX(Mapping!$B$3:$B$13,MATCH($J1932,Mapping!$A$3:$A$13,0)),"(unmapped)")),IFERROR(INDEX(Mapping!$B$17:$B$22,MATCH($F1932,Mapping!$A$17:$A$22,0)),$F1932)&amp;" "&amp;IF($G1932="Banking","Banking",IFERROR(INDEX(Mapping!$E$17:$E$28,MATCH($J1932,Mapping!$D$17:$D$28,0)),"(unmapped)")))))</f>
        <v/>
      </c>
    </row>
    <row r="1933" spans="11:11" x14ac:dyDescent="0.3">
      <c r="K1933" t="str">
        <f>IF($D1933="","",IFERROR(INDEX(Mapping!$H$3:$H$32,MATCH($B1933,Mapping!$G$3:$G$32,0)),IF(LEFT($F1933,3)="P2P",IFERROR(INDEX(Mapping!$E$3:$E$6,MATCH($G1933,Mapping!$D$3:$D$6,0)),IFERROR(INDEX(Mapping!$B$3:$B$13,MATCH($J1933,Mapping!$A$3:$A$13,0)),"(unmapped)")),IFERROR(INDEX(Mapping!$B$17:$B$22,MATCH($F1933,Mapping!$A$17:$A$22,0)),$F1933)&amp;" "&amp;IF($G1933="Banking","Banking",IFERROR(INDEX(Mapping!$E$17:$E$28,MATCH($J1933,Mapping!$D$17:$D$28,0)),"(unmapped)")))))</f>
        <v/>
      </c>
    </row>
    <row r="1934" spans="11:11" x14ac:dyDescent="0.3">
      <c r="K1934" t="str">
        <f>IF($D1934="","",IFERROR(INDEX(Mapping!$H$3:$H$32,MATCH($B1934,Mapping!$G$3:$G$32,0)),IF(LEFT($F1934,3)="P2P",IFERROR(INDEX(Mapping!$E$3:$E$6,MATCH($G1934,Mapping!$D$3:$D$6,0)),IFERROR(INDEX(Mapping!$B$3:$B$13,MATCH($J1934,Mapping!$A$3:$A$13,0)),"(unmapped)")),IFERROR(INDEX(Mapping!$B$17:$B$22,MATCH($F1934,Mapping!$A$17:$A$22,0)),$F1934)&amp;" "&amp;IF($G1934="Banking","Banking",IFERROR(INDEX(Mapping!$E$17:$E$28,MATCH($J1934,Mapping!$D$17:$D$28,0)),"(unmapped)")))))</f>
        <v/>
      </c>
    </row>
    <row r="1935" spans="11:11" x14ac:dyDescent="0.3">
      <c r="K1935" t="str">
        <f>IF($D1935="","",IFERROR(INDEX(Mapping!$H$3:$H$32,MATCH($B1935,Mapping!$G$3:$G$32,0)),IF(LEFT($F1935,3)="P2P",IFERROR(INDEX(Mapping!$E$3:$E$6,MATCH($G1935,Mapping!$D$3:$D$6,0)),IFERROR(INDEX(Mapping!$B$3:$B$13,MATCH($J1935,Mapping!$A$3:$A$13,0)),"(unmapped)")),IFERROR(INDEX(Mapping!$B$17:$B$22,MATCH($F1935,Mapping!$A$17:$A$22,0)),$F1935)&amp;" "&amp;IF($G1935="Banking","Banking",IFERROR(INDEX(Mapping!$E$17:$E$28,MATCH($J1935,Mapping!$D$17:$D$28,0)),"(unmapped)")))))</f>
        <v/>
      </c>
    </row>
    <row r="1936" spans="11:11" x14ac:dyDescent="0.3">
      <c r="K1936" t="str">
        <f>IF($D1936="","",IFERROR(INDEX(Mapping!$H$3:$H$32,MATCH($B1936,Mapping!$G$3:$G$32,0)),IF(LEFT($F1936,3)="P2P",IFERROR(INDEX(Mapping!$E$3:$E$6,MATCH($G1936,Mapping!$D$3:$D$6,0)),IFERROR(INDEX(Mapping!$B$3:$B$13,MATCH($J1936,Mapping!$A$3:$A$13,0)),"(unmapped)")),IFERROR(INDEX(Mapping!$B$17:$B$22,MATCH($F1936,Mapping!$A$17:$A$22,0)),$F1936)&amp;" "&amp;IF($G1936="Banking","Banking",IFERROR(INDEX(Mapping!$E$17:$E$28,MATCH($J1936,Mapping!$D$17:$D$28,0)),"(unmapped)")))))</f>
        <v/>
      </c>
    </row>
    <row r="1937" spans="11:11" x14ac:dyDescent="0.3">
      <c r="K1937" t="str">
        <f>IF($D1937="","",IFERROR(INDEX(Mapping!$H$3:$H$32,MATCH($B1937,Mapping!$G$3:$G$32,0)),IF(LEFT($F1937,3)="P2P",IFERROR(INDEX(Mapping!$E$3:$E$6,MATCH($G1937,Mapping!$D$3:$D$6,0)),IFERROR(INDEX(Mapping!$B$3:$B$13,MATCH($J1937,Mapping!$A$3:$A$13,0)),"(unmapped)")),IFERROR(INDEX(Mapping!$B$17:$B$22,MATCH($F1937,Mapping!$A$17:$A$22,0)),$F1937)&amp;" "&amp;IF($G1937="Banking","Banking",IFERROR(INDEX(Mapping!$E$17:$E$28,MATCH($J1937,Mapping!$D$17:$D$28,0)),"(unmapped)")))))</f>
        <v/>
      </c>
    </row>
    <row r="1938" spans="11:11" x14ac:dyDescent="0.3">
      <c r="K1938" t="str">
        <f>IF($D1938="","",IFERROR(INDEX(Mapping!$H$3:$H$32,MATCH($B1938,Mapping!$G$3:$G$32,0)),IF(LEFT($F1938,3)="P2P",IFERROR(INDEX(Mapping!$E$3:$E$6,MATCH($G1938,Mapping!$D$3:$D$6,0)),IFERROR(INDEX(Mapping!$B$3:$B$13,MATCH($J1938,Mapping!$A$3:$A$13,0)),"(unmapped)")),IFERROR(INDEX(Mapping!$B$17:$B$22,MATCH($F1938,Mapping!$A$17:$A$22,0)),$F1938)&amp;" "&amp;IF($G1938="Banking","Banking",IFERROR(INDEX(Mapping!$E$17:$E$28,MATCH($J1938,Mapping!$D$17:$D$28,0)),"(unmapped)")))))</f>
        <v/>
      </c>
    </row>
    <row r="1939" spans="11:11" x14ac:dyDescent="0.3">
      <c r="K1939" t="str">
        <f>IF($D1939="","",IFERROR(INDEX(Mapping!$H$3:$H$32,MATCH($B1939,Mapping!$G$3:$G$32,0)),IF(LEFT($F1939,3)="P2P",IFERROR(INDEX(Mapping!$E$3:$E$6,MATCH($G1939,Mapping!$D$3:$D$6,0)),IFERROR(INDEX(Mapping!$B$3:$B$13,MATCH($J1939,Mapping!$A$3:$A$13,0)),"(unmapped)")),IFERROR(INDEX(Mapping!$B$17:$B$22,MATCH($F1939,Mapping!$A$17:$A$22,0)),$F1939)&amp;" "&amp;IF($G1939="Banking","Banking",IFERROR(INDEX(Mapping!$E$17:$E$28,MATCH($J1939,Mapping!$D$17:$D$28,0)),"(unmapped)")))))</f>
        <v/>
      </c>
    </row>
    <row r="1940" spans="11:11" x14ac:dyDescent="0.3">
      <c r="K1940" t="str">
        <f>IF($D1940="","",IFERROR(INDEX(Mapping!$H$3:$H$32,MATCH($B1940,Mapping!$G$3:$G$32,0)),IF(LEFT($F1940,3)="P2P",IFERROR(INDEX(Mapping!$E$3:$E$6,MATCH($G1940,Mapping!$D$3:$D$6,0)),IFERROR(INDEX(Mapping!$B$3:$B$13,MATCH($J1940,Mapping!$A$3:$A$13,0)),"(unmapped)")),IFERROR(INDEX(Mapping!$B$17:$B$22,MATCH($F1940,Mapping!$A$17:$A$22,0)),$F1940)&amp;" "&amp;IF($G1940="Banking","Banking",IFERROR(INDEX(Mapping!$E$17:$E$28,MATCH($J1940,Mapping!$D$17:$D$28,0)),"(unmapped)")))))</f>
        <v/>
      </c>
    </row>
    <row r="1941" spans="11:11" x14ac:dyDescent="0.3">
      <c r="K1941" t="str">
        <f>IF($D1941="","",IFERROR(INDEX(Mapping!$H$3:$H$32,MATCH($B1941,Mapping!$G$3:$G$32,0)),IF(LEFT($F1941,3)="P2P",IFERROR(INDEX(Mapping!$E$3:$E$6,MATCH($G1941,Mapping!$D$3:$D$6,0)),IFERROR(INDEX(Mapping!$B$3:$B$13,MATCH($J1941,Mapping!$A$3:$A$13,0)),"(unmapped)")),IFERROR(INDEX(Mapping!$B$17:$B$22,MATCH($F1941,Mapping!$A$17:$A$22,0)),$F1941)&amp;" "&amp;IF($G1941="Banking","Banking",IFERROR(INDEX(Mapping!$E$17:$E$28,MATCH($J1941,Mapping!$D$17:$D$28,0)),"(unmapped)")))))</f>
        <v/>
      </c>
    </row>
    <row r="1942" spans="11:11" x14ac:dyDescent="0.3">
      <c r="K1942" t="str">
        <f>IF($D1942="","",IFERROR(INDEX(Mapping!$H$3:$H$32,MATCH($B1942,Mapping!$G$3:$G$32,0)),IF(LEFT($F1942,3)="P2P",IFERROR(INDEX(Mapping!$E$3:$E$6,MATCH($G1942,Mapping!$D$3:$D$6,0)),IFERROR(INDEX(Mapping!$B$3:$B$13,MATCH($J1942,Mapping!$A$3:$A$13,0)),"(unmapped)")),IFERROR(INDEX(Mapping!$B$17:$B$22,MATCH($F1942,Mapping!$A$17:$A$22,0)),$F1942)&amp;" "&amp;IF($G1942="Banking","Banking",IFERROR(INDEX(Mapping!$E$17:$E$28,MATCH($J1942,Mapping!$D$17:$D$28,0)),"(unmapped)")))))</f>
        <v/>
      </c>
    </row>
    <row r="1943" spans="11:11" x14ac:dyDescent="0.3">
      <c r="K1943" t="str">
        <f>IF($D1943="","",IFERROR(INDEX(Mapping!$H$3:$H$32,MATCH($B1943,Mapping!$G$3:$G$32,0)),IF(LEFT($F1943,3)="P2P",IFERROR(INDEX(Mapping!$E$3:$E$6,MATCH($G1943,Mapping!$D$3:$D$6,0)),IFERROR(INDEX(Mapping!$B$3:$B$13,MATCH($J1943,Mapping!$A$3:$A$13,0)),"(unmapped)")),IFERROR(INDEX(Mapping!$B$17:$B$22,MATCH($F1943,Mapping!$A$17:$A$22,0)),$F1943)&amp;" "&amp;IF($G1943="Banking","Banking",IFERROR(INDEX(Mapping!$E$17:$E$28,MATCH($J1943,Mapping!$D$17:$D$28,0)),"(unmapped)")))))</f>
        <v/>
      </c>
    </row>
    <row r="1944" spans="11:11" x14ac:dyDescent="0.3">
      <c r="K1944" t="str">
        <f>IF($D1944="","",IFERROR(INDEX(Mapping!$H$3:$H$32,MATCH($B1944,Mapping!$G$3:$G$32,0)),IF(LEFT($F1944,3)="P2P",IFERROR(INDEX(Mapping!$E$3:$E$6,MATCH($G1944,Mapping!$D$3:$D$6,0)),IFERROR(INDEX(Mapping!$B$3:$B$13,MATCH($J1944,Mapping!$A$3:$A$13,0)),"(unmapped)")),IFERROR(INDEX(Mapping!$B$17:$B$22,MATCH($F1944,Mapping!$A$17:$A$22,0)),$F1944)&amp;" "&amp;IF($G1944="Banking","Banking",IFERROR(INDEX(Mapping!$E$17:$E$28,MATCH($J1944,Mapping!$D$17:$D$28,0)),"(unmapped)")))))</f>
        <v/>
      </c>
    </row>
    <row r="1945" spans="11:11" x14ac:dyDescent="0.3">
      <c r="K1945" t="str">
        <f>IF($D1945="","",IFERROR(INDEX(Mapping!$H$3:$H$32,MATCH($B1945,Mapping!$G$3:$G$32,0)),IF(LEFT($F1945,3)="P2P",IFERROR(INDEX(Mapping!$E$3:$E$6,MATCH($G1945,Mapping!$D$3:$D$6,0)),IFERROR(INDEX(Mapping!$B$3:$B$13,MATCH($J1945,Mapping!$A$3:$A$13,0)),"(unmapped)")),IFERROR(INDEX(Mapping!$B$17:$B$22,MATCH($F1945,Mapping!$A$17:$A$22,0)),$F1945)&amp;" "&amp;IF($G1945="Banking","Banking",IFERROR(INDEX(Mapping!$E$17:$E$28,MATCH($J1945,Mapping!$D$17:$D$28,0)),"(unmapped)")))))</f>
        <v/>
      </c>
    </row>
    <row r="1946" spans="11:11" x14ac:dyDescent="0.3">
      <c r="K1946" t="str">
        <f>IF($D1946="","",IFERROR(INDEX(Mapping!$H$3:$H$32,MATCH($B1946,Mapping!$G$3:$G$32,0)),IF(LEFT($F1946,3)="P2P",IFERROR(INDEX(Mapping!$E$3:$E$6,MATCH($G1946,Mapping!$D$3:$D$6,0)),IFERROR(INDEX(Mapping!$B$3:$B$13,MATCH($J1946,Mapping!$A$3:$A$13,0)),"(unmapped)")),IFERROR(INDEX(Mapping!$B$17:$B$22,MATCH($F1946,Mapping!$A$17:$A$22,0)),$F1946)&amp;" "&amp;IF($G1946="Banking","Banking",IFERROR(INDEX(Mapping!$E$17:$E$28,MATCH($J1946,Mapping!$D$17:$D$28,0)),"(unmapped)")))))</f>
        <v/>
      </c>
    </row>
    <row r="1947" spans="11:11" x14ac:dyDescent="0.3">
      <c r="K1947" t="str">
        <f>IF($D1947="","",IFERROR(INDEX(Mapping!$H$3:$H$32,MATCH($B1947,Mapping!$G$3:$G$32,0)),IF(LEFT($F1947,3)="P2P",IFERROR(INDEX(Mapping!$E$3:$E$6,MATCH($G1947,Mapping!$D$3:$D$6,0)),IFERROR(INDEX(Mapping!$B$3:$B$13,MATCH($J1947,Mapping!$A$3:$A$13,0)),"(unmapped)")),IFERROR(INDEX(Mapping!$B$17:$B$22,MATCH($F1947,Mapping!$A$17:$A$22,0)),$F1947)&amp;" "&amp;IF($G1947="Banking","Banking",IFERROR(INDEX(Mapping!$E$17:$E$28,MATCH($J1947,Mapping!$D$17:$D$28,0)),"(unmapped)")))))</f>
        <v/>
      </c>
    </row>
    <row r="1948" spans="11:11" x14ac:dyDescent="0.3">
      <c r="K1948" t="str">
        <f>IF($D1948="","",IFERROR(INDEX(Mapping!$H$3:$H$32,MATCH($B1948,Mapping!$G$3:$G$32,0)),IF(LEFT($F1948,3)="P2P",IFERROR(INDEX(Mapping!$E$3:$E$6,MATCH($G1948,Mapping!$D$3:$D$6,0)),IFERROR(INDEX(Mapping!$B$3:$B$13,MATCH($J1948,Mapping!$A$3:$A$13,0)),"(unmapped)")),IFERROR(INDEX(Mapping!$B$17:$B$22,MATCH($F1948,Mapping!$A$17:$A$22,0)),$F1948)&amp;" "&amp;IF($G1948="Banking","Banking",IFERROR(INDEX(Mapping!$E$17:$E$28,MATCH($J1948,Mapping!$D$17:$D$28,0)),"(unmapped)")))))</f>
        <v/>
      </c>
    </row>
    <row r="1949" spans="11:11" x14ac:dyDescent="0.3">
      <c r="K1949" t="str">
        <f>IF($D1949="","",IFERROR(INDEX(Mapping!$H$3:$H$32,MATCH($B1949,Mapping!$G$3:$G$32,0)),IF(LEFT($F1949,3)="P2P",IFERROR(INDEX(Mapping!$E$3:$E$6,MATCH($G1949,Mapping!$D$3:$D$6,0)),IFERROR(INDEX(Mapping!$B$3:$B$13,MATCH($J1949,Mapping!$A$3:$A$13,0)),"(unmapped)")),IFERROR(INDEX(Mapping!$B$17:$B$22,MATCH($F1949,Mapping!$A$17:$A$22,0)),$F1949)&amp;" "&amp;IF($G1949="Banking","Banking",IFERROR(INDEX(Mapping!$E$17:$E$28,MATCH($J1949,Mapping!$D$17:$D$28,0)),"(unmapped)")))))</f>
        <v/>
      </c>
    </row>
    <row r="1950" spans="11:11" x14ac:dyDescent="0.3">
      <c r="K1950" t="str">
        <f>IF($D1950="","",IFERROR(INDEX(Mapping!$H$3:$H$32,MATCH($B1950,Mapping!$G$3:$G$32,0)),IF(LEFT($F1950,3)="P2P",IFERROR(INDEX(Mapping!$E$3:$E$6,MATCH($G1950,Mapping!$D$3:$D$6,0)),IFERROR(INDEX(Mapping!$B$3:$B$13,MATCH($J1950,Mapping!$A$3:$A$13,0)),"(unmapped)")),IFERROR(INDEX(Mapping!$B$17:$B$22,MATCH($F1950,Mapping!$A$17:$A$22,0)),$F1950)&amp;" "&amp;IF($G1950="Banking","Banking",IFERROR(INDEX(Mapping!$E$17:$E$28,MATCH($J1950,Mapping!$D$17:$D$28,0)),"(unmapped)")))))</f>
        <v/>
      </c>
    </row>
    <row r="1951" spans="11:11" x14ac:dyDescent="0.3">
      <c r="K1951" t="str">
        <f>IF($D1951="","",IFERROR(INDEX(Mapping!$H$3:$H$32,MATCH($B1951,Mapping!$G$3:$G$32,0)),IF(LEFT($F1951,3)="P2P",IFERROR(INDEX(Mapping!$E$3:$E$6,MATCH($G1951,Mapping!$D$3:$D$6,0)),IFERROR(INDEX(Mapping!$B$3:$B$13,MATCH($J1951,Mapping!$A$3:$A$13,0)),"(unmapped)")),IFERROR(INDEX(Mapping!$B$17:$B$22,MATCH($F1951,Mapping!$A$17:$A$22,0)),$F1951)&amp;" "&amp;IF($G1951="Banking","Banking",IFERROR(INDEX(Mapping!$E$17:$E$28,MATCH($J1951,Mapping!$D$17:$D$28,0)),"(unmapped)")))))</f>
        <v/>
      </c>
    </row>
    <row r="1952" spans="11:11" x14ac:dyDescent="0.3">
      <c r="K1952" t="str">
        <f>IF($D1952="","",IFERROR(INDEX(Mapping!$H$3:$H$32,MATCH($B1952,Mapping!$G$3:$G$32,0)),IF(LEFT($F1952,3)="P2P",IFERROR(INDEX(Mapping!$E$3:$E$6,MATCH($G1952,Mapping!$D$3:$D$6,0)),IFERROR(INDEX(Mapping!$B$3:$B$13,MATCH($J1952,Mapping!$A$3:$A$13,0)),"(unmapped)")),IFERROR(INDEX(Mapping!$B$17:$B$22,MATCH($F1952,Mapping!$A$17:$A$22,0)),$F1952)&amp;" "&amp;IF($G1952="Banking","Banking",IFERROR(INDEX(Mapping!$E$17:$E$28,MATCH($J1952,Mapping!$D$17:$D$28,0)),"(unmapped)")))))</f>
        <v/>
      </c>
    </row>
    <row r="1953" spans="11:11" x14ac:dyDescent="0.3">
      <c r="K1953" t="str">
        <f>IF($D1953="","",IFERROR(INDEX(Mapping!$H$3:$H$32,MATCH($B1953,Mapping!$G$3:$G$32,0)),IF(LEFT($F1953,3)="P2P",IFERROR(INDEX(Mapping!$E$3:$E$6,MATCH($G1953,Mapping!$D$3:$D$6,0)),IFERROR(INDEX(Mapping!$B$3:$B$13,MATCH($J1953,Mapping!$A$3:$A$13,0)),"(unmapped)")),IFERROR(INDEX(Mapping!$B$17:$B$22,MATCH($F1953,Mapping!$A$17:$A$22,0)),$F1953)&amp;" "&amp;IF($G1953="Banking","Banking",IFERROR(INDEX(Mapping!$E$17:$E$28,MATCH($J1953,Mapping!$D$17:$D$28,0)),"(unmapped)")))))</f>
        <v/>
      </c>
    </row>
    <row r="1954" spans="11:11" x14ac:dyDescent="0.3">
      <c r="K1954" t="str">
        <f>IF($D1954="","",IFERROR(INDEX(Mapping!$H$3:$H$32,MATCH($B1954,Mapping!$G$3:$G$32,0)),IF(LEFT($F1954,3)="P2P",IFERROR(INDEX(Mapping!$E$3:$E$6,MATCH($G1954,Mapping!$D$3:$D$6,0)),IFERROR(INDEX(Mapping!$B$3:$B$13,MATCH($J1954,Mapping!$A$3:$A$13,0)),"(unmapped)")),IFERROR(INDEX(Mapping!$B$17:$B$22,MATCH($F1954,Mapping!$A$17:$A$22,0)),$F1954)&amp;" "&amp;IF($G1954="Banking","Banking",IFERROR(INDEX(Mapping!$E$17:$E$28,MATCH($J1954,Mapping!$D$17:$D$28,0)),"(unmapped)")))))</f>
        <v/>
      </c>
    </row>
    <row r="1955" spans="11:11" x14ac:dyDescent="0.3">
      <c r="K1955" t="str">
        <f>IF($D1955="","",IFERROR(INDEX(Mapping!$H$3:$H$32,MATCH($B1955,Mapping!$G$3:$G$32,0)),IF(LEFT($F1955,3)="P2P",IFERROR(INDEX(Mapping!$E$3:$E$6,MATCH($G1955,Mapping!$D$3:$D$6,0)),IFERROR(INDEX(Mapping!$B$3:$B$13,MATCH($J1955,Mapping!$A$3:$A$13,0)),"(unmapped)")),IFERROR(INDEX(Mapping!$B$17:$B$22,MATCH($F1955,Mapping!$A$17:$A$22,0)),$F1955)&amp;" "&amp;IF($G1955="Banking","Banking",IFERROR(INDEX(Mapping!$E$17:$E$28,MATCH($J1955,Mapping!$D$17:$D$28,0)),"(unmapped)")))))</f>
        <v/>
      </c>
    </row>
    <row r="1956" spans="11:11" x14ac:dyDescent="0.3">
      <c r="K1956" t="str">
        <f>IF($D1956="","",IFERROR(INDEX(Mapping!$H$3:$H$32,MATCH($B1956,Mapping!$G$3:$G$32,0)),IF(LEFT($F1956,3)="P2P",IFERROR(INDEX(Mapping!$E$3:$E$6,MATCH($G1956,Mapping!$D$3:$D$6,0)),IFERROR(INDEX(Mapping!$B$3:$B$13,MATCH($J1956,Mapping!$A$3:$A$13,0)),"(unmapped)")),IFERROR(INDEX(Mapping!$B$17:$B$22,MATCH($F1956,Mapping!$A$17:$A$22,0)),$F1956)&amp;" "&amp;IF($G1956="Banking","Banking",IFERROR(INDEX(Mapping!$E$17:$E$28,MATCH($J1956,Mapping!$D$17:$D$28,0)),"(unmapped)")))))</f>
        <v/>
      </c>
    </row>
    <row r="1957" spans="11:11" x14ac:dyDescent="0.3">
      <c r="K1957" t="str">
        <f>IF($D1957="","",IFERROR(INDEX(Mapping!$H$3:$H$32,MATCH($B1957,Mapping!$G$3:$G$32,0)),IF(LEFT($F1957,3)="P2P",IFERROR(INDEX(Mapping!$E$3:$E$6,MATCH($G1957,Mapping!$D$3:$D$6,0)),IFERROR(INDEX(Mapping!$B$3:$B$13,MATCH($J1957,Mapping!$A$3:$A$13,0)),"(unmapped)")),IFERROR(INDEX(Mapping!$B$17:$B$22,MATCH($F1957,Mapping!$A$17:$A$22,0)),$F1957)&amp;" "&amp;IF($G1957="Banking","Banking",IFERROR(INDEX(Mapping!$E$17:$E$28,MATCH($J1957,Mapping!$D$17:$D$28,0)),"(unmapped)")))))</f>
        <v/>
      </c>
    </row>
    <row r="1958" spans="11:11" x14ac:dyDescent="0.3">
      <c r="K1958" t="str">
        <f>IF($D1958="","",IFERROR(INDEX(Mapping!$H$3:$H$32,MATCH($B1958,Mapping!$G$3:$G$32,0)),IF(LEFT($F1958,3)="P2P",IFERROR(INDEX(Mapping!$E$3:$E$6,MATCH($G1958,Mapping!$D$3:$D$6,0)),IFERROR(INDEX(Mapping!$B$3:$B$13,MATCH($J1958,Mapping!$A$3:$A$13,0)),"(unmapped)")),IFERROR(INDEX(Mapping!$B$17:$B$22,MATCH($F1958,Mapping!$A$17:$A$22,0)),$F1958)&amp;" "&amp;IF($G1958="Banking","Banking",IFERROR(INDEX(Mapping!$E$17:$E$28,MATCH($J1958,Mapping!$D$17:$D$28,0)),"(unmapped)")))))</f>
        <v/>
      </c>
    </row>
    <row r="1959" spans="11:11" x14ac:dyDescent="0.3">
      <c r="K1959" t="str">
        <f>IF($D1959="","",IFERROR(INDEX(Mapping!$H$3:$H$32,MATCH($B1959,Mapping!$G$3:$G$32,0)),IF(LEFT($F1959,3)="P2P",IFERROR(INDEX(Mapping!$E$3:$E$6,MATCH($G1959,Mapping!$D$3:$D$6,0)),IFERROR(INDEX(Mapping!$B$3:$B$13,MATCH($J1959,Mapping!$A$3:$A$13,0)),"(unmapped)")),IFERROR(INDEX(Mapping!$B$17:$B$22,MATCH($F1959,Mapping!$A$17:$A$22,0)),$F1959)&amp;" "&amp;IF($G1959="Banking","Banking",IFERROR(INDEX(Mapping!$E$17:$E$28,MATCH($J1959,Mapping!$D$17:$D$28,0)),"(unmapped)")))))</f>
        <v/>
      </c>
    </row>
    <row r="1960" spans="11:11" x14ac:dyDescent="0.3">
      <c r="K1960" t="str">
        <f>IF($D1960="","",IFERROR(INDEX(Mapping!$H$3:$H$32,MATCH($B1960,Mapping!$G$3:$G$32,0)),IF(LEFT($F1960,3)="P2P",IFERROR(INDEX(Mapping!$E$3:$E$6,MATCH($G1960,Mapping!$D$3:$D$6,0)),IFERROR(INDEX(Mapping!$B$3:$B$13,MATCH($J1960,Mapping!$A$3:$A$13,0)),"(unmapped)")),IFERROR(INDEX(Mapping!$B$17:$B$22,MATCH($F1960,Mapping!$A$17:$A$22,0)),$F1960)&amp;" "&amp;IF($G1960="Banking","Banking",IFERROR(INDEX(Mapping!$E$17:$E$28,MATCH($J1960,Mapping!$D$17:$D$28,0)),"(unmapped)")))))</f>
        <v/>
      </c>
    </row>
    <row r="1961" spans="11:11" x14ac:dyDescent="0.3">
      <c r="K1961" t="str">
        <f>IF($D1961="","",IFERROR(INDEX(Mapping!$H$3:$H$32,MATCH($B1961,Mapping!$G$3:$G$32,0)),IF(LEFT($F1961,3)="P2P",IFERROR(INDEX(Mapping!$E$3:$E$6,MATCH($G1961,Mapping!$D$3:$D$6,0)),IFERROR(INDEX(Mapping!$B$3:$B$13,MATCH($J1961,Mapping!$A$3:$A$13,0)),"(unmapped)")),IFERROR(INDEX(Mapping!$B$17:$B$22,MATCH($F1961,Mapping!$A$17:$A$22,0)),$F1961)&amp;" "&amp;IF($G1961="Banking","Banking",IFERROR(INDEX(Mapping!$E$17:$E$28,MATCH($J1961,Mapping!$D$17:$D$28,0)),"(unmapped)")))))</f>
        <v/>
      </c>
    </row>
    <row r="1962" spans="11:11" x14ac:dyDescent="0.3">
      <c r="K1962" t="str">
        <f>IF($D1962="","",IFERROR(INDEX(Mapping!$H$3:$H$32,MATCH($B1962,Mapping!$G$3:$G$32,0)),IF(LEFT($F1962,3)="P2P",IFERROR(INDEX(Mapping!$E$3:$E$6,MATCH($G1962,Mapping!$D$3:$D$6,0)),IFERROR(INDEX(Mapping!$B$3:$B$13,MATCH($J1962,Mapping!$A$3:$A$13,0)),"(unmapped)")),IFERROR(INDEX(Mapping!$B$17:$B$22,MATCH($F1962,Mapping!$A$17:$A$22,0)),$F1962)&amp;" "&amp;IF($G1962="Banking","Banking",IFERROR(INDEX(Mapping!$E$17:$E$28,MATCH($J1962,Mapping!$D$17:$D$28,0)),"(unmapped)")))))</f>
        <v/>
      </c>
    </row>
    <row r="1963" spans="11:11" x14ac:dyDescent="0.3">
      <c r="K1963" t="str">
        <f>IF($D1963="","",IFERROR(INDEX(Mapping!$H$3:$H$32,MATCH($B1963,Mapping!$G$3:$G$32,0)),IF(LEFT($F1963,3)="P2P",IFERROR(INDEX(Mapping!$E$3:$E$6,MATCH($G1963,Mapping!$D$3:$D$6,0)),IFERROR(INDEX(Mapping!$B$3:$B$13,MATCH($J1963,Mapping!$A$3:$A$13,0)),"(unmapped)")),IFERROR(INDEX(Mapping!$B$17:$B$22,MATCH($F1963,Mapping!$A$17:$A$22,0)),$F1963)&amp;" "&amp;IF($G1963="Banking","Banking",IFERROR(INDEX(Mapping!$E$17:$E$28,MATCH($J1963,Mapping!$D$17:$D$28,0)),"(unmapped)")))))</f>
        <v/>
      </c>
    </row>
    <row r="1964" spans="11:11" x14ac:dyDescent="0.3">
      <c r="K1964" t="str">
        <f>IF($D1964="","",IFERROR(INDEX(Mapping!$H$3:$H$32,MATCH($B1964,Mapping!$G$3:$G$32,0)),IF(LEFT($F1964,3)="P2P",IFERROR(INDEX(Mapping!$E$3:$E$6,MATCH($G1964,Mapping!$D$3:$D$6,0)),IFERROR(INDEX(Mapping!$B$3:$B$13,MATCH($J1964,Mapping!$A$3:$A$13,0)),"(unmapped)")),IFERROR(INDEX(Mapping!$B$17:$B$22,MATCH($F1964,Mapping!$A$17:$A$22,0)),$F1964)&amp;" "&amp;IF($G1964="Banking","Banking",IFERROR(INDEX(Mapping!$E$17:$E$28,MATCH($J1964,Mapping!$D$17:$D$28,0)),"(unmapped)")))))</f>
        <v/>
      </c>
    </row>
    <row r="1965" spans="11:11" x14ac:dyDescent="0.3">
      <c r="K1965" t="str">
        <f>IF($D1965="","",IFERROR(INDEX(Mapping!$H$3:$H$32,MATCH($B1965,Mapping!$G$3:$G$32,0)),IF(LEFT($F1965,3)="P2P",IFERROR(INDEX(Mapping!$E$3:$E$6,MATCH($G1965,Mapping!$D$3:$D$6,0)),IFERROR(INDEX(Mapping!$B$3:$B$13,MATCH($J1965,Mapping!$A$3:$A$13,0)),"(unmapped)")),IFERROR(INDEX(Mapping!$B$17:$B$22,MATCH($F1965,Mapping!$A$17:$A$22,0)),$F1965)&amp;" "&amp;IF($G1965="Banking","Banking",IFERROR(INDEX(Mapping!$E$17:$E$28,MATCH($J1965,Mapping!$D$17:$D$28,0)),"(unmapped)")))))</f>
        <v/>
      </c>
    </row>
    <row r="1966" spans="11:11" x14ac:dyDescent="0.3">
      <c r="K1966" t="str">
        <f>IF($D1966="","",IFERROR(INDEX(Mapping!$H$3:$H$32,MATCH($B1966,Mapping!$G$3:$G$32,0)),IF(LEFT($F1966,3)="P2P",IFERROR(INDEX(Mapping!$E$3:$E$6,MATCH($G1966,Mapping!$D$3:$D$6,0)),IFERROR(INDEX(Mapping!$B$3:$B$13,MATCH($J1966,Mapping!$A$3:$A$13,0)),"(unmapped)")),IFERROR(INDEX(Mapping!$B$17:$B$22,MATCH($F1966,Mapping!$A$17:$A$22,0)),$F1966)&amp;" "&amp;IF($G1966="Banking","Banking",IFERROR(INDEX(Mapping!$E$17:$E$28,MATCH($J1966,Mapping!$D$17:$D$28,0)),"(unmapped)")))))</f>
        <v/>
      </c>
    </row>
    <row r="1967" spans="11:11" x14ac:dyDescent="0.3">
      <c r="K1967" t="str">
        <f>IF($D1967="","",IFERROR(INDEX(Mapping!$H$3:$H$32,MATCH($B1967,Mapping!$G$3:$G$32,0)),IF(LEFT($F1967,3)="P2P",IFERROR(INDEX(Mapping!$E$3:$E$6,MATCH($G1967,Mapping!$D$3:$D$6,0)),IFERROR(INDEX(Mapping!$B$3:$B$13,MATCH($J1967,Mapping!$A$3:$A$13,0)),"(unmapped)")),IFERROR(INDEX(Mapping!$B$17:$B$22,MATCH($F1967,Mapping!$A$17:$A$22,0)),$F1967)&amp;" "&amp;IF($G1967="Banking","Banking",IFERROR(INDEX(Mapping!$E$17:$E$28,MATCH($J1967,Mapping!$D$17:$D$28,0)),"(unmapped)")))))</f>
        <v/>
      </c>
    </row>
    <row r="1968" spans="11:11" x14ac:dyDescent="0.3">
      <c r="K1968" t="str">
        <f>IF($D1968="","",IFERROR(INDEX(Mapping!$H$3:$H$32,MATCH($B1968,Mapping!$G$3:$G$32,0)),IF(LEFT($F1968,3)="P2P",IFERROR(INDEX(Mapping!$E$3:$E$6,MATCH($G1968,Mapping!$D$3:$D$6,0)),IFERROR(INDEX(Mapping!$B$3:$B$13,MATCH($J1968,Mapping!$A$3:$A$13,0)),"(unmapped)")),IFERROR(INDEX(Mapping!$B$17:$B$22,MATCH($F1968,Mapping!$A$17:$A$22,0)),$F1968)&amp;" "&amp;IF($G1968="Banking","Banking",IFERROR(INDEX(Mapping!$E$17:$E$28,MATCH($J1968,Mapping!$D$17:$D$28,0)),"(unmapped)")))))</f>
        <v/>
      </c>
    </row>
    <row r="1969" spans="11:11" x14ac:dyDescent="0.3">
      <c r="K1969" t="str">
        <f>IF($D1969="","",IFERROR(INDEX(Mapping!$H$3:$H$32,MATCH($B1969,Mapping!$G$3:$G$32,0)),IF(LEFT($F1969,3)="P2P",IFERROR(INDEX(Mapping!$E$3:$E$6,MATCH($G1969,Mapping!$D$3:$D$6,0)),IFERROR(INDEX(Mapping!$B$3:$B$13,MATCH($J1969,Mapping!$A$3:$A$13,0)),"(unmapped)")),IFERROR(INDEX(Mapping!$B$17:$B$22,MATCH($F1969,Mapping!$A$17:$A$22,0)),$F1969)&amp;" "&amp;IF($G1969="Banking","Banking",IFERROR(INDEX(Mapping!$E$17:$E$28,MATCH($J1969,Mapping!$D$17:$D$28,0)),"(unmapped)")))))</f>
        <v/>
      </c>
    </row>
    <row r="1970" spans="11:11" x14ac:dyDescent="0.3">
      <c r="K1970" t="str">
        <f>IF($D1970="","",IFERROR(INDEX(Mapping!$H$3:$H$32,MATCH($B1970,Mapping!$G$3:$G$32,0)),IF(LEFT($F1970,3)="P2P",IFERROR(INDEX(Mapping!$E$3:$E$6,MATCH($G1970,Mapping!$D$3:$D$6,0)),IFERROR(INDEX(Mapping!$B$3:$B$13,MATCH($J1970,Mapping!$A$3:$A$13,0)),"(unmapped)")),IFERROR(INDEX(Mapping!$B$17:$B$22,MATCH($F1970,Mapping!$A$17:$A$22,0)),$F1970)&amp;" "&amp;IF($G1970="Banking","Banking",IFERROR(INDEX(Mapping!$E$17:$E$28,MATCH($J1970,Mapping!$D$17:$D$28,0)),"(unmapped)")))))</f>
        <v/>
      </c>
    </row>
    <row r="1971" spans="11:11" x14ac:dyDescent="0.3">
      <c r="K1971" t="str">
        <f>IF($D1971="","",IFERROR(INDEX(Mapping!$H$3:$H$32,MATCH($B1971,Mapping!$G$3:$G$32,0)),IF(LEFT($F1971,3)="P2P",IFERROR(INDEX(Mapping!$E$3:$E$6,MATCH($G1971,Mapping!$D$3:$D$6,0)),IFERROR(INDEX(Mapping!$B$3:$B$13,MATCH($J1971,Mapping!$A$3:$A$13,0)),"(unmapped)")),IFERROR(INDEX(Mapping!$B$17:$B$22,MATCH($F1971,Mapping!$A$17:$A$22,0)),$F1971)&amp;" "&amp;IF($G1971="Banking","Banking",IFERROR(INDEX(Mapping!$E$17:$E$28,MATCH($J1971,Mapping!$D$17:$D$28,0)),"(unmapped)")))))</f>
        <v/>
      </c>
    </row>
    <row r="1972" spans="11:11" x14ac:dyDescent="0.3">
      <c r="K1972" t="str">
        <f>IF($D1972="","",IFERROR(INDEX(Mapping!$H$3:$H$32,MATCH($B1972,Mapping!$G$3:$G$32,0)),IF(LEFT($F1972,3)="P2P",IFERROR(INDEX(Mapping!$E$3:$E$6,MATCH($G1972,Mapping!$D$3:$D$6,0)),IFERROR(INDEX(Mapping!$B$3:$B$13,MATCH($J1972,Mapping!$A$3:$A$13,0)),"(unmapped)")),IFERROR(INDEX(Mapping!$B$17:$B$22,MATCH($F1972,Mapping!$A$17:$A$22,0)),$F1972)&amp;" "&amp;IF($G1972="Banking","Banking",IFERROR(INDEX(Mapping!$E$17:$E$28,MATCH($J1972,Mapping!$D$17:$D$28,0)),"(unmapped)")))))</f>
        <v/>
      </c>
    </row>
    <row r="1973" spans="11:11" x14ac:dyDescent="0.3">
      <c r="K1973" t="str">
        <f>IF($D1973="","",IFERROR(INDEX(Mapping!$H$3:$H$32,MATCH($B1973,Mapping!$G$3:$G$32,0)),IF(LEFT($F1973,3)="P2P",IFERROR(INDEX(Mapping!$E$3:$E$6,MATCH($G1973,Mapping!$D$3:$D$6,0)),IFERROR(INDEX(Mapping!$B$3:$B$13,MATCH($J1973,Mapping!$A$3:$A$13,0)),"(unmapped)")),IFERROR(INDEX(Mapping!$B$17:$B$22,MATCH($F1973,Mapping!$A$17:$A$22,0)),$F1973)&amp;" "&amp;IF($G1973="Banking","Banking",IFERROR(INDEX(Mapping!$E$17:$E$28,MATCH($J1973,Mapping!$D$17:$D$28,0)),"(unmapped)")))))</f>
        <v/>
      </c>
    </row>
    <row r="1974" spans="11:11" x14ac:dyDescent="0.3">
      <c r="K1974" t="str">
        <f>IF($D1974="","",IFERROR(INDEX(Mapping!$H$3:$H$32,MATCH($B1974,Mapping!$G$3:$G$32,0)),IF(LEFT($F1974,3)="P2P",IFERROR(INDEX(Mapping!$E$3:$E$6,MATCH($G1974,Mapping!$D$3:$D$6,0)),IFERROR(INDEX(Mapping!$B$3:$B$13,MATCH($J1974,Mapping!$A$3:$A$13,0)),"(unmapped)")),IFERROR(INDEX(Mapping!$B$17:$B$22,MATCH($F1974,Mapping!$A$17:$A$22,0)),$F1974)&amp;" "&amp;IF($G1974="Banking","Banking",IFERROR(INDEX(Mapping!$E$17:$E$28,MATCH($J1974,Mapping!$D$17:$D$28,0)),"(unmapped)")))))</f>
        <v/>
      </c>
    </row>
    <row r="1975" spans="11:11" x14ac:dyDescent="0.3">
      <c r="K1975" t="str">
        <f>IF($D1975="","",IFERROR(INDEX(Mapping!$H$3:$H$32,MATCH($B1975,Mapping!$G$3:$G$32,0)),IF(LEFT($F1975,3)="P2P",IFERROR(INDEX(Mapping!$E$3:$E$6,MATCH($G1975,Mapping!$D$3:$D$6,0)),IFERROR(INDEX(Mapping!$B$3:$B$13,MATCH($J1975,Mapping!$A$3:$A$13,0)),"(unmapped)")),IFERROR(INDEX(Mapping!$B$17:$B$22,MATCH($F1975,Mapping!$A$17:$A$22,0)),$F1975)&amp;" "&amp;IF($G1975="Banking","Banking",IFERROR(INDEX(Mapping!$E$17:$E$28,MATCH($J1975,Mapping!$D$17:$D$28,0)),"(unmapped)")))))</f>
        <v/>
      </c>
    </row>
    <row r="1976" spans="11:11" x14ac:dyDescent="0.3">
      <c r="K1976" t="str">
        <f>IF($D1976="","",IFERROR(INDEX(Mapping!$H$3:$H$32,MATCH($B1976,Mapping!$G$3:$G$32,0)),IF(LEFT($F1976,3)="P2P",IFERROR(INDEX(Mapping!$E$3:$E$6,MATCH($G1976,Mapping!$D$3:$D$6,0)),IFERROR(INDEX(Mapping!$B$3:$B$13,MATCH($J1976,Mapping!$A$3:$A$13,0)),"(unmapped)")),IFERROR(INDEX(Mapping!$B$17:$B$22,MATCH($F1976,Mapping!$A$17:$A$22,0)),$F1976)&amp;" "&amp;IF($G1976="Banking","Banking",IFERROR(INDEX(Mapping!$E$17:$E$28,MATCH($J1976,Mapping!$D$17:$D$28,0)),"(unmapped)")))))</f>
        <v/>
      </c>
    </row>
    <row r="1977" spans="11:11" x14ac:dyDescent="0.3">
      <c r="K1977" t="str">
        <f>IF($D1977="","",IFERROR(INDEX(Mapping!$H$3:$H$32,MATCH($B1977,Mapping!$G$3:$G$32,0)),IF(LEFT($F1977,3)="P2P",IFERROR(INDEX(Mapping!$E$3:$E$6,MATCH($G1977,Mapping!$D$3:$D$6,0)),IFERROR(INDEX(Mapping!$B$3:$B$13,MATCH($J1977,Mapping!$A$3:$A$13,0)),"(unmapped)")),IFERROR(INDEX(Mapping!$B$17:$B$22,MATCH($F1977,Mapping!$A$17:$A$22,0)),$F1977)&amp;" "&amp;IF($G1977="Banking","Banking",IFERROR(INDEX(Mapping!$E$17:$E$28,MATCH($J1977,Mapping!$D$17:$D$28,0)),"(unmapped)")))))</f>
        <v/>
      </c>
    </row>
    <row r="1978" spans="11:11" x14ac:dyDescent="0.3">
      <c r="K1978" t="str">
        <f>IF($D1978="","",IFERROR(INDEX(Mapping!$H$3:$H$32,MATCH($B1978,Mapping!$G$3:$G$32,0)),IF(LEFT($F1978,3)="P2P",IFERROR(INDEX(Mapping!$E$3:$E$6,MATCH($G1978,Mapping!$D$3:$D$6,0)),IFERROR(INDEX(Mapping!$B$3:$B$13,MATCH($J1978,Mapping!$A$3:$A$13,0)),"(unmapped)")),IFERROR(INDEX(Mapping!$B$17:$B$22,MATCH($F1978,Mapping!$A$17:$A$22,0)),$F1978)&amp;" "&amp;IF($G1978="Banking","Banking",IFERROR(INDEX(Mapping!$E$17:$E$28,MATCH($J1978,Mapping!$D$17:$D$28,0)),"(unmapped)")))))</f>
        <v/>
      </c>
    </row>
    <row r="1979" spans="11:11" x14ac:dyDescent="0.3">
      <c r="K1979" t="str">
        <f>IF($D1979="","",IFERROR(INDEX(Mapping!$H$3:$H$32,MATCH($B1979,Mapping!$G$3:$G$32,0)),IF(LEFT($F1979,3)="P2P",IFERROR(INDEX(Mapping!$E$3:$E$6,MATCH($G1979,Mapping!$D$3:$D$6,0)),IFERROR(INDEX(Mapping!$B$3:$B$13,MATCH($J1979,Mapping!$A$3:$A$13,0)),"(unmapped)")),IFERROR(INDEX(Mapping!$B$17:$B$22,MATCH($F1979,Mapping!$A$17:$A$22,0)),$F1979)&amp;" "&amp;IF($G1979="Banking","Banking",IFERROR(INDEX(Mapping!$E$17:$E$28,MATCH($J1979,Mapping!$D$17:$D$28,0)),"(unmapped)")))))</f>
        <v/>
      </c>
    </row>
    <row r="1980" spans="11:11" x14ac:dyDescent="0.3">
      <c r="K1980" t="str">
        <f>IF($D1980="","",IFERROR(INDEX(Mapping!$H$3:$H$32,MATCH($B1980,Mapping!$G$3:$G$32,0)),IF(LEFT($F1980,3)="P2P",IFERROR(INDEX(Mapping!$E$3:$E$6,MATCH($G1980,Mapping!$D$3:$D$6,0)),IFERROR(INDEX(Mapping!$B$3:$B$13,MATCH($J1980,Mapping!$A$3:$A$13,0)),"(unmapped)")),IFERROR(INDEX(Mapping!$B$17:$B$22,MATCH($F1980,Mapping!$A$17:$A$22,0)),$F1980)&amp;" "&amp;IF($G1980="Banking","Banking",IFERROR(INDEX(Mapping!$E$17:$E$28,MATCH($J1980,Mapping!$D$17:$D$28,0)),"(unmapped)")))))</f>
        <v/>
      </c>
    </row>
    <row r="1981" spans="11:11" x14ac:dyDescent="0.3">
      <c r="K1981" t="str">
        <f>IF($D1981="","",IFERROR(INDEX(Mapping!$H$3:$H$32,MATCH($B1981,Mapping!$G$3:$G$32,0)),IF(LEFT($F1981,3)="P2P",IFERROR(INDEX(Mapping!$E$3:$E$6,MATCH($G1981,Mapping!$D$3:$D$6,0)),IFERROR(INDEX(Mapping!$B$3:$B$13,MATCH($J1981,Mapping!$A$3:$A$13,0)),"(unmapped)")),IFERROR(INDEX(Mapping!$B$17:$B$22,MATCH($F1981,Mapping!$A$17:$A$22,0)),$F1981)&amp;" "&amp;IF($G1981="Banking","Banking",IFERROR(INDEX(Mapping!$E$17:$E$28,MATCH($J1981,Mapping!$D$17:$D$28,0)),"(unmapped)")))))</f>
        <v/>
      </c>
    </row>
    <row r="1982" spans="11:11" x14ac:dyDescent="0.3">
      <c r="K1982" t="str">
        <f>IF($D1982="","",IFERROR(INDEX(Mapping!$H$3:$H$32,MATCH($B1982,Mapping!$G$3:$G$32,0)),IF(LEFT($F1982,3)="P2P",IFERROR(INDEX(Mapping!$E$3:$E$6,MATCH($G1982,Mapping!$D$3:$D$6,0)),IFERROR(INDEX(Mapping!$B$3:$B$13,MATCH($J1982,Mapping!$A$3:$A$13,0)),"(unmapped)")),IFERROR(INDEX(Mapping!$B$17:$B$22,MATCH($F1982,Mapping!$A$17:$A$22,0)),$F1982)&amp;" "&amp;IF($G1982="Banking","Banking",IFERROR(INDEX(Mapping!$E$17:$E$28,MATCH($J1982,Mapping!$D$17:$D$28,0)),"(unmapped)")))))</f>
        <v/>
      </c>
    </row>
    <row r="1983" spans="11:11" x14ac:dyDescent="0.3">
      <c r="K1983" t="str">
        <f>IF($D1983="","",IFERROR(INDEX(Mapping!$H$3:$H$32,MATCH($B1983,Mapping!$G$3:$G$32,0)),IF(LEFT($F1983,3)="P2P",IFERROR(INDEX(Mapping!$E$3:$E$6,MATCH($G1983,Mapping!$D$3:$D$6,0)),IFERROR(INDEX(Mapping!$B$3:$B$13,MATCH($J1983,Mapping!$A$3:$A$13,0)),"(unmapped)")),IFERROR(INDEX(Mapping!$B$17:$B$22,MATCH($F1983,Mapping!$A$17:$A$22,0)),$F1983)&amp;" "&amp;IF($G1983="Banking","Banking",IFERROR(INDEX(Mapping!$E$17:$E$28,MATCH($J1983,Mapping!$D$17:$D$28,0)),"(unmapped)")))))</f>
        <v/>
      </c>
    </row>
    <row r="1984" spans="11:11" x14ac:dyDescent="0.3">
      <c r="K1984" t="str">
        <f>IF($D1984="","",IFERROR(INDEX(Mapping!$H$3:$H$32,MATCH($B1984,Mapping!$G$3:$G$32,0)),IF(LEFT($F1984,3)="P2P",IFERROR(INDEX(Mapping!$E$3:$E$6,MATCH($G1984,Mapping!$D$3:$D$6,0)),IFERROR(INDEX(Mapping!$B$3:$B$13,MATCH($J1984,Mapping!$A$3:$A$13,0)),"(unmapped)")),IFERROR(INDEX(Mapping!$B$17:$B$22,MATCH($F1984,Mapping!$A$17:$A$22,0)),$F1984)&amp;" "&amp;IF($G1984="Banking","Banking",IFERROR(INDEX(Mapping!$E$17:$E$28,MATCH($J1984,Mapping!$D$17:$D$28,0)),"(unmapped)")))))</f>
        <v/>
      </c>
    </row>
    <row r="1985" spans="11:11" x14ac:dyDescent="0.3">
      <c r="K1985" t="str">
        <f>IF($D1985="","",IFERROR(INDEX(Mapping!$H$3:$H$32,MATCH($B1985,Mapping!$G$3:$G$32,0)),IF(LEFT($F1985,3)="P2P",IFERROR(INDEX(Mapping!$E$3:$E$6,MATCH($G1985,Mapping!$D$3:$D$6,0)),IFERROR(INDEX(Mapping!$B$3:$B$13,MATCH($J1985,Mapping!$A$3:$A$13,0)),"(unmapped)")),IFERROR(INDEX(Mapping!$B$17:$B$22,MATCH($F1985,Mapping!$A$17:$A$22,0)),$F1985)&amp;" "&amp;IF($G1985="Banking","Banking",IFERROR(INDEX(Mapping!$E$17:$E$28,MATCH($J1985,Mapping!$D$17:$D$28,0)),"(unmapped)")))))</f>
        <v/>
      </c>
    </row>
    <row r="1986" spans="11:11" x14ac:dyDescent="0.3">
      <c r="K1986" t="str">
        <f>IF($D1986="","",IFERROR(INDEX(Mapping!$H$3:$H$32,MATCH($B1986,Mapping!$G$3:$G$32,0)),IF(LEFT($F1986,3)="P2P",IFERROR(INDEX(Mapping!$E$3:$E$6,MATCH($G1986,Mapping!$D$3:$D$6,0)),IFERROR(INDEX(Mapping!$B$3:$B$13,MATCH($J1986,Mapping!$A$3:$A$13,0)),"(unmapped)")),IFERROR(INDEX(Mapping!$B$17:$B$22,MATCH($F1986,Mapping!$A$17:$A$22,0)),$F1986)&amp;" "&amp;IF($G1986="Banking","Banking",IFERROR(INDEX(Mapping!$E$17:$E$28,MATCH($J1986,Mapping!$D$17:$D$28,0)),"(unmapped)")))))</f>
        <v/>
      </c>
    </row>
    <row r="1987" spans="11:11" x14ac:dyDescent="0.3">
      <c r="K1987" t="str">
        <f>IF($D1987="","",IFERROR(INDEX(Mapping!$H$3:$H$32,MATCH($B1987,Mapping!$G$3:$G$32,0)),IF(LEFT($F1987,3)="P2P",IFERROR(INDEX(Mapping!$E$3:$E$6,MATCH($G1987,Mapping!$D$3:$D$6,0)),IFERROR(INDEX(Mapping!$B$3:$B$13,MATCH($J1987,Mapping!$A$3:$A$13,0)),"(unmapped)")),IFERROR(INDEX(Mapping!$B$17:$B$22,MATCH($F1987,Mapping!$A$17:$A$22,0)),$F1987)&amp;" "&amp;IF($G1987="Banking","Banking",IFERROR(INDEX(Mapping!$E$17:$E$28,MATCH($J1987,Mapping!$D$17:$D$28,0)),"(unmapped)")))))</f>
        <v/>
      </c>
    </row>
    <row r="1988" spans="11:11" x14ac:dyDescent="0.3">
      <c r="K1988" t="str">
        <f>IF($D1988="","",IFERROR(INDEX(Mapping!$H$3:$H$32,MATCH($B1988,Mapping!$G$3:$G$32,0)),IF(LEFT($F1988,3)="P2P",IFERROR(INDEX(Mapping!$E$3:$E$6,MATCH($G1988,Mapping!$D$3:$D$6,0)),IFERROR(INDEX(Mapping!$B$3:$B$13,MATCH($J1988,Mapping!$A$3:$A$13,0)),"(unmapped)")),IFERROR(INDEX(Mapping!$B$17:$B$22,MATCH($F1988,Mapping!$A$17:$A$22,0)),$F1988)&amp;" "&amp;IF($G1988="Banking","Banking",IFERROR(INDEX(Mapping!$E$17:$E$28,MATCH($J1988,Mapping!$D$17:$D$28,0)),"(unmapped)")))))</f>
        <v/>
      </c>
    </row>
    <row r="1989" spans="11:11" x14ac:dyDescent="0.3">
      <c r="K1989" t="str">
        <f>IF($D1989="","",IFERROR(INDEX(Mapping!$H$3:$H$32,MATCH($B1989,Mapping!$G$3:$G$32,0)),IF(LEFT($F1989,3)="P2P",IFERROR(INDEX(Mapping!$E$3:$E$6,MATCH($G1989,Mapping!$D$3:$D$6,0)),IFERROR(INDEX(Mapping!$B$3:$B$13,MATCH($J1989,Mapping!$A$3:$A$13,0)),"(unmapped)")),IFERROR(INDEX(Mapping!$B$17:$B$22,MATCH($F1989,Mapping!$A$17:$A$22,0)),$F1989)&amp;" "&amp;IF($G1989="Banking","Banking",IFERROR(INDEX(Mapping!$E$17:$E$28,MATCH($J1989,Mapping!$D$17:$D$28,0)),"(unmapped)")))))</f>
        <v/>
      </c>
    </row>
    <row r="1990" spans="11:11" x14ac:dyDescent="0.3">
      <c r="K1990" t="str">
        <f>IF($D1990="","",IFERROR(INDEX(Mapping!$H$3:$H$32,MATCH($B1990,Mapping!$G$3:$G$32,0)),IF(LEFT($F1990,3)="P2P",IFERROR(INDEX(Mapping!$E$3:$E$6,MATCH($G1990,Mapping!$D$3:$D$6,0)),IFERROR(INDEX(Mapping!$B$3:$B$13,MATCH($J1990,Mapping!$A$3:$A$13,0)),"(unmapped)")),IFERROR(INDEX(Mapping!$B$17:$B$22,MATCH($F1990,Mapping!$A$17:$A$22,0)),$F1990)&amp;" "&amp;IF($G1990="Banking","Banking",IFERROR(INDEX(Mapping!$E$17:$E$28,MATCH($J1990,Mapping!$D$17:$D$28,0)),"(unmapped)")))))</f>
        <v/>
      </c>
    </row>
    <row r="1991" spans="11:11" x14ac:dyDescent="0.3">
      <c r="K1991" t="str">
        <f>IF($D1991="","",IFERROR(INDEX(Mapping!$H$3:$H$32,MATCH($B1991,Mapping!$G$3:$G$32,0)),IF(LEFT($F1991,3)="P2P",IFERROR(INDEX(Mapping!$E$3:$E$6,MATCH($G1991,Mapping!$D$3:$D$6,0)),IFERROR(INDEX(Mapping!$B$3:$B$13,MATCH($J1991,Mapping!$A$3:$A$13,0)),"(unmapped)")),IFERROR(INDEX(Mapping!$B$17:$B$22,MATCH($F1991,Mapping!$A$17:$A$22,0)),$F1991)&amp;" "&amp;IF($G1991="Banking","Banking",IFERROR(INDEX(Mapping!$E$17:$E$28,MATCH($J1991,Mapping!$D$17:$D$28,0)),"(unmapped)")))))</f>
        <v/>
      </c>
    </row>
    <row r="1992" spans="11:11" x14ac:dyDescent="0.3">
      <c r="K1992" t="str">
        <f>IF($D1992="","",IFERROR(INDEX(Mapping!$H$3:$H$32,MATCH($B1992,Mapping!$G$3:$G$32,0)),IF(LEFT($F1992,3)="P2P",IFERROR(INDEX(Mapping!$E$3:$E$6,MATCH($G1992,Mapping!$D$3:$D$6,0)),IFERROR(INDEX(Mapping!$B$3:$B$13,MATCH($J1992,Mapping!$A$3:$A$13,0)),"(unmapped)")),IFERROR(INDEX(Mapping!$B$17:$B$22,MATCH($F1992,Mapping!$A$17:$A$22,0)),$F1992)&amp;" "&amp;IF($G1992="Banking","Banking",IFERROR(INDEX(Mapping!$E$17:$E$28,MATCH($J1992,Mapping!$D$17:$D$28,0)),"(unmapped)")))))</f>
        <v/>
      </c>
    </row>
    <row r="1993" spans="11:11" x14ac:dyDescent="0.3">
      <c r="K1993" t="str">
        <f>IF($D1993="","",IFERROR(INDEX(Mapping!$H$3:$H$32,MATCH($B1993,Mapping!$G$3:$G$32,0)),IF(LEFT($F1993,3)="P2P",IFERROR(INDEX(Mapping!$E$3:$E$6,MATCH($G1993,Mapping!$D$3:$D$6,0)),IFERROR(INDEX(Mapping!$B$3:$B$13,MATCH($J1993,Mapping!$A$3:$A$13,0)),"(unmapped)")),IFERROR(INDEX(Mapping!$B$17:$B$22,MATCH($F1993,Mapping!$A$17:$A$22,0)),$F1993)&amp;" "&amp;IF($G1993="Banking","Banking",IFERROR(INDEX(Mapping!$E$17:$E$28,MATCH($J1993,Mapping!$D$17:$D$28,0)),"(unmapped)")))))</f>
        <v/>
      </c>
    </row>
    <row r="1994" spans="11:11" x14ac:dyDescent="0.3">
      <c r="K1994" t="str">
        <f>IF($D1994="","",IFERROR(INDEX(Mapping!$H$3:$H$32,MATCH($B1994,Mapping!$G$3:$G$32,0)),IF(LEFT($F1994,3)="P2P",IFERROR(INDEX(Mapping!$E$3:$E$6,MATCH($G1994,Mapping!$D$3:$D$6,0)),IFERROR(INDEX(Mapping!$B$3:$B$13,MATCH($J1994,Mapping!$A$3:$A$13,0)),"(unmapped)")),IFERROR(INDEX(Mapping!$B$17:$B$22,MATCH($F1994,Mapping!$A$17:$A$22,0)),$F1994)&amp;" "&amp;IF($G1994="Banking","Banking",IFERROR(INDEX(Mapping!$E$17:$E$28,MATCH($J1994,Mapping!$D$17:$D$28,0)),"(unmapped)")))))</f>
        <v/>
      </c>
    </row>
    <row r="1995" spans="11:11" x14ac:dyDescent="0.3">
      <c r="K1995" t="str">
        <f>IF($D1995="","",IFERROR(INDEX(Mapping!$H$3:$H$32,MATCH($B1995,Mapping!$G$3:$G$32,0)),IF(LEFT($F1995,3)="P2P",IFERROR(INDEX(Mapping!$E$3:$E$6,MATCH($G1995,Mapping!$D$3:$D$6,0)),IFERROR(INDEX(Mapping!$B$3:$B$13,MATCH($J1995,Mapping!$A$3:$A$13,0)),"(unmapped)")),IFERROR(INDEX(Mapping!$B$17:$B$22,MATCH($F1995,Mapping!$A$17:$A$22,0)),$F1995)&amp;" "&amp;IF($G1995="Banking","Banking",IFERROR(INDEX(Mapping!$E$17:$E$28,MATCH($J1995,Mapping!$D$17:$D$28,0)),"(unmapped)")))))</f>
        <v/>
      </c>
    </row>
    <row r="1996" spans="11:11" x14ac:dyDescent="0.3">
      <c r="K1996" t="str">
        <f>IF($D1996="","",IFERROR(INDEX(Mapping!$H$3:$H$32,MATCH($B1996,Mapping!$G$3:$G$32,0)),IF(LEFT($F1996,3)="P2P",IFERROR(INDEX(Mapping!$E$3:$E$6,MATCH($G1996,Mapping!$D$3:$D$6,0)),IFERROR(INDEX(Mapping!$B$3:$B$13,MATCH($J1996,Mapping!$A$3:$A$13,0)),"(unmapped)")),IFERROR(INDEX(Mapping!$B$17:$B$22,MATCH($F1996,Mapping!$A$17:$A$22,0)),$F1996)&amp;" "&amp;IF($G1996="Banking","Banking",IFERROR(INDEX(Mapping!$E$17:$E$28,MATCH($J1996,Mapping!$D$17:$D$28,0)),"(unmapped)")))))</f>
        <v/>
      </c>
    </row>
    <row r="1997" spans="11:11" x14ac:dyDescent="0.3">
      <c r="K1997" t="str">
        <f>IF($D1997="","",IFERROR(INDEX(Mapping!$H$3:$H$32,MATCH($B1997,Mapping!$G$3:$G$32,0)),IF(LEFT($F1997,3)="P2P",IFERROR(INDEX(Mapping!$E$3:$E$6,MATCH($G1997,Mapping!$D$3:$D$6,0)),IFERROR(INDEX(Mapping!$B$3:$B$13,MATCH($J1997,Mapping!$A$3:$A$13,0)),"(unmapped)")),IFERROR(INDEX(Mapping!$B$17:$B$22,MATCH($F1997,Mapping!$A$17:$A$22,0)),$F1997)&amp;" "&amp;IF($G1997="Banking","Banking",IFERROR(INDEX(Mapping!$E$17:$E$28,MATCH($J1997,Mapping!$D$17:$D$28,0)),"(unmapped)")))))</f>
        <v/>
      </c>
    </row>
    <row r="1998" spans="11:11" x14ac:dyDescent="0.3">
      <c r="K1998" t="str">
        <f>IF($D1998="","",IFERROR(INDEX(Mapping!$H$3:$H$32,MATCH($B1998,Mapping!$G$3:$G$32,0)),IF(LEFT($F1998,3)="P2P",IFERROR(INDEX(Mapping!$E$3:$E$6,MATCH($G1998,Mapping!$D$3:$D$6,0)),IFERROR(INDEX(Mapping!$B$3:$B$13,MATCH($J1998,Mapping!$A$3:$A$13,0)),"(unmapped)")),IFERROR(INDEX(Mapping!$B$17:$B$22,MATCH($F1998,Mapping!$A$17:$A$22,0)),$F1998)&amp;" "&amp;IF($G1998="Banking","Banking",IFERROR(INDEX(Mapping!$E$17:$E$28,MATCH($J1998,Mapping!$D$17:$D$28,0)),"(unmapped)")))))</f>
        <v/>
      </c>
    </row>
    <row r="1999" spans="11:11" x14ac:dyDescent="0.3">
      <c r="K1999" t="str">
        <f>IF($D1999="","",IFERROR(INDEX(Mapping!$H$3:$H$32,MATCH($B1999,Mapping!$G$3:$G$32,0)),IF(LEFT($F1999,3)="P2P",IFERROR(INDEX(Mapping!$E$3:$E$6,MATCH($G1999,Mapping!$D$3:$D$6,0)),IFERROR(INDEX(Mapping!$B$3:$B$13,MATCH($J1999,Mapping!$A$3:$A$13,0)),"(unmapped)")),IFERROR(INDEX(Mapping!$B$17:$B$22,MATCH($F1999,Mapping!$A$17:$A$22,0)),$F1999)&amp;" "&amp;IF($G1999="Banking","Banking",IFERROR(INDEX(Mapping!$E$17:$E$28,MATCH($J1999,Mapping!$D$17:$D$28,0)),"(unmapped)")))))</f>
        <v/>
      </c>
    </row>
    <row r="2000" spans="11:11" x14ac:dyDescent="0.3">
      <c r="K2000" t="str">
        <f>IF($D2000="","",IFERROR(INDEX(Mapping!$H$3:$H$32,MATCH($B2000,Mapping!$G$3:$G$32,0)),IF(LEFT($F2000,3)="P2P",IFERROR(INDEX(Mapping!$E$3:$E$6,MATCH($G2000,Mapping!$D$3:$D$6,0)),IFERROR(INDEX(Mapping!$B$3:$B$13,MATCH($J2000,Mapping!$A$3:$A$13,0)),"(unmapped)")),IFERROR(INDEX(Mapping!$B$17:$B$22,MATCH($F2000,Mapping!$A$17:$A$22,0)),$F2000)&amp;" "&amp;IF($G2000="Banking","Banking",IFERROR(INDEX(Mapping!$E$17:$E$28,MATCH($J2000,Mapping!$D$17:$D$28,0)),"(unmapped)")))))</f>
        <v/>
      </c>
    </row>
    <row r="2001" spans="11:11" x14ac:dyDescent="0.3">
      <c r="K2001" t="str">
        <f>IF($D2001="","",IFERROR(INDEX(Mapping!$H$3:$H$32,MATCH($B2001,Mapping!$G$3:$G$32,0)),IF(LEFT($F2001,3)="P2P",IFERROR(INDEX(Mapping!$E$3:$E$6,MATCH($G2001,Mapping!$D$3:$D$6,0)),IFERROR(INDEX(Mapping!$B$3:$B$13,MATCH($J2001,Mapping!$A$3:$A$13,0)),"(unmapped)")),IFERROR(INDEX(Mapping!$B$17:$B$22,MATCH($F2001,Mapping!$A$17:$A$22,0)),$F2001)&amp;" "&amp;IF($G2001="Banking","Banking",IFERROR(INDEX(Mapping!$E$17:$E$28,MATCH($J2001,Mapping!$D$17:$D$28,0)),"(unmapped)")))))</f>
        <v/>
      </c>
    </row>
    <row r="2002" spans="11:11" x14ac:dyDescent="0.3">
      <c r="K2002" t="str">
        <f>IF($D2002="","",IFERROR(INDEX(Mapping!$H$3:$H$32,MATCH($B2002,Mapping!$G$3:$G$32,0)),IF(LEFT($F2002,3)="P2P",IFERROR(INDEX(Mapping!$E$3:$E$6,MATCH($G2002,Mapping!$D$3:$D$6,0)),IFERROR(INDEX(Mapping!$B$3:$B$13,MATCH($J2002,Mapping!$A$3:$A$13,0)),"(unmapped)")),IFERROR(INDEX(Mapping!$B$17:$B$22,MATCH($F2002,Mapping!$A$17:$A$22,0)),$F2002)&amp;" "&amp;IF($G2002="Banking","Banking",IFERROR(INDEX(Mapping!$E$17:$E$28,MATCH($J2002,Mapping!$D$17:$D$28,0)),"(unmapped)")))))</f>
        <v/>
      </c>
    </row>
    <row r="2003" spans="11:11" x14ac:dyDescent="0.3">
      <c r="K2003" t="str">
        <f>IF($D2003="","",IFERROR(INDEX(Mapping!$H$3:$H$32,MATCH($B2003,Mapping!$G$3:$G$32,0)),IF(LEFT($F2003,3)="P2P",IFERROR(INDEX(Mapping!$E$3:$E$6,MATCH($G2003,Mapping!$D$3:$D$6,0)),IFERROR(INDEX(Mapping!$B$3:$B$13,MATCH($J2003,Mapping!$A$3:$A$13,0)),"(unmapped)")),IFERROR(INDEX(Mapping!$B$17:$B$22,MATCH($F2003,Mapping!$A$17:$A$22,0)),$F2003)&amp;" "&amp;IF($G2003="Banking","Banking",IFERROR(INDEX(Mapping!$E$17:$E$28,MATCH($J2003,Mapping!$D$17:$D$28,0)),"(unmapped)")))))</f>
        <v/>
      </c>
    </row>
    <row r="2004" spans="11:11" x14ac:dyDescent="0.3">
      <c r="K2004" t="str">
        <f>IF($D2004="","",IFERROR(INDEX(Mapping!$H$3:$H$32,MATCH($B2004,Mapping!$G$3:$G$32,0)),IF(LEFT($F2004,3)="P2P",IFERROR(INDEX(Mapping!$E$3:$E$6,MATCH($G2004,Mapping!$D$3:$D$6,0)),IFERROR(INDEX(Mapping!$B$3:$B$13,MATCH($J2004,Mapping!$A$3:$A$13,0)),"(unmapped)")),IFERROR(INDEX(Mapping!$B$17:$B$22,MATCH($F2004,Mapping!$A$17:$A$22,0)),$F2004)&amp;" "&amp;IF($G2004="Banking","Banking",IFERROR(INDEX(Mapping!$E$17:$E$28,MATCH($J2004,Mapping!$D$17:$D$28,0)),"(unmapped)")))))</f>
        <v/>
      </c>
    </row>
    <row r="2005" spans="11:11" x14ac:dyDescent="0.3">
      <c r="K2005" t="str">
        <f>IF($D2005="","",IFERROR(INDEX(Mapping!$H$3:$H$32,MATCH($B2005,Mapping!$G$3:$G$32,0)),IF(LEFT($F2005,3)="P2P",IFERROR(INDEX(Mapping!$E$3:$E$6,MATCH($G2005,Mapping!$D$3:$D$6,0)),IFERROR(INDEX(Mapping!$B$3:$B$13,MATCH($J2005,Mapping!$A$3:$A$13,0)),"(unmapped)")),IFERROR(INDEX(Mapping!$B$17:$B$22,MATCH($F2005,Mapping!$A$17:$A$22,0)),$F2005)&amp;" "&amp;IF($G2005="Banking","Banking",IFERROR(INDEX(Mapping!$E$17:$E$28,MATCH($J2005,Mapping!$D$17:$D$28,0)),"(unmapped)")))))</f>
        <v/>
      </c>
    </row>
    <row r="2006" spans="11:11" x14ac:dyDescent="0.3">
      <c r="K2006" t="str">
        <f>IF($D2006="","",IFERROR(INDEX(Mapping!$H$3:$H$32,MATCH($B2006,Mapping!$G$3:$G$32,0)),IF(LEFT($F2006,3)="P2P",IFERROR(INDEX(Mapping!$E$3:$E$6,MATCH($G2006,Mapping!$D$3:$D$6,0)),IFERROR(INDEX(Mapping!$B$3:$B$13,MATCH($J2006,Mapping!$A$3:$A$13,0)),"(unmapped)")),IFERROR(INDEX(Mapping!$B$17:$B$22,MATCH($F2006,Mapping!$A$17:$A$22,0)),$F2006)&amp;" "&amp;IF($G2006="Banking","Banking",IFERROR(INDEX(Mapping!$E$17:$E$28,MATCH($J2006,Mapping!$D$17:$D$28,0)),"(unmapped)")))))</f>
        <v/>
      </c>
    </row>
    <row r="2007" spans="11:11" x14ac:dyDescent="0.3">
      <c r="K2007" t="str">
        <f>IF($D2007="","",IFERROR(INDEX(Mapping!$H$3:$H$32,MATCH($B2007,Mapping!$G$3:$G$32,0)),IF(LEFT($F2007,3)="P2P",IFERROR(INDEX(Mapping!$E$3:$E$6,MATCH($G2007,Mapping!$D$3:$D$6,0)),IFERROR(INDEX(Mapping!$B$3:$B$13,MATCH($J2007,Mapping!$A$3:$A$13,0)),"(unmapped)")),IFERROR(INDEX(Mapping!$B$17:$B$22,MATCH($F2007,Mapping!$A$17:$A$22,0)),$F2007)&amp;" "&amp;IF($G2007="Banking","Banking",IFERROR(INDEX(Mapping!$E$17:$E$28,MATCH($J2007,Mapping!$D$17:$D$28,0)),"(unmapped)")))))</f>
        <v/>
      </c>
    </row>
    <row r="2008" spans="11:11" x14ac:dyDescent="0.3">
      <c r="K2008" t="str">
        <f>IF($D2008="","",IFERROR(INDEX(Mapping!$H$3:$H$32,MATCH($B2008,Mapping!$G$3:$G$32,0)),IF(LEFT($F2008,3)="P2P",IFERROR(INDEX(Mapping!$E$3:$E$6,MATCH($G2008,Mapping!$D$3:$D$6,0)),IFERROR(INDEX(Mapping!$B$3:$B$13,MATCH($J2008,Mapping!$A$3:$A$13,0)),"(unmapped)")),IFERROR(INDEX(Mapping!$B$17:$B$22,MATCH($F2008,Mapping!$A$17:$A$22,0)),$F2008)&amp;" "&amp;IF($G2008="Banking","Banking",IFERROR(INDEX(Mapping!$E$17:$E$28,MATCH($J2008,Mapping!$D$17:$D$28,0)),"(unmapped)")))))</f>
        <v/>
      </c>
    </row>
    <row r="2009" spans="11:11" x14ac:dyDescent="0.3">
      <c r="K2009" t="str">
        <f>IF($D2009="","",IFERROR(INDEX(Mapping!$H$3:$H$32,MATCH($B2009,Mapping!$G$3:$G$32,0)),IF(LEFT($F2009,3)="P2P",IFERROR(INDEX(Mapping!$E$3:$E$6,MATCH($G2009,Mapping!$D$3:$D$6,0)),IFERROR(INDEX(Mapping!$B$3:$B$13,MATCH($J2009,Mapping!$A$3:$A$13,0)),"(unmapped)")),IFERROR(INDEX(Mapping!$B$17:$B$22,MATCH($F2009,Mapping!$A$17:$A$22,0)),$F2009)&amp;" "&amp;IF($G2009="Banking","Banking",IFERROR(INDEX(Mapping!$E$17:$E$28,MATCH($J2009,Mapping!$D$17:$D$28,0)),"(unmapped)")))))</f>
        <v/>
      </c>
    </row>
    <row r="2010" spans="11:11" x14ac:dyDescent="0.3">
      <c r="K2010" t="str">
        <f>IF($D2010="","",IFERROR(INDEX(Mapping!$H$3:$H$32,MATCH($B2010,Mapping!$G$3:$G$32,0)),IF(LEFT($F2010,3)="P2P",IFERROR(INDEX(Mapping!$E$3:$E$6,MATCH($G2010,Mapping!$D$3:$D$6,0)),IFERROR(INDEX(Mapping!$B$3:$B$13,MATCH($J2010,Mapping!$A$3:$A$13,0)),"(unmapped)")),IFERROR(INDEX(Mapping!$B$17:$B$22,MATCH($F2010,Mapping!$A$17:$A$22,0)),$F2010)&amp;" "&amp;IF($G2010="Banking","Banking",IFERROR(INDEX(Mapping!$E$17:$E$28,MATCH($J2010,Mapping!$D$17:$D$28,0)),"(unmapped)")))))</f>
        <v/>
      </c>
    </row>
    <row r="2011" spans="11:11" x14ac:dyDescent="0.3">
      <c r="K2011" t="str">
        <f>IF($D2011="","",IFERROR(INDEX(Mapping!$H$3:$H$32,MATCH($B2011,Mapping!$G$3:$G$32,0)),IF(LEFT($F2011,3)="P2P",IFERROR(INDEX(Mapping!$E$3:$E$6,MATCH($G2011,Mapping!$D$3:$D$6,0)),IFERROR(INDEX(Mapping!$B$3:$B$13,MATCH($J2011,Mapping!$A$3:$A$13,0)),"(unmapped)")),IFERROR(INDEX(Mapping!$B$17:$B$22,MATCH($F2011,Mapping!$A$17:$A$22,0)),$F2011)&amp;" "&amp;IF($G2011="Banking","Banking",IFERROR(INDEX(Mapping!$E$17:$E$28,MATCH($J2011,Mapping!$D$17:$D$28,0)),"(unmapped)")))))</f>
        <v/>
      </c>
    </row>
    <row r="2012" spans="11:11" x14ac:dyDescent="0.3">
      <c r="K2012" t="str">
        <f>IF($D2012="","",IFERROR(INDEX(Mapping!$H$3:$H$32,MATCH($B2012,Mapping!$G$3:$G$32,0)),IF(LEFT($F2012,3)="P2P",IFERROR(INDEX(Mapping!$E$3:$E$6,MATCH($G2012,Mapping!$D$3:$D$6,0)),IFERROR(INDEX(Mapping!$B$3:$B$13,MATCH($J2012,Mapping!$A$3:$A$13,0)),"(unmapped)")),IFERROR(INDEX(Mapping!$B$17:$B$22,MATCH($F2012,Mapping!$A$17:$A$22,0)),$F2012)&amp;" "&amp;IF($G2012="Banking","Banking",IFERROR(INDEX(Mapping!$E$17:$E$28,MATCH($J2012,Mapping!$D$17:$D$28,0)),"(unmapped)")))))</f>
        <v/>
      </c>
    </row>
    <row r="2013" spans="11:11" x14ac:dyDescent="0.3">
      <c r="K2013" t="str">
        <f>IF($D2013="","",IFERROR(INDEX(Mapping!$H$3:$H$32,MATCH($B2013,Mapping!$G$3:$G$32,0)),IF(LEFT($F2013,3)="P2P",IFERROR(INDEX(Mapping!$E$3:$E$6,MATCH($G2013,Mapping!$D$3:$D$6,0)),IFERROR(INDEX(Mapping!$B$3:$B$13,MATCH($J2013,Mapping!$A$3:$A$13,0)),"(unmapped)")),IFERROR(INDEX(Mapping!$B$17:$B$22,MATCH($F2013,Mapping!$A$17:$A$22,0)),$F2013)&amp;" "&amp;IF($G2013="Banking","Banking",IFERROR(INDEX(Mapping!$E$17:$E$28,MATCH($J2013,Mapping!$D$17:$D$28,0)),"(unmapped)")))))</f>
        <v/>
      </c>
    </row>
    <row r="2014" spans="11:11" x14ac:dyDescent="0.3">
      <c r="K2014" t="str">
        <f>IF($D2014="","",IFERROR(INDEX(Mapping!$H$3:$H$32,MATCH($B2014,Mapping!$G$3:$G$32,0)),IF(LEFT($F2014,3)="P2P",IFERROR(INDEX(Mapping!$E$3:$E$6,MATCH($G2014,Mapping!$D$3:$D$6,0)),IFERROR(INDEX(Mapping!$B$3:$B$13,MATCH($J2014,Mapping!$A$3:$A$13,0)),"(unmapped)")),IFERROR(INDEX(Mapping!$B$17:$B$22,MATCH($F2014,Mapping!$A$17:$A$22,0)),$F2014)&amp;" "&amp;IF($G2014="Banking","Banking",IFERROR(INDEX(Mapping!$E$17:$E$28,MATCH($J2014,Mapping!$D$17:$D$28,0)),"(unmapped)")))))</f>
        <v/>
      </c>
    </row>
    <row r="2015" spans="11:11" x14ac:dyDescent="0.3">
      <c r="K2015" t="str">
        <f>IF($D2015="","",IFERROR(INDEX(Mapping!$H$3:$H$32,MATCH($B2015,Mapping!$G$3:$G$32,0)),IF(LEFT($F2015,3)="P2P",IFERROR(INDEX(Mapping!$E$3:$E$6,MATCH($G2015,Mapping!$D$3:$D$6,0)),IFERROR(INDEX(Mapping!$B$3:$B$13,MATCH($J2015,Mapping!$A$3:$A$13,0)),"(unmapped)")),IFERROR(INDEX(Mapping!$B$17:$B$22,MATCH($F2015,Mapping!$A$17:$A$22,0)),$F2015)&amp;" "&amp;IF($G2015="Banking","Banking",IFERROR(INDEX(Mapping!$E$17:$E$28,MATCH($J2015,Mapping!$D$17:$D$28,0)),"(unmapped)")))))</f>
        <v/>
      </c>
    </row>
    <row r="2016" spans="11:11" x14ac:dyDescent="0.3">
      <c r="K2016" t="str">
        <f>IF($D2016="","",IFERROR(INDEX(Mapping!$H$3:$H$32,MATCH($B2016,Mapping!$G$3:$G$32,0)),IF(LEFT($F2016,3)="P2P",IFERROR(INDEX(Mapping!$E$3:$E$6,MATCH($G2016,Mapping!$D$3:$D$6,0)),IFERROR(INDEX(Mapping!$B$3:$B$13,MATCH($J2016,Mapping!$A$3:$A$13,0)),"(unmapped)")),IFERROR(INDEX(Mapping!$B$17:$B$22,MATCH($F2016,Mapping!$A$17:$A$22,0)),$F2016)&amp;" "&amp;IF($G2016="Banking","Banking",IFERROR(INDEX(Mapping!$E$17:$E$28,MATCH($J2016,Mapping!$D$17:$D$28,0)),"(unmapped)")))))</f>
        <v/>
      </c>
    </row>
    <row r="2017" spans="11:11" x14ac:dyDescent="0.3">
      <c r="K2017" t="str">
        <f>IF($D2017="","",IFERROR(INDEX(Mapping!$H$3:$H$32,MATCH($B2017,Mapping!$G$3:$G$32,0)),IF(LEFT($F2017,3)="P2P",IFERROR(INDEX(Mapping!$E$3:$E$6,MATCH($G2017,Mapping!$D$3:$D$6,0)),IFERROR(INDEX(Mapping!$B$3:$B$13,MATCH($J2017,Mapping!$A$3:$A$13,0)),"(unmapped)")),IFERROR(INDEX(Mapping!$B$17:$B$22,MATCH($F2017,Mapping!$A$17:$A$22,0)),$F2017)&amp;" "&amp;IF($G2017="Banking","Banking",IFERROR(INDEX(Mapping!$E$17:$E$28,MATCH($J2017,Mapping!$D$17:$D$28,0)),"(unmapped)")))))</f>
        <v/>
      </c>
    </row>
    <row r="2018" spans="11:11" x14ac:dyDescent="0.3">
      <c r="K2018" t="str">
        <f>IF($D2018="","",IFERROR(INDEX(Mapping!$H$3:$H$32,MATCH($B2018,Mapping!$G$3:$G$32,0)),IF(LEFT($F2018,3)="P2P",IFERROR(INDEX(Mapping!$E$3:$E$6,MATCH($G2018,Mapping!$D$3:$D$6,0)),IFERROR(INDEX(Mapping!$B$3:$B$13,MATCH($J2018,Mapping!$A$3:$A$13,0)),"(unmapped)")),IFERROR(INDEX(Mapping!$B$17:$B$22,MATCH($F2018,Mapping!$A$17:$A$22,0)),$F2018)&amp;" "&amp;IF($G2018="Banking","Banking",IFERROR(INDEX(Mapping!$E$17:$E$28,MATCH($J2018,Mapping!$D$17:$D$28,0)),"(unmapped)")))))</f>
        <v/>
      </c>
    </row>
    <row r="2019" spans="11:11" x14ac:dyDescent="0.3">
      <c r="K2019" t="str">
        <f>IF($D2019="","",IFERROR(INDEX(Mapping!$H$3:$H$32,MATCH($B2019,Mapping!$G$3:$G$32,0)),IF(LEFT($F2019,3)="P2P",IFERROR(INDEX(Mapping!$E$3:$E$6,MATCH($G2019,Mapping!$D$3:$D$6,0)),IFERROR(INDEX(Mapping!$B$3:$B$13,MATCH($J2019,Mapping!$A$3:$A$13,0)),"(unmapped)")),IFERROR(INDEX(Mapping!$B$17:$B$22,MATCH($F2019,Mapping!$A$17:$A$22,0)),$F2019)&amp;" "&amp;IF($G2019="Banking","Banking",IFERROR(INDEX(Mapping!$E$17:$E$28,MATCH($J2019,Mapping!$D$17:$D$28,0)),"(unmapped)")))))</f>
        <v/>
      </c>
    </row>
    <row r="2020" spans="11:11" x14ac:dyDescent="0.3">
      <c r="K2020" t="str">
        <f>IF($D2020="","",IFERROR(INDEX(Mapping!$H$3:$H$32,MATCH($B2020,Mapping!$G$3:$G$32,0)),IF(LEFT($F2020,3)="P2P",IFERROR(INDEX(Mapping!$E$3:$E$6,MATCH($G2020,Mapping!$D$3:$D$6,0)),IFERROR(INDEX(Mapping!$B$3:$B$13,MATCH($J2020,Mapping!$A$3:$A$13,0)),"(unmapped)")),IFERROR(INDEX(Mapping!$B$17:$B$22,MATCH($F2020,Mapping!$A$17:$A$22,0)),$F2020)&amp;" "&amp;IF($G2020="Banking","Banking",IFERROR(INDEX(Mapping!$E$17:$E$28,MATCH($J2020,Mapping!$D$17:$D$28,0)),"(unmapped)")))))</f>
        <v/>
      </c>
    </row>
    <row r="2021" spans="11:11" x14ac:dyDescent="0.3">
      <c r="K2021" t="str">
        <f>IF($D2021="","",IFERROR(INDEX(Mapping!$H$3:$H$32,MATCH($B2021,Mapping!$G$3:$G$32,0)),IF(LEFT($F2021,3)="P2P",IFERROR(INDEX(Mapping!$E$3:$E$6,MATCH($G2021,Mapping!$D$3:$D$6,0)),IFERROR(INDEX(Mapping!$B$3:$B$13,MATCH($J2021,Mapping!$A$3:$A$13,0)),"(unmapped)")),IFERROR(INDEX(Mapping!$B$17:$B$22,MATCH($F2021,Mapping!$A$17:$A$22,0)),$F2021)&amp;" "&amp;IF($G2021="Banking","Banking",IFERROR(INDEX(Mapping!$E$17:$E$28,MATCH($J2021,Mapping!$D$17:$D$28,0)),"(unmapped)")))))</f>
        <v/>
      </c>
    </row>
    <row r="2022" spans="11:11" x14ac:dyDescent="0.3">
      <c r="K2022" t="str">
        <f>IF($D2022="","",IFERROR(INDEX(Mapping!$H$3:$H$32,MATCH($B2022,Mapping!$G$3:$G$32,0)),IF(LEFT($F2022,3)="P2P",IFERROR(INDEX(Mapping!$E$3:$E$6,MATCH($G2022,Mapping!$D$3:$D$6,0)),IFERROR(INDEX(Mapping!$B$3:$B$13,MATCH($J2022,Mapping!$A$3:$A$13,0)),"(unmapped)")),IFERROR(INDEX(Mapping!$B$17:$B$22,MATCH($F2022,Mapping!$A$17:$A$22,0)),$F2022)&amp;" "&amp;IF($G2022="Banking","Banking",IFERROR(INDEX(Mapping!$E$17:$E$28,MATCH($J2022,Mapping!$D$17:$D$28,0)),"(unmapped)")))))</f>
        <v/>
      </c>
    </row>
    <row r="2023" spans="11:11" x14ac:dyDescent="0.3">
      <c r="K2023" t="str">
        <f>IF($D2023="","",IFERROR(INDEX(Mapping!$H$3:$H$32,MATCH($B2023,Mapping!$G$3:$G$32,0)),IF(LEFT($F2023,3)="P2P",IFERROR(INDEX(Mapping!$E$3:$E$6,MATCH($G2023,Mapping!$D$3:$D$6,0)),IFERROR(INDEX(Mapping!$B$3:$B$13,MATCH($J2023,Mapping!$A$3:$A$13,0)),"(unmapped)")),IFERROR(INDEX(Mapping!$B$17:$B$22,MATCH($F2023,Mapping!$A$17:$A$22,0)),$F2023)&amp;" "&amp;IF($G2023="Banking","Banking",IFERROR(INDEX(Mapping!$E$17:$E$28,MATCH($J2023,Mapping!$D$17:$D$28,0)),"(unmapped)")))))</f>
        <v/>
      </c>
    </row>
    <row r="2024" spans="11:11" x14ac:dyDescent="0.3">
      <c r="K2024" t="str">
        <f>IF($D2024="","",IFERROR(INDEX(Mapping!$H$3:$H$32,MATCH($B2024,Mapping!$G$3:$G$32,0)),IF(LEFT($F2024,3)="P2P",IFERROR(INDEX(Mapping!$E$3:$E$6,MATCH($G2024,Mapping!$D$3:$D$6,0)),IFERROR(INDEX(Mapping!$B$3:$B$13,MATCH($J2024,Mapping!$A$3:$A$13,0)),"(unmapped)")),IFERROR(INDEX(Mapping!$B$17:$B$22,MATCH($F2024,Mapping!$A$17:$A$22,0)),$F2024)&amp;" "&amp;IF($G2024="Banking","Banking",IFERROR(INDEX(Mapping!$E$17:$E$28,MATCH($J2024,Mapping!$D$17:$D$28,0)),"(unmapped)")))))</f>
        <v/>
      </c>
    </row>
    <row r="2025" spans="11:11" x14ac:dyDescent="0.3">
      <c r="K2025" t="str">
        <f>IF($D2025="","",IFERROR(INDEX(Mapping!$H$3:$H$32,MATCH($B2025,Mapping!$G$3:$G$32,0)),IF(LEFT($F2025,3)="P2P",IFERROR(INDEX(Mapping!$E$3:$E$6,MATCH($G2025,Mapping!$D$3:$D$6,0)),IFERROR(INDEX(Mapping!$B$3:$B$13,MATCH($J2025,Mapping!$A$3:$A$13,0)),"(unmapped)")),IFERROR(INDEX(Mapping!$B$17:$B$22,MATCH($F2025,Mapping!$A$17:$A$22,0)),$F2025)&amp;" "&amp;IF($G2025="Banking","Banking",IFERROR(INDEX(Mapping!$E$17:$E$28,MATCH($J2025,Mapping!$D$17:$D$28,0)),"(unmapped)")))))</f>
        <v/>
      </c>
    </row>
    <row r="2026" spans="11:11" x14ac:dyDescent="0.3">
      <c r="K2026" t="str">
        <f>IF($D2026="","",IFERROR(INDEX(Mapping!$H$3:$H$32,MATCH($B2026,Mapping!$G$3:$G$32,0)),IF(LEFT($F2026,3)="P2P",IFERROR(INDEX(Mapping!$E$3:$E$6,MATCH($G2026,Mapping!$D$3:$D$6,0)),IFERROR(INDEX(Mapping!$B$3:$B$13,MATCH($J2026,Mapping!$A$3:$A$13,0)),"(unmapped)")),IFERROR(INDEX(Mapping!$B$17:$B$22,MATCH($F2026,Mapping!$A$17:$A$22,0)),$F2026)&amp;" "&amp;IF($G2026="Banking","Banking",IFERROR(INDEX(Mapping!$E$17:$E$28,MATCH($J2026,Mapping!$D$17:$D$28,0)),"(unmapped)")))))</f>
        <v/>
      </c>
    </row>
    <row r="2027" spans="11:11" x14ac:dyDescent="0.3">
      <c r="K2027" t="str">
        <f>IF($D2027="","",IFERROR(INDEX(Mapping!$H$3:$H$32,MATCH($B2027,Mapping!$G$3:$G$32,0)),IF(LEFT($F2027,3)="P2P",IFERROR(INDEX(Mapping!$E$3:$E$6,MATCH($G2027,Mapping!$D$3:$D$6,0)),IFERROR(INDEX(Mapping!$B$3:$B$13,MATCH($J2027,Mapping!$A$3:$A$13,0)),"(unmapped)")),IFERROR(INDEX(Mapping!$B$17:$B$22,MATCH($F2027,Mapping!$A$17:$A$22,0)),$F2027)&amp;" "&amp;IF($G2027="Banking","Banking",IFERROR(INDEX(Mapping!$E$17:$E$28,MATCH($J2027,Mapping!$D$17:$D$28,0)),"(unmapped)")))))</f>
        <v/>
      </c>
    </row>
    <row r="2028" spans="11:11" x14ac:dyDescent="0.3">
      <c r="K2028" t="str">
        <f>IF($D2028="","",IFERROR(INDEX(Mapping!$H$3:$H$32,MATCH($B2028,Mapping!$G$3:$G$32,0)),IF(LEFT($F2028,3)="P2P",IFERROR(INDEX(Mapping!$E$3:$E$6,MATCH($G2028,Mapping!$D$3:$D$6,0)),IFERROR(INDEX(Mapping!$B$3:$B$13,MATCH($J2028,Mapping!$A$3:$A$13,0)),"(unmapped)")),IFERROR(INDEX(Mapping!$B$17:$B$22,MATCH($F2028,Mapping!$A$17:$A$22,0)),$F2028)&amp;" "&amp;IF($G2028="Banking","Banking",IFERROR(INDEX(Mapping!$E$17:$E$28,MATCH($J2028,Mapping!$D$17:$D$28,0)),"(unmapped)")))))</f>
        <v/>
      </c>
    </row>
    <row r="2029" spans="11:11" x14ac:dyDescent="0.3">
      <c r="K2029" t="str">
        <f>IF($D2029="","",IFERROR(INDEX(Mapping!$H$3:$H$32,MATCH($B2029,Mapping!$G$3:$G$32,0)),IF(LEFT($F2029,3)="P2P",IFERROR(INDEX(Mapping!$E$3:$E$6,MATCH($G2029,Mapping!$D$3:$D$6,0)),IFERROR(INDEX(Mapping!$B$3:$B$13,MATCH($J2029,Mapping!$A$3:$A$13,0)),"(unmapped)")),IFERROR(INDEX(Mapping!$B$17:$B$22,MATCH($F2029,Mapping!$A$17:$A$22,0)),$F2029)&amp;" "&amp;IF($G2029="Banking","Banking",IFERROR(INDEX(Mapping!$E$17:$E$28,MATCH($J2029,Mapping!$D$17:$D$28,0)),"(unmapped)")))))</f>
        <v/>
      </c>
    </row>
    <row r="2030" spans="11:11" x14ac:dyDescent="0.3">
      <c r="K2030" t="str">
        <f>IF($D2030="","",IFERROR(INDEX(Mapping!$H$3:$H$32,MATCH($B2030,Mapping!$G$3:$G$32,0)),IF(LEFT($F2030,3)="P2P",IFERROR(INDEX(Mapping!$E$3:$E$6,MATCH($G2030,Mapping!$D$3:$D$6,0)),IFERROR(INDEX(Mapping!$B$3:$B$13,MATCH($J2030,Mapping!$A$3:$A$13,0)),"(unmapped)")),IFERROR(INDEX(Mapping!$B$17:$B$22,MATCH($F2030,Mapping!$A$17:$A$22,0)),$F2030)&amp;" "&amp;IF($G2030="Banking","Banking",IFERROR(INDEX(Mapping!$E$17:$E$28,MATCH($J2030,Mapping!$D$17:$D$28,0)),"(unmapped)")))))</f>
        <v/>
      </c>
    </row>
    <row r="2031" spans="11:11" x14ac:dyDescent="0.3">
      <c r="K2031" t="str">
        <f>IF($D2031="","",IFERROR(INDEX(Mapping!$H$3:$H$32,MATCH($B2031,Mapping!$G$3:$G$32,0)),IF(LEFT($F2031,3)="P2P",IFERROR(INDEX(Mapping!$E$3:$E$6,MATCH($G2031,Mapping!$D$3:$D$6,0)),IFERROR(INDEX(Mapping!$B$3:$B$13,MATCH($J2031,Mapping!$A$3:$A$13,0)),"(unmapped)")),IFERROR(INDEX(Mapping!$B$17:$B$22,MATCH($F2031,Mapping!$A$17:$A$22,0)),$F2031)&amp;" "&amp;IF($G2031="Banking","Banking",IFERROR(INDEX(Mapping!$E$17:$E$28,MATCH($J2031,Mapping!$D$17:$D$28,0)),"(unmapped)")))))</f>
        <v/>
      </c>
    </row>
    <row r="2032" spans="11:11" x14ac:dyDescent="0.3">
      <c r="K2032" t="str">
        <f>IF($D2032="","",IFERROR(INDEX(Mapping!$H$3:$H$32,MATCH($B2032,Mapping!$G$3:$G$32,0)),IF(LEFT($F2032,3)="P2P",IFERROR(INDEX(Mapping!$E$3:$E$6,MATCH($G2032,Mapping!$D$3:$D$6,0)),IFERROR(INDEX(Mapping!$B$3:$B$13,MATCH($J2032,Mapping!$A$3:$A$13,0)),"(unmapped)")),IFERROR(INDEX(Mapping!$B$17:$B$22,MATCH($F2032,Mapping!$A$17:$A$22,0)),$F2032)&amp;" "&amp;IF($G2032="Banking","Banking",IFERROR(INDEX(Mapping!$E$17:$E$28,MATCH($J2032,Mapping!$D$17:$D$28,0)),"(unmapped)")))))</f>
        <v/>
      </c>
    </row>
    <row r="2033" spans="11:11" x14ac:dyDescent="0.3">
      <c r="K2033" t="str">
        <f>IF($D2033="","",IFERROR(INDEX(Mapping!$H$3:$H$32,MATCH($B2033,Mapping!$G$3:$G$32,0)),IF(LEFT($F2033,3)="P2P",IFERROR(INDEX(Mapping!$E$3:$E$6,MATCH($G2033,Mapping!$D$3:$D$6,0)),IFERROR(INDEX(Mapping!$B$3:$B$13,MATCH($J2033,Mapping!$A$3:$A$13,0)),"(unmapped)")),IFERROR(INDEX(Mapping!$B$17:$B$22,MATCH($F2033,Mapping!$A$17:$A$22,0)),$F2033)&amp;" "&amp;IF($G2033="Banking","Banking",IFERROR(INDEX(Mapping!$E$17:$E$28,MATCH($J2033,Mapping!$D$17:$D$28,0)),"(unmapped)")))))</f>
        <v/>
      </c>
    </row>
    <row r="2034" spans="11:11" x14ac:dyDescent="0.3">
      <c r="K2034" t="str">
        <f>IF($D2034="","",IFERROR(INDEX(Mapping!$H$3:$H$32,MATCH($B2034,Mapping!$G$3:$G$32,0)),IF(LEFT($F2034,3)="P2P",IFERROR(INDEX(Mapping!$E$3:$E$6,MATCH($G2034,Mapping!$D$3:$D$6,0)),IFERROR(INDEX(Mapping!$B$3:$B$13,MATCH($J2034,Mapping!$A$3:$A$13,0)),"(unmapped)")),IFERROR(INDEX(Mapping!$B$17:$B$22,MATCH($F2034,Mapping!$A$17:$A$22,0)),$F2034)&amp;" "&amp;IF($G2034="Banking","Banking",IFERROR(INDEX(Mapping!$E$17:$E$28,MATCH($J2034,Mapping!$D$17:$D$28,0)),"(unmapped)")))))</f>
        <v/>
      </c>
    </row>
    <row r="2035" spans="11:11" x14ac:dyDescent="0.3">
      <c r="K2035" t="str">
        <f>IF($D2035="","",IFERROR(INDEX(Mapping!$H$3:$H$32,MATCH($B2035,Mapping!$G$3:$G$32,0)),IF(LEFT($F2035,3)="P2P",IFERROR(INDEX(Mapping!$E$3:$E$6,MATCH($G2035,Mapping!$D$3:$D$6,0)),IFERROR(INDEX(Mapping!$B$3:$B$13,MATCH($J2035,Mapping!$A$3:$A$13,0)),"(unmapped)")),IFERROR(INDEX(Mapping!$B$17:$B$22,MATCH($F2035,Mapping!$A$17:$A$22,0)),$F2035)&amp;" "&amp;IF($G2035="Banking","Banking",IFERROR(INDEX(Mapping!$E$17:$E$28,MATCH($J2035,Mapping!$D$17:$D$28,0)),"(unmapped)")))))</f>
        <v/>
      </c>
    </row>
    <row r="2036" spans="11:11" x14ac:dyDescent="0.3">
      <c r="K2036" t="str">
        <f>IF($D2036="","",IFERROR(INDEX(Mapping!$H$3:$H$32,MATCH($B2036,Mapping!$G$3:$G$32,0)),IF(LEFT($F2036,3)="P2P",IFERROR(INDEX(Mapping!$E$3:$E$6,MATCH($G2036,Mapping!$D$3:$D$6,0)),IFERROR(INDEX(Mapping!$B$3:$B$13,MATCH($J2036,Mapping!$A$3:$A$13,0)),"(unmapped)")),IFERROR(INDEX(Mapping!$B$17:$B$22,MATCH($F2036,Mapping!$A$17:$A$22,0)),$F2036)&amp;" "&amp;IF($G2036="Banking","Banking",IFERROR(INDEX(Mapping!$E$17:$E$28,MATCH($J2036,Mapping!$D$17:$D$28,0)),"(unmapped)")))))</f>
        <v/>
      </c>
    </row>
    <row r="2037" spans="11:11" x14ac:dyDescent="0.3">
      <c r="K2037" t="str">
        <f>IF($D2037="","",IFERROR(INDEX(Mapping!$H$3:$H$32,MATCH($B2037,Mapping!$G$3:$G$32,0)),IF(LEFT($F2037,3)="P2P",IFERROR(INDEX(Mapping!$E$3:$E$6,MATCH($G2037,Mapping!$D$3:$D$6,0)),IFERROR(INDEX(Mapping!$B$3:$B$13,MATCH($J2037,Mapping!$A$3:$A$13,0)),"(unmapped)")),IFERROR(INDEX(Mapping!$B$17:$B$22,MATCH($F2037,Mapping!$A$17:$A$22,0)),$F2037)&amp;" "&amp;IF($G2037="Banking","Banking",IFERROR(INDEX(Mapping!$E$17:$E$28,MATCH($J2037,Mapping!$D$17:$D$28,0)),"(unmapped)")))))</f>
        <v/>
      </c>
    </row>
    <row r="2038" spans="11:11" x14ac:dyDescent="0.3">
      <c r="K2038" t="str">
        <f>IF($D2038="","",IFERROR(INDEX(Mapping!$H$3:$H$32,MATCH($B2038,Mapping!$G$3:$G$32,0)),IF(LEFT($F2038,3)="P2P",IFERROR(INDEX(Mapping!$E$3:$E$6,MATCH($G2038,Mapping!$D$3:$D$6,0)),IFERROR(INDEX(Mapping!$B$3:$B$13,MATCH($J2038,Mapping!$A$3:$A$13,0)),"(unmapped)")),IFERROR(INDEX(Mapping!$B$17:$B$22,MATCH($F2038,Mapping!$A$17:$A$22,0)),$F2038)&amp;" "&amp;IF($G2038="Banking","Banking",IFERROR(INDEX(Mapping!$E$17:$E$28,MATCH($J2038,Mapping!$D$17:$D$28,0)),"(unmapped)")))))</f>
        <v/>
      </c>
    </row>
    <row r="2039" spans="11:11" x14ac:dyDescent="0.3">
      <c r="K2039" t="str">
        <f>IF($D2039="","",IFERROR(INDEX(Mapping!$H$3:$H$32,MATCH($B2039,Mapping!$G$3:$G$32,0)),IF(LEFT($F2039,3)="P2P",IFERROR(INDEX(Mapping!$E$3:$E$6,MATCH($G2039,Mapping!$D$3:$D$6,0)),IFERROR(INDEX(Mapping!$B$3:$B$13,MATCH($J2039,Mapping!$A$3:$A$13,0)),"(unmapped)")),IFERROR(INDEX(Mapping!$B$17:$B$22,MATCH($F2039,Mapping!$A$17:$A$22,0)),$F2039)&amp;" "&amp;IF($G2039="Banking","Banking",IFERROR(INDEX(Mapping!$E$17:$E$28,MATCH($J2039,Mapping!$D$17:$D$28,0)),"(unmapped)")))))</f>
        <v/>
      </c>
    </row>
    <row r="2040" spans="11:11" x14ac:dyDescent="0.3">
      <c r="K2040" t="str">
        <f>IF($D2040="","",IFERROR(INDEX(Mapping!$H$3:$H$32,MATCH($B2040,Mapping!$G$3:$G$32,0)),IF(LEFT($F2040,3)="P2P",IFERROR(INDEX(Mapping!$E$3:$E$6,MATCH($G2040,Mapping!$D$3:$D$6,0)),IFERROR(INDEX(Mapping!$B$3:$B$13,MATCH($J2040,Mapping!$A$3:$A$13,0)),"(unmapped)")),IFERROR(INDEX(Mapping!$B$17:$B$22,MATCH($F2040,Mapping!$A$17:$A$22,0)),$F2040)&amp;" "&amp;IF($G2040="Banking","Banking",IFERROR(INDEX(Mapping!$E$17:$E$28,MATCH($J2040,Mapping!$D$17:$D$28,0)),"(unmapped)")))))</f>
        <v/>
      </c>
    </row>
    <row r="2041" spans="11:11" x14ac:dyDescent="0.3">
      <c r="K2041" t="str">
        <f>IF($D2041="","",IFERROR(INDEX(Mapping!$H$3:$H$32,MATCH($B2041,Mapping!$G$3:$G$32,0)),IF(LEFT($F2041,3)="P2P",IFERROR(INDEX(Mapping!$E$3:$E$6,MATCH($G2041,Mapping!$D$3:$D$6,0)),IFERROR(INDEX(Mapping!$B$3:$B$13,MATCH($J2041,Mapping!$A$3:$A$13,0)),"(unmapped)")),IFERROR(INDEX(Mapping!$B$17:$B$22,MATCH($F2041,Mapping!$A$17:$A$22,0)),$F2041)&amp;" "&amp;IF($G2041="Banking","Banking",IFERROR(INDEX(Mapping!$E$17:$E$28,MATCH($J2041,Mapping!$D$17:$D$28,0)),"(unmapped)")))))</f>
        <v/>
      </c>
    </row>
    <row r="2042" spans="11:11" x14ac:dyDescent="0.3">
      <c r="K2042" t="str">
        <f>IF($D2042="","",IFERROR(INDEX(Mapping!$H$3:$H$32,MATCH($B2042,Mapping!$G$3:$G$32,0)),IF(LEFT($F2042,3)="P2P",IFERROR(INDEX(Mapping!$E$3:$E$6,MATCH($G2042,Mapping!$D$3:$D$6,0)),IFERROR(INDEX(Mapping!$B$3:$B$13,MATCH($J2042,Mapping!$A$3:$A$13,0)),"(unmapped)")),IFERROR(INDEX(Mapping!$B$17:$B$22,MATCH($F2042,Mapping!$A$17:$A$22,0)),$F2042)&amp;" "&amp;IF($G2042="Banking","Banking",IFERROR(INDEX(Mapping!$E$17:$E$28,MATCH($J2042,Mapping!$D$17:$D$28,0)),"(unmapped)")))))</f>
        <v/>
      </c>
    </row>
    <row r="2043" spans="11:11" x14ac:dyDescent="0.3">
      <c r="K2043" t="str">
        <f>IF($D2043="","",IFERROR(INDEX(Mapping!$H$3:$H$32,MATCH($B2043,Mapping!$G$3:$G$32,0)),IF(LEFT($F2043,3)="P2P",IFERROR(INDEX(Mapping!$E$3:$E$6,MATCH($G2043,Mapping!$D$3:$D$6,0)),IFERROR(INDEX(Mapping!$B$3:$B$13,MATCH($J2043,Mapping!$A$3:$A$13,0)),"(unmapped)")),IFERROR(INDEX(Mapping!$B$17:$B$22,MATCH($F2043,Mapping!$A$17:$A$22,0)),$F2043)&amp;" "&amp;IF($G2043="Banking","Banking",IFERROR(INDEX(Mapping!$E$17:$E$28,MATCH($J2043,Mapping!$D$17:$D$28,0)),"(unmapped)")))))</f>
        <v/>
      </c>
    </row>
    <row r="2044" spans="11:11" x14ac:dyDescent="0.3">
      <c r="K2044" t="str">
        <f>IF($D2044="","",IFERROR(INDEX(Mapping!$H$3:$H$32,MATCH($B2044,Mapping!$G$3:$G$32,0)),IF(LEFT($F2044,3)="P2P",IFERROR(INDEX(Mapping!$E$3:$E$6,MATCH($G2044,Mapping!$D$3:$D$6,0)),IFERROR(INDEX(Mapping!$B$3:$B$13,MATCH($J2044,Mapping!$A$3:$A$13,0)),"(unmapped)")),IFERROR(INDEX(Mapping!$B$17:$B$22,MATCH($F2044,Mapping!$A$17:$A$22,0)),$F2044)&amp;" "&amp;IF($G2044="Banking","Banking",IFERROR(INDEX(Mapping!$E$17:$E$28,MATCH($J2044,Mapping!$D$17:$D$28,0)),"(unmapped)")))))</f>
        <v/>
      </c>
    </row>
    <row r="2045" spans="11:11" x14ac:dyDescent="0.3">
      <c r="K2045" t="str">
        <f>IF($D2045="","",IFERROR(INDEX(Mapping!$H$3:$H$32,MATCH($B2045,Mapping!$G$3:$G$32,0)),IF(LEFT($F2045,3)="P2P",IFERROR(INDEX(Mapping!$E$3:$E$6,MATCH($G2045,Mapping!$D$3:$D$6,0)),IFERROR(INDEX(Mapping!$B$3:$B$13,MATCH($J2045,Mapping!$A$3:$A$13,0)),"(unmapped)")),IFERROR(INDEX(Mapping!$B$17:$B$22,MATCH($F2045,Mapping!$A$17:$A$22,0)),$F2045)&amp;" "&amp;IF($G2045="Banking","Banking",IFERROR(INDEX(Mapping!$E$17:$E$28,MATCH($J2045,Mapping!$D$17:$D$28,0)),"(unmapped)")))))</f>
        <v/>
      </c>
    </row>
    <row r="2046" spans="11:11" x14ac:dyDescent="0.3">
      <c r="K2046" t="str">
        <f>IF($D2046="","",IFERROR(INDEX(Mapping!$H$3:$H$32,MATCH($B2046,Mapping!$G$3:$G$32,0)),IF(LEFT($F2046,3)="P2P",IFERROR(INDEX(Mapping!$E$3:$E$6,MATCH($G2046,Mapping!$D$3:$D$6,0)),IFERROR(INDEX(Mapping!$B$3:$B$13,MATCH($J2046,Mapping!$A$3:$A$13,0)),"(unmapped)")),IFERROR(INDEX(Mapping!$B$17:$B$22,MATCH($F2046,Mapping!$A$17:$A$22,0)),$F2046)&amp;" "&amp;IF($G2046="Banking","Banking",IFERROR(INDEX(Mapping!$E$17:$E$28,MATCH($J2046,Mapping!$D$17:$D$28,0)),"(unmapped)")))))</f>
        <v/>
      </c>
    </row>
    <row r="2047" spans="11:11" x14ac:dyDescent="0.3">
      <c r="K2047" t="str">
        <f>IF($D2047="","",IFERROR(INDEX(Mapping!$H$3:$H$32,MATCH($B2047,Mapping!$G$3:$G$32,0)),IF(LEFT($F2047,3)="P2P",IFERROR(INDEX(Mapping!$E$3:$E$6,MATCH($G2047,Mapping!$D$3:$D$6,0)),IFERROR(INDEX(Mapping!$B$3:$B$13,MATCH($J2047,Mapping!$A$3:$A$13,0)),"(unmapped)")),IFERROR(INDEX(Mapping!$B$17:$B$22,MATCH($F2047,Mapping!$A$17:$A$22,0)),$F2047)&amp;" "&amp;IF($G2047="Banking","Banking",IFERROR(INDEX(Mapping!$E$17:$E$28,MATCH($J2047,Mapping!$D$17:$D$28,0)),"(unmapped)")))))</f>
        <v/>
      </c>
    </row>
    <row r="2048" spans="11:11" x14ac:dyDescent="0.3">
      <c r="K2048" t="str">
        <f>IF($D2048="","",IFERROR(INDEX(Mapping!$H$3:$H$32,MATCH($B2048,Mapping!$G$3:$G$32,0)),IF(LEFT($F2048,3)="P2P",IFERROR(INDEX(Mapping!$E$3:$E$6,MATCH($G2048,Mapping!$D$3:$D$6,0)),IFERROR(INDEX(Mapping!$B$3:$B$13,MATCH($J2048,Mapping!$A$3:$A$13,0)),"(unmapped)")),IFERROR(INDEX(Mapping!$B$17:$B$22,MATCH($F2048,Mapping!$A$17:$A$22,0)),$F2048)&amp;" "&amp;IF($G2048="Banking","Banking",IFERROR(INDEX(Mapping!$E$17:$E$28,MATCH($J2048,Mapping!$D$17:$D$28,0)),"(unmapped)")))))</f>
        <v/>
      </c>
    </row>
    <row r="2049" spans="11:11" x14ac:dyDescent="0.3">
      <c r="K2049" t="str">
        <f>IF($D2049="","",IFERROR(INDEX(Mapping!$H$3:$H$32,MATCH($B2049,Mapping!$G$3:$G$32,0)),IF(LEFT($F2049,3)="P2P",IFERROR(INDEX(Mapping!$E$3:$E$6,MATCH($G2049,Mapping!$D$3:$D$6,0)),IFERROR(INDEX(Mapping!$B$3:$B$13,MATCH($J2049,Mapping!$A$3:$A$13,0)),"(unmapped)")),IFERROR(INDEX(Mapping!$B$17:$B$22,MATCH($F2049,Mapping!$A$17:$A$22,0)),$F2049)&amp;" "&amp;IF($G2049="Banking","Banking",IFERROR(INDEX(Mapping!$E$17:$E$28,MATCH($J2049,Mapping!$D$17:$D$28,0)),"(unmapped)")))))</f>
        <v/>
      </c>
    </row>
    <row r="2050" spans="11:11" x14ac:dyDescent="0.3">
      <c r="K2050" t="str">
        <f>IF($D2050="","",IFERROR(INDEX(Mapping!$H$3:$H$32,MATCH($B2050,Mapping!$G$3:$G$32,0)),IF(LEFT($F2050,3)="P2P",IFERROR(INDEX(Mapping!$E$3:$E$6,MATCH($G2050,Mapping!$D$3:$D$6,0)),IFERROR(INDEX(Mapping!$B$3:$B$13,MATCH($J2050,Mapping!$A$3:$A$13,0)),"(unmapped)")),IFERROR(INDEX(Mapping!$B$17:$B$22,MATCH($F2050,Mapping!$A$17:$A$22,0)),$F2050)&amp;" "&amp;IF($G2050="Banking","Banking",IFERROR(INDEX(Mapping!$E$17:$E$28,MATCH($J2050,Mapping!$D$17:$D$28,0)),"(unmapped)")))))</f>
        <v/>
      </c>
    </row>
    <row r="2051" spans="11:11" x14ac:dyDescent="0.3">
      <c r="K2051" t="str">
        <f>IF($D2051="","",IFERROR(INDEX(Mapping!$H$3:$H$32,MATCH($B2051,Mapping!$G$3:$G$32,0)),IF(LEFT($F2051,3)="P2P",IFERROR(INDEX(Mapping!$E$3:$E$6,MATCH($G2051,Mapping!$D$3:$D$6,0)),IFERROR(INDEX(Mapping!$B$3:$B$13,MATCH($J2051,Mapping!$A$3:$A$13,0)),"(unmapped)")),IFERROR(INDEX(Mapping!$B$17:$B$22,MATCH($F2051,Mapping!$A$17:$A$22,0)),$F2051)&amp;" "&amp;IF($G2051="Banking","Banking",IFERROR(INDEX(Mapping!$E$17:$E$28,MATCH($J2051,Mapping!$D$17:$D$28,0)),"(unmapped)")))))</f>
        <v/>
      </c>
    </row>
    <row r="2052" spans="11:11" x14ac:dyDescent="0.3">
      <c r="K2052" t="str">
        <f>IF($D2052="","",IFERROR(INDEX(Mapping!$H$3:$H$32,MATCH($B2052,Mapping!$G$3:$G$32,0)),IF(LEFT($F2052,3)="P2P",IFERROR(INDEX(Mapping!$E$3:$E$6,MATCH($G2052,Mapping!$D$3:$D$6,0)),IFERROR(INDEX(Mapping!$B$3:$B$13,MATCH($J2052,Mapping!$A$3:$A$13,0)),"(unmapped)")),IFERROR(INDEX(Mapping!$B$17:$B$22,MATCH($F2052,Mapping!$A$17:$A$22,0)),$F2052)&amp;" "&amp;IF($G2052="Banking","Banking",IFERROR(INDEX(Mapping!$E$17:$E$28,MATCH($J2052,Mapping!$D$17:$D$28,0)),"(unmapped)")))))</f>
        <v/>
      </c>
    </row>
    <row r="2053" spans="11:11" x14ac:dyDescent="0.3">
      <c r="K2053" t="str">
        <f>IF($D2053="","",IFERROR(INDEX(Mapping!$H$3:$H$32,MATCH($B2053,Mapping!$G$3:$G$32,0)),IF(LEFT($F2053,3)="P2P",IFERROR(INDEX(Mapping!$E$3:$E$6,MATCH($G2053,Mapping!$D$3:$D$6,0)),IFERROR(INDEX(Mapping!$B$3:$B$13,MATCH($J2053,Mapping!$A$3:$A$13,0)),"(unmapped)")),IFERROR(INDEX(Mapping!$B$17:$B$22,MATCH($F2053,Mapping!$A$17:$A$22,0)),$F2053)&amp;" "&amp;IF($G2053="Banking","Banking",IFERROR(INDEX(Mapping!$E$17:$E$28,MATCH($J2053,Mapping!$D$17:$D$28,0)),"(unmapped)")))))</f>
        <v/>
      </c>
    </row>
    <row r="2054" spans="11:11" x14ac:dyDescent="0.3">
      <c r="K2054" t="str">
        <f>IF($D2054="","",IFERROR(INDEX(Mapping!$H$3:$H$32,MATCH($B2054,Mapping!$G$3:$G$32,0)),IF(LEFT($F2054,3)="P2P",IFERROR(INDEX(Mapping!$E$3:$E$6,MATCH($G2054,Mapping!$D$3:$D$6,0)),IFERROR(INDEX(Mapping!$B$3:$B$13,MATCH($J2054,Mapping!$A$3:$A$13,0)),"(unmapped)")),IFERROR(INDEX(Mapping!$B$17:$B$22,MATCH($F2054,Mapping!$A$17:$A$22,0)),$F2054)&amp;" "&amp;IF($G2054="Banking","Banking",IFERROR(INDEX(Mapping!$E$17:$E$28,MATCH($J2054,Mapping!$D$17:$D$28,0)),"(unmapped)")))))</f>
        <v/>
      </c>
    </row>
    <row r="2055" spans="11:11" x14ac:dyDescent="0.3">
      <c r="K2055" t="str">
        <f>IF($D2055="","",IFERROR(INDEX(Mapping!$H$3:$H$32,MATCH($B2055,Mapping!$G$3:$G$32,0)),IF(LEFT($F2055,3)="P2P",IFERROR(INDEX(Mapping!$E$3:$E$6,MATCH($G2055,Mapping!$D$3:$D$6,0)),IFERROR(INDEX(Mapping!$B$3:$B$13,MATCH($J2055,Mapping!$A$3:$A$13,0)),"(unmapped)")),IFERROR(INDEX(Mapping!$B$17:$B$22,MATCH($F2055,Mapping!$A$17:$A$22,0)),$F2055)&amp;" "&amp;IF($G2055="Banking","Banking",IFERROR(INDEX(Mapping!$E$17:$E$28,MATCH($J2055,Mapping!$D$17:$D$28,0)),"(unmapped)")))))</f>
        <v/>
      </c>
    </row>
    <row r="2056" spans="11:11" x14ac:dyDescent="0.3">
      <c r="K2056" t="str">
        <f>IF($D2056="","",IFERROR(INDEX(Mapping!$H$3:$H$32,MATCH($B2056,Mapping!$G$3:$G$32,0)),IF(LEFT($F2056,3)="P2P",IFERROR(INDEX(Mapping!$E$3:$E$6,MATCH($G2056,Mapping!$D$3:$D$6,0)),IFERROR(INDEX(Mapping!$B$3:$B$13,MATCH($J2056,Mapping!$A$3:$A$13,0)),"(unmapped)")),IFERROR(INDEX(Mapping!$B$17:$B$22,MATCH($F2056,Mapping!$A$17:$A$22,0)),$F2056)&amp;" "&amp;IF($G2056="Banking","Banking",IFERROR(INDEX(Mapping!$E$17:$E$28,MATCH($J2056,Mapping!$D$17:$D$28,0)),"(unmapped)")))))</f>
        <v/>
      </c>
    </row>
    <row r="2057" spans="11:11" x14ac:dyDescent="0.3">
      <c r="K2057" t="str">
        <f>IF($D2057="","",IFERROR(INDEX(Mapping!$H$3:$H$32,MATCH($B2057,Mapping!$G$3:$G$32,0)),IF(LEFT($F2057,3)="P2P",IFERROR(INDEX(Mapping!$E$3:$E$6,MATCH($G2057,Mapping!$D$3:$D$6,0)),IFERROR(INDEX(Mapping!$B$3:$B$13,MATCH($J2057,Mapping!$A$3:$A$13,0)),"(unmapped)")),IFERROR(INDEX(Mapping!$B$17:$B$22,MATCH($F2057,Mapping!$A$17:$A$22,0)),$F2057)&amp;" "&amp;IF($G2057="Banking","Banking",IFERROR(INDEX(Mapping!$E$17:$E$28,MATCH($J2057,Mapping!$D$17:$D$28,0)),"(unmapped)")))))</f>
        <v/>
      </c>
    </row>
    <row r="2058" spans="11:11" x14ac:dyDescent="0.3">
      <c r="K2058" t="str">
        <f>IF($D2058="","",IFERROR(INDEX(Mapping!$H$3:$H$32,MATCH($B2058,Mapping!$G$3:$G$32,0)),IF(LEFT($F2058,3)="P2P",IFERROR(INDEX(Mapping!$E$3:$E$6,MATCH($G2058,Mapping!$D$3:$D$6,0)),IFERROR(INDEX(Mapping!$B$3:$B$13,MATCH($J2058,Mapping!$A$3:$A$13,0)),"(unmapped)")),IFERROR(INDEX(Mapping!$B$17:$B$22,MATCH($F2058,Mapping!$A$17:$A$22,0)),$F2058)&amp;" "&amp;IF($G2058="Banking","Banking",IFERROR(INDEX(Mapping!$E$17:$E$28,MATCH($J2058,Mapping!$D$17:$D$28,0)),"(unmapped)")))))</f>
        <v/>
      </c>
    </row>
    <row r="2059" spans="11:11" x14ac:dyDescent="0.3">
      <c r="K2059" t="str">
        <f>IF($D2059="","",IFERROR(INDEX(Mapping!$H$3:$H$32,MATCH($B2059,Mapping!$G$3:$G$32,0)),IF(LEFT($F2059,3)="P2P",IFERROR(INDEX(Mapping!$E$3:$E$6,MATCH($G2059,Mapping!$D$3:$D$6,0)),IFERROR(INDEX(Mapping!$B$3:$B$13,MATCH($J2059,Mapping!$A$3:$A$13,0)),"(unmapped)")),IFERROR(INDEX(Mapping!$B$17:$B$22,MATCH($F2059,Mapping!$A$17:$A$22,0)),$F2059)&amp;" "&amp;IF($G2059="Banking","Banking",IFERROR(INDEX(Mapping!$E$17:$E$28,MATCH($J2059,Mapping!$D$17:$D$28,0)),"(unmapped)")))))</f>
        <v/>
      </c>
    </row>
    <row r="2060" spans="11:11" x14ac:dyDescent="0.3">
      <c r="K2060" t="str">
        <f>IF($D2060="","",IFERROR(INDEX(Mapping!$H$3:$H$32,MATCH($B2060,Mapping!$G$3:$G$32,0)),IF(LEFT($F2060,3)="P2P",IFERROR(INDEX(Mapping!$E$3:$E$6,MATCH($G2060,Mapping!$D$3:$D$6,0)),IFERROR(INDEX(Mapping!$B$3:$B$13,MATCH($J2060,Mapping!$A$3:$A$13,0)),"(unmapped)")),IFERROR(INDEX(Mapping!$B$17:$B$22,MATCH($F2060,Mapping!$A$17:$A$22,0)),$F2060)&amp;" "&amp;IF($G2060="Banking","Banking",IFERROR(INDEX(Mapping!$E$17:$E$28,MATCH($J2060,Mapping!$D$17:$D$28,0)),"(unmapped)")))))</f>
        <v/>
      </c>
    </row>
    <row r="2061" spans="11:11" x14ac:dyDescent="0.3">
      <c r="K2061" t="str">
        <f>IF($D2061="","",IFERROR(INDEX(Mapping!$H$3:$H$32,MATCH($B2061,Mapping!$G$3:$G$32,0)),IF(LEFT($F2061,3)="P2P",IFERROR(INDEX(Mapping!$E$3:$E$6,MATCH($G2061,Mapping!$D$3:$D$6,0)),IFERROR(INDEX(Mapping!$B$3:$B$13,MATCH($J2061,Mapping!$A$3:$A$13,0)),"(unmapped)")),IFERROR(INDEX(Mapping!$B$17:$B$22,MATCH($F2061,Mapping!$A$17:$A$22,0)),$F2061)&amp;" "&amp;IF($G2061="Banking","Banking",IFERROR(INDEX(Mapping!$E$17:$E$28,MATCH($J2061,Mapping!$D$17:$D$28,0)),"(unmapped)")))))</f>
        <v/>
      </c>
    </row>
    <row r="2062" spans="11:11" x14ac:dyDescent="0.3">
      <c r="K2062" t="str">
        <f>IF($D2062="","",IFERROR(INDEX(Mapping!$H$3:$H$32,MATCH($B2062,Mapping!$G$3:$G$32,0)),IF(LEFT($F2062,3)="P2P",IFERROR(INDEX(Mapping!$E$3:$E$6,MATCH($G2062,Mapping!$D$3:$D$6,0)),IFERROR(INDEX(Mapping!$B$3:$B$13,MATCH($J2062,Mapping!$A$3:$A$13,0)),"(unmapped)")),IFERROR(INDEX(Mapping!$B$17:$B$22,MATCH($F2062,Mapping!$A$17:$A$22,0)),$F2062)&amp;" "&amp;IF($G2062="Banking","Banking",IFERROR(INDEX(Mapping!$E$17:$E$28,MATCH($J2062,Mapping!$D$17:$D$28,0)),"(unmapped)")))))</f>
        <v/>
      </c>
    </row>
    <row r="2063" spans="11:11" x14ac:dyDescent="0.3">
      <c r="K2063" t="str">
        <f>IF($D2063="","",IFERROR(INDEX(Mapping!$H$3:$H$32,MATCH($B2063,Mapping!$G$3:$G$32,0)),IF(LEFT($F2063,3)="P2P",IFERROR(INDEX(Mapping!$E$3:$E$6,MATCH($G2063,Mapping!$D$3:$D$6,0)),IFERROR(INDEX(Mapping!$B$3:$B$13,MATCH($J2063,Mapping!$A$3:$A$13,0)),"(unmapped)")),IFERROR(INDEX(Mapping!$B$17:$B$22,MATCH($F2063,Mapping!$A$17:$A$22,0)),$F2063)&amp;" "&amp;IF($G2063="Banking","Banking",IFERROR(INDEX(Mapping!$E$17:$E$28,MATCH($J2063,Mapping!$D$17:$D$28,0)),"(unmapped)")))))</f>
        <v/>
      </c>
    </row>
    <row r="2064" spans="11:11" x14ac:dyDescent="0.3">
      <c r="K2064" t="str">
        <f>IF($D2064="","",IFERROR(INDEX(Mapping!$H$3:$H$32,MATCH($B2064,Mapping!$G$3:$G$32,0)),IF(LEFT($F2064,3)="P2P",IFERROR(INDEX(Mapping!$E$3:$E$6,MATCH($G2064,Mapping!$D$3:$D$6,0)),IFERROR(INDEX(Mapping!$B$3:$B$13,MATCH($J2064,Mapping!$A$3:$A$13,0)),"(unmapped)")),IFERROR(INDEX(Mapping!$B$17:$B$22,MATCH($F2064,Mapping!$A$17:$A$22,0)),$F2064)&amp;" "&amp;IF($G2064="Banking","Banking",IFERROR(INDEX(Mapping!$E$17:$E$28,MATCH($J2064,Mapping!$D$17:$D$28,0)),"(unmapped)")))))</f>
        <v/>
      </c>
    </row>
    <row r="2065" spans="11:11" x14ac:dyDescent="0.3">
      <c r="K2065" t="str">
        <f>IF($D2065="","",IFERROR(INDEX(Mapping!$H$3:$H$32,MATCH($B2065,Mapping!$G$3:$G$32,0)),IF(LEFT($F2065,3)="P2P",IFERROR(INDEX(Mapping!$E$3:$E$6,MATCH($G2065,Mapping!$D$3:$D$6,0)),IFERROR(INDEX(Mapping!$B$3:$B$13,MATCH($J2065,Mapping!$A$3:$A$13,0)),"(unmapped)")),IFERROR(INDEX(Mapping!$B$17:$B$22,MATCH($F2065,Mapping!$A$17:$A$22,0)),$F2065)&amp;" "&amp;IF($G2065="Banking","Banking",IFERROR(INDEX(Mapping!$E$17:$E$28,MATCH($J2065,Mapping!$D$17:$D$28,0)),"(unmapped)")))))</f>
        <v/>
      </c>
    </row>
    <row r="2066" spans="11:11" x14ac:dyDescent="0.3">
      <c r="K2066" t="str">
        <f>IF($D2066="","",IFERROR(INDEX(Mapping!$H$3:$H$32,MATCH($B2066,Mapping!$G$3:$G$32,0)),IF(LEFT($F2066,3)="P2P",IFERROR(INDEX(Mapping!$E$3:$E$6,MATCH($G2066,Mapping!$D$3:$D$6,0)),IFERROR(INDEX(Mapping!$B$3:$B$13,MATCH($J2066,Mapping!$A$3:$A$13,0)),"(unmapped)")),IFERROR(INDEX(Mapping!$B$17:$B$22,MATCH($F2066,Mapping!$A$17:$A$22,0)),$F2066)&amp;" "&amp;IF($G2066="Banking","Banking",IFERROR(INDEX(Mapping!$E$17:$E$28,MATCH($J2066,Mapping!$D$17:$D$28,0)),"(unmapped)")))))</f>
        <v/>
      </c>
    </row>
    <row r="2067" spans="11:11" x14ac:dyDescent="0.3">
      <c r="K2067" t="str">
        <f>IF($D2067="","",IFERROR(INDEX(Mapping!$H$3:$H$32,MATCH($B2067,Mapping!$G$3:$G$32,0)),IF(LEFT($F2067,3)="P2P",IFERROR(INDEX(Mapping!$E$3:$E$6,MATCH($G2067,Mapping!$D$3:$D$6,0)),IFERROR(INDEX(Mapping!$B$3:$B$13,MATCH($J2067,Mapping!$A$3:$A$13,0)),"(unmapped)")),IFERROR(INDEX(Mapping!$B$17:$B$22,MATCH($F2067,Mapping!$A$17:$A$22,0)),$F2067)&amp;" "&amp;IF($G2067="Banking","Banking",IFERROR(INDEX(Mapping!$E$17:$E$28,MATCH($J2067,Mapping!$D$17:$D$28,0)),"(unmapped)")))))</f>
        <v/>
      </c>
    </row>
    <row r="2068" spans="11:11" x14ac:dyDescent="0.3">
      <c r="K2068" t="str">
        <f>IF($D2068="","",IFERROR(INDEX(Mapping!$H$3:$H$32,MATCH($B2068,Mapping!$G$3:$G$32,0)),IF(LEFT($F2068,3)="P2P",IFERROR(INDEX(Mapping!$E$3:$E$6,MATCH($G2068,Mapping!$D$3:$D$6,0)),IFERROR(INDEX(Mapping!$B$3:$B$13,MATCH($J2068,Mapping!$A$3:$A$13,0)),"(unmapped)")),IFERROR(INDEX(Mapping!$B$17:$B$22,MATCH($F2068,Mapping!$A$17:$A$22,0)),$F2068)&amp;" "&amp;IF($G2068="Banking","Banking",IFERROR(INDEX(Mapping!$E$17:$E$28,MATCH($J2068,Mapping!$D$17:$D$28,0)),"(unmapped)")))))</f>
        <v/>
      </c>
    </row>
    <row r="2069" spans="11:11" x14ac:dyDescent="0.3">
      <c r="K2069" t="str">
        <f>IF($D2069="","",IFERROR(INDEX(Mapping!$H$3:$H$32,MATCH($B2069,Mapping!$G$3:$G$32,0)),IF(LEFT($F2069,3)="P2P",IFERROR(INDEX(Mapping!$E$3:$E$6,MATCH($G2069,Mapping!$D$3:$D$6,0)),IFERROR(INDEX(Mapping!$B$3:$B$13,MATCH($J2069,Mapping!$A$3:$A$13,0)),"(unmapped)")),IFERROR(INDEX(Mapping!$B$17:$B$22,MATCH($F2069,Mapping!$A$17:$A$22,0)),$F2069)&amp;" "&amp;IF($G2069="Banking","Banking",IFERROR(INDEX(Mapping!$E$17:$E$28,MATCH($J2069,Mapping!$D$17:$D$28,0)),"(unmapped)")))))</f>
        <v/>
      </c>
    </row>
    <row r="2070" spans="11:11" x14ac:dyDescent="0.3">
      <c r="K2070" t="str">
        <f>IF($D2070="","",IFERROR(INDEX(Mapping!$H$3:$H$32,MATCH($B2070,Mapping!$G$3:$G$32,0)),IF(LEFT($F2070,3)="P2P",IFERROR(INDEX(Mapping!$E$3:$E$6,MATCH($G2070,Mapping!$D$3:$D$6,0)),IFERROR(INDEX(Mapping!$B$3:$B$13,MATCH($J2070,Mapping!$A$3:$A$13,0)),"(unmapped)")),IFERROR(INDEX(Mapping!$B$17:$B$22,MATCH($F2070,Mapping!$A$17:$A$22,0)),$F2070)&amp;" "&amp;IF($G2070="Banking","Banking",IFERROR(INDEX(Mapping!$E$17:$E$28,MATCH($J2070,Mapping!$D$17:$D$28,0)),"(unmapped)")))))</f>
        <v/>
      </c>
    </row>
    <row r="2071" spans="11:11" x14ac:dyDescent="0.3">
      <c r="K2071" t="str">
        <f>IF($D2071="","",IFERROR(INDEX(Mapping!$H$3:$H$32,MATCH($B2071,Mapping!$G$3:$G$32,0)),IF(LEFT($F2071,3)="P2P",IFERROR(INDEX(Mapping!$E$3:$E$6,MATCH($G2071,Mapping!$D$3:$D$6,0)),IFERROR(INDEX(Mapping!$B$3:$B$13,MATCH($J2071,Mapping!$A$3:$A$13,0)),"(unmapped)")),IFERROR(INDEX(Mapping!$B$17:$B$22,MATCH($F2071,Mapping!$A$17:$A$22,0)),$F2071)&amp;" "&amp;IF($G2071="Banking","Banking",IFERROR(INDEX(Mapping!$E$17:$E$28,MATCH($J2071,Mapping!$D$17:$D$28,0)),"(unmapped)")))))</f>
        <v/>
      </c>
    </row>
    <row r="2072" spans="11:11" x14ac:dyDescent="0.3">
      <c r="K2072" t="str">
        <f>IF($D2072="","",IFERROR(INDEX(Mapping!$H$3:$H$32,MATCH($B2072,Mapping!$G$3:$G$32,0)),IF(LEFT($F2072,3)="P2P",IFERROR(INDEX(Mapping!$E$3:$E$6,MATCH($G2072,Mapping!$D$3:$D$6,0)),IFERROR(INDEX(Mapping!$B$3:$B$13,MATCH($J2072,Mapping!$A$3:$A$13,0)),"(unmapped)")),IFERROR(INDEX(Mapping!$B$17:$B$22,MATCH($F2072,Mapping!$A$17:$A$22,0)),$F2072)&amp;" "&amp;IF($G2072="Banking","Banking",IFERROR(INDEX(Mapping!$E$17:$E$28,MATCH($J2072,Mapping!$D$17:$D$28,0)),"(unmapped)")))))</f>
        <v/>
      </c>
    </row>
    <row r="2073" spans="11:11" x14ac:dyDescent="0.3">
      <c r="K2073" t="str">
        <f>IF($D2073="","",IFERROR(INDEX(Mapping!$H$3:$H$32,MATCH($B2073,Mapping!$G$3:$G$32,0)),IF(LEFT($F2073,3)="P2P",IFERROR(INDEX(Mapping!$E$3:$E$6,MATCH($G2073,Mapping!$D$3:$D$6,0)),IFERROR(INDEX(Mapping!$B$3:$B$13,MATCH($J2073,Mapping!$A$3:$A$13,0)),"(unmapped)")),IFERROR(INDEX(Mapping!$B$17:$B$22,MATCH($F2073,Mapping!$A$17:$A$22,0)),$F2073)&amp;" "&amp;IF($G2073="Banking","Banking",IFERROR(INDEX(Mapping!$E$17:$E$28,MATCH($J2073,Mapping!$D$17:$D$28,0)),"(unmapped)")))))</f>
        <v/>
      </c>
    </row>
    <row r="2074" spans="11:11" x14ac:dyDescent="0.3">
      <c r="K2074" t="str">
        <f>IF($D2074="","",IFERROR(INDEX(Mapping!$H$3:$H$32,MATCH($B2074,Mapping!$G$3:$G$32,0)),IF(LEFT($F2074,3)="P2P",IFERROR(INDEX(Mapping!$E$3:$E$6,MATCH($G2074,Mapping!$D$3:$D$6,0)),IFERROR(INDEX(Mapping!$B$3:$B$13,MATCH($J2074,Mapping!$A$3:$A$13,0)),"(unmapped)")),IFERROR(INDEX(Mapping!$B$17:$B$22,MATCH($F2074,Mapping!$A$17:$A$22,0)),$F2074)&amp;" "&amp;IF($G2074="Banking","Banking",IFERROR(INDEX(Mapping!$E$17:$E$28,MATCH($J2074,Mapping!$D$17:$D$28,0)),"(unmapped)")))))</f>
        <v/>
      </c>
    </row>
    <row r="2075" spans="11:11" x14ac:dyDescent="0.3">
      <c r="K2075" t="str">
        <f>IF($D2075="","",IFERROR(INDEX(Mapping!$H$3:$H$32,MATCH($B2075,Mapping!$G$3:$G$32,0)),IF(LEFT($F2075,3)="P2P",IFERROR(INDEX(Mapping!$E$3:$E$6,MATCH($G2075,Mapping!$D$3:$D$6,0)),IFERROR(INDEX(Mapping!$B$3:$B$13,MATCH($J2075,Mapping!$A$3:$A$13,0)),"(unmapped)")),IFERROR(INDEX(Mapping!$B$17:$B$22,MATCH($F2075,Mapping!$A$17:$A$22,0)),$F2075)&amp;" "&amp;IF($G2075="Banking","Banking",IFERROR(INDEX(Mapping!$E$17:$E$28,MATCH($J2075,Mapping!$D$17:$D$28,0)),"(unmapped)")))))</f>
        <v/>
      </c>
    </row>
    <row r="2076" spans="11:11" x14ac:dyDescent="0.3">
      <c r="K2076" t="str">
        <f>IF($D2076="","",IFERROR(INDEX(Mapping!$H$3:$H$32,MATCH($B2076,Mapping!$G$3:$G$32,0)),IF(LEFT($F2076,3)="P2P",IFERROR(INDEX(Mapping!$E$3:$E$6,MATCH($G2076,Mapping!$D$3:$D$6,0)),IFERROR(INDEX(Mapping!$B$3:$B$13,MATCH($J2076,Mapping!$A$3:$A$13,0)),"(unmapped)")),IFERROR(INDEX(Mapping!$B$17:$B$22,MATCH($F2076,Mapping!$A$17:$A$22,0)),$F2076)&amp;" "&amp;IF($G2076="Banking","Banking",IFERROR(INDEX(Mapping!$E$17:$E$28,MATCH($J2076,Mapping!$D$17:$D$28,0)),"(unmapped)")))))</f>
        <v/>
      </c>
    </row>
    <row r="2077" spans="11:11" x14ac:dyDescent="0.3">
      <c r="K2077" t="str">
        <f>IF($D2077="","",IFERROR(INDEX(Mapping!$H$3:$H$32,MATCH($B2077,Mapping!$G$3:$G$32,0)),IF(LEFT($F2077,3)="P2P",IFERROR(INDEX(Mapping!$E$3:$E$6,MATCH($G2077,Mapping!$D$3:$D$6,0)),IFERROR(INDEX(Mapping!$B$3:$B$13,MATCH($J2077,Mapping!$A$3:$A$13,0)),"(unmapped)")),IFERROR(INDEX(Mapping!$B$17:$B$22,MATCH($F2077,Mapping!$A$17:$A$22,0)),$F2077)&amp;" "&amp;IF($G2077="Banking","Banking",IFERROR(INDEX(Mapping!$E$17:$E$28,MATCH($J2077,Mapping!$D$17:$D$28,0)),"(unmapped)")))))</f>
        <v/>
      </c>
    </row>
    <row r="2078" spans="11:11" x14ac:dyDescent="0.3">
      <c r="K2078" t="str">
        <f>IF($D2078="","",IFERROR(INDEX(Mapping!$H$3:$H$32,MATCH($B2078,Mapping!$G$3:$G$32,0)),IF(LEFT($F2078,3)="P2P",IFERROR(INDEX(Mapping!$E$3:$E$6,MATCH($G2078,Mapping!$D$3:$D$6,0)),IFERROR(INDEX(Mapping!$B$3:$B$13,MATCH($J2078,Mapping!$A$3:$A$13,0)),"(unmapped)")),IFERROR(INDEX(Mapping!$B$17:$B$22,MATCH($F2078,Mapping!$A$17:$A$22,0)),$F2078)&amp;" "&amp;IF($G2078="Banking","Banking",IFERROR(INDEX(Mapping!$E$17:$E$28,MATCH($J2078,Mapping!$D$17:$D$28,0)),"(unmapped)")))))</f>
        <v/>
      </c>
    </row>
    <row r="2079" spans="11:11" x14ac:dyDescent="0.3">
      <c r="K2079" t="str">
        <f>IF($D2079="","",IFERROR(INDEX(Mapping!$H$3:$H$32,MATCH($B2079,Mapping!$G$3:$G$32,0)),IF(LEFT($F2079,3)="P2P",IFERROR(INDEX(Mapping!$E$3:$E$6,MATCH($G2079,Mapping!$D$3:$D$6,0)),IFERROR(INDEX(Mapping!$B$3:$B$13,MATCH($J2079,Mapping!$A$3:$A$13,0)),"(unmapped)")),IFERROR(INDEX(Mapping!$B$17:$B$22,MATCH($F2079,Mapping!$A$17:$A$22,0)),$F2079)&amp;" "&amp;IF($G2079="Banking","Banking",IFERROR(INDEX(Mapping!$E$17:$E$28,MATCH($J2079,Mapping!$D$17:$D$28,0)),"(unmapped)")))))</f>
        <v/>
      </c>
    </row>
    <row r="2080" spans="11:11" x14ac:dyDescent="0.3">
      <c r="K2080" t="str">
        <f>IF($D2080="","",IFERROR(INDEX(Mapping!$H$3:$H$32,MATCH($B2080,Mapping!$G$3:$G$32,0)),IF(LEFT($F2080,3)="P2P",IFERROR(INDEX(Mapping!$E$3:$E$6,MATCH($G2080,Mapping!$D$3:$D$6,0)),IFERROR(INDEX(Mapping!$B$3:$B$13,MATCH($J2080,Mapping!$A$3:$A$13,0)),"(unmapped)")),IFERROR(INDEX(Mapping!$B$17:$B$22,MATCH($F2080,Mapping!$A$17:$A$22,0)),$F2080)&amp;" "&amp;IF($G2080="Banking","Banking",IFERROR(INDEX(Mapping!$E$17:$E$28,MATCH($J2080,Mapping!$D$17:$D$28,0)),"(unmapped)")))))</f>
        <v/>
      </c>
    </row>
    <row r="2081" spans="11:11" x14ac:dyDescent="0.3">
      <c r="K2081" t="str">
        <f>IF($D2081="","",IFERROR(INDEX(Mapping!$H$3:$H$32,MATCH($B2081,Mapping!$G$3:$G$32,0)),IF(LEFT($F2081,3)="P2P",IFERROR(INDEX(Mapping!$E$3:$E$6,MATCH($G2081,Mapping!$D$3:$D$6,0)),IFERROR(INDEX(Mapping!$B$3:$B$13,MATCH($J2081,Mapping!$A$3:$A$13,0)),"(unmapped)")),IFERROR(INDEX(Mapping!$B$17:$B$22,MATCH($F2081,Mapping!$A$17:$A$22,0)),$F2081)&amp;" "&amp;IF($G2081="Banking","Banking",IFERROR(INDEX(Mapping!$E$17:$E$28,MATCH($J2081,Mapping!$D$17:$D$28,0)),"(unmapped)")))))</f>
        <v/>
      </c>
    </row>
    <row r="2082" spans="11:11" x14ac:dyDescent="0.3">
      <c r="K2082" t="str">
        <f>IF($D2082="","",IFERROR(INDEX(Mapping!$H$3:$H$32,MATCH($B2082,Mapping!$G$3:$G$32,0)),IF(LEFT($F2082,3)="P2P",IFERROR(INDEX(Mapping!$E$3:$E$6,MATCH($G2082,Mapping!$D$3:$D$6,0)),IFERROR(INDEX(Mapping!$B$3:$B$13,MATCH($J2082,Mapping!$A$3:$A$13,0)),"(unmapped)")),IFERROR(INDEX(Mapping!$B$17:$B$22,MATCH($F2082,Mapping!$A$17:$A$22,0)),$F2082)&amp;" "&amp;IF($G2082="Banking","Banking",IFERROR(INDEX(Mapping!$E$17:$E$28,MATCH($J2082,Mapping!$D$17:$D$28,0)),"(unmapped)")))))</f>
        <v/>
      </c>
    </row>
    <row r="2083" spans="11:11" x14ac:dyDescent="0.3">
      <c r="K2083" t="str">
        <f>IF($D2083="","",IFERROR(INDEX(Mapping!$H$3:$H$32,MATCH($B2083,Mapping!$G$3:$G$32,0)),IF(LEFT($F2083,3)="P2P",IFERROR(INDEX(Mapping!$E$3:$E$6,MATCH($G2083,Mapping!$D$3:$D$6,0)),IFERROR(INDEX(Mapping!$B$3:$B$13,MATCH($J2083,Mapping!$A$3:$A$13,0)),"(unmapped)")),IFERROR(INDEX(Mapping!$B$17:$B$22,MATCH($F2083,Mapping!$A$17:$A$22,0)),$F2083)&amp;" "&amp;IF($G2083="Banking","Banking",IFERROR(INDEX(Mapping!$E$17:$E$28,MATCH($J2083,Mapping!$D$17:$D$28,0)),"(unmapped)")))))</f>
        <v/>
      </c>
    </row>
    <row r="2084" spans="11:11" x14ac:dyDescent="0.3">
      <c r="K2084" t="str">
        <f>IF($D2084="","",IFERROR(INDEX(Mapping!$H$3:$H$32,MATCH($B2084,Mapping!$G$3:$G$32,0)),IF(LEFT($F2084,3)="P2P",IFERROR(INDEX(Mapping!$E$3:$E$6,MATCH($G2084,Mapping!$D$3:$D$6,0)),IFERROR(INDEX(Mapping!$B$3:$B$13,MATCH($J2084,Mapping!$A$3:$A$13,0)),"(unmapped)")),IFERROR(INDEX(Mapping!$B$17:$B$22,MATCH($F2084,Mapping!$A$17:$A$22,0)),$F2084)&amp;" "&amp;IF($G2084="Banking","Banking",IFERROR(INDEX(Mapping!$E$17:$E$28,MATCH($J2084,Mapping!$D$17:$D$28,0)),"(unmapped)")))))</f>
        <v/>
      </c>
    </row>
    <row r="2085" spans="11:11" x14ac:dyDescent="0.3">
      <c r="K2085" t="str">
        <f>IF($D2085="","",IFERROR(INDEX(Mapping!$H$3:$H$32,MATCH($B2085,Mapping!$G$3:$G$32,0)),IF(LEFT($F2085,3)="P2P",IFERROR(INDEX(Mapping!$E$3:$E$6,MATCH($G2085,Mapping!$D$3:$D$6,0)),IFERROR(INDEX(Mapping!$B$3:$B$13,MATCH($J2085,Mapping!$A$3:$A$13,0)),"(unmapped)")),IFERROR(INDEX(Mapping!$B$17:$B$22,MATCH($F2085,Mapping!$A$17:$A$22,0)),$F2085)&amp;" "&amp;IF($G2085="Banking","Banking",IFERROR(INDEX(Mapping!$E$17:$E$28,MATCH($J2085,Mapping!$D$17:$D$28,0)),"(unmapped)")))))</f>
        <v/>
      </c>
    </row>
    <row r="2086" spans="11:11" x14ac:dyDescent="0.3">
      <c r="K2086" t="str">
        <f>IF($D2086="","",IFERROR(INDEX(Mapping!$H$3:$H$32,MATCH($B2086,Mapping!$G$3:$G$32,0)),IF(LEFT($F2086,3)="P2P",IFERROR(INDEX(Mapping!$E$3:$E$6,MATCH($G2086,Mapping!$D$3:$D$6,0)),IFERROR(INDEX(Mapping!$B$3:$B$13,MATCH($J2086,Mapping!$A$3:$A$13,0)),"(unmapped)")),IFERROR(INDEX(Mapping!$B$17:$B$22,MATCH($F2086,Mapping!$A$17:$A$22,0)),$F2086)&amp;" "&amp;IF($G2086="Banking","Banking",IFERROR(INDEX(Mapping!$E$17:$E$28,MATCH($J2086,Mapping!$D$17:$D$28,0)),"(unmapped)")))))</f>
        <v/>
      </c>
    </row>
    <row r="2087" spans="11:11" x14ac:dyDescent="0.3">
      <c r="K2087" t="str">
        <f>IF($D2087="","",IFERROR(INDEX(Mapping!$H$3:$H$32,MATCH($B2087,Mapping!$G$3:$G$32,0)),IF(LEFT($F2087,3)="P2P",IFERROR(INDEX(Mapping!$E$3:$E$6,MATCH($G2087,Mapping!$D$3:$D$6,0)),IFERROR(INDEX(Mapping!$B$3:$B$13,MATCH($J2087,Mapping!$A$3:$A$13,0)),"(unmapped)")),IFERROR(INDEX(Mapping!$B$17:$B$22,MATCH($F2087,Mapping!$A$17:$A$22,0)),$F2087)&amp;" "&amp;IF($G2087="Banking","Banking",IFERROR(INDEX(Mapping!$E$17:$E$28,MATCH($J2087,Mapping!$D$17:$D$28,0)),"(unmapped)")))))</f>
        <v/>
      </c>
    </row>
    <row r="2088" spans="11:11" x14ac:dyDescent="0.3">
      <c r="K2088" t="str">
        <f>IF($D2088="","",IFERROR(INDEX(Mapping!$H$3:$H$32,MATCH($B2088,Mapping!$G$3:$G$32,0)),IF(LEFT($F2088,3)="P2P",IFERROR(INDEX(Mapping!$E$3:$E$6,MATCH($G2088,Mapping!$D$3:$D$6,0)),IFERROR(INDEX(Mapping!$B$3:$B$13,MATCH($J2088,Mapping!$A$3:$A$13,0)),"(unmapped)")),IFERROR(INDEX(Mapping!$B$17:$B$22,MATCH($F2088,Mapping!$A$17:$A$22,0)),$F2088)&amp;" "&amp;IF($G2088="Banking","Banking",IFERROR(INDEX(Mapping!$E$17:$E$28,MATCH($J2088,Mapping!$D$17:$D$28,0)),"(unmapped)")))))</f>
        <v/>
      </c>
    </row>
    <row r="2089" spans="11:11" x14ac:dyDescent="0.3">
      <c r="K2089" t="str">
        <f>IF($D2089="","",IFERROR(INDEX(Mapping!$H$3:$H$32,MATCH($B2089,Mapping!$G$3:$G$32,0)),IF(LEFT($F2089,3)="P2P",IFERROR(INDEX(Mapping!$E$3:$E$6,MATCH($G2089,Mapping!$D$3:$D$6,0)),IFERROR(INDEX(Mapping!$B$3:$B$13,MATCH($J2089,Mapping!$A$3:$A$13,0)),"(unmapped)")),IFERROR(INDEX(Mapping!$B$17:$B$22,MATCH($F2089,Mapping!$A$17:$A$22,0)),$F2089)&amp;" "&amp;IF($G2089="Banking","Banking",IFERROR(INDEX(Mapping!$E$17:$E$28,MATCH($J2089,Mapping!$D$17:$D$28,0)),"(unmapped)")))))</f>
        <v/>
      </c>
    </row>
    <row r="2090" spans="11:11" x14ac:dyDescent="0.3">
      <c r="K2090" t="str">
        <f>IF($D2090="","",IFERROR(INDEX(Mapping!$H$3:$H$32,MATCH($B2090,Mapping!$G$3:$G$32,0)),IF(LEFT($F2090,3)="P2P",IFERROR(INDEX(Mapping!$E$3:$E$6,MATCH($G2090,Mapping!$D$3:$D$6,0)),IFERROR(INDEX(Mapping!$B$3:$B$13,MATCH($J2090,Mapping!$A$3:$A$13,0)),"(unmapped)")),IFERROR(INDEX(Mapping!$B$17:$B$22,MATCH($F2090,Mapping!$A$17:$A$22,0)),$F2090)&amp;" "&amp;IF($G2090="Banking","Banking",IFERROR(INDEX(Mapping!$E$17:$E$28,MATCH($J2090,Mapping!$D$17:$D$28,0)),"(unmapped)")))))</f>
        <v/>
      </c>
    </row>
    <row r="2091" spans="11:11" x14ac:dyDescent="0.3">
      <c r="K2091" t="str">
        <f>IF($D2091="","",IFERROR(INDEX(Mapping!$H$3:$H$32,MATCH($B2091,Mapping!$G$3:$G$32,0)),IF(LEFT($F2091,3)="P2P",IFERROR(INDEX(Mapping!$E$3:$E$6,MATCH($G2091,Mapping!$D$3:$D$6,0)),IFERROR(INDEX(Mapping!$B$3:$B$13,MATCH($J2091,Mapping!$A$3:$A$13,0)),"(unmapped)")),IFERROR(INDEX(Mapping!$B$17:$B$22,MATCH($F2091,Mapping!$A$17:$A$22,0)),$F2091)&amp;" "&amp;IF($G2091="Banking","Banking",IFERROR(INDEX(Mapping!$E$17:$E$28,MATCH($J2091,Mapping!$D$17:$D$28,0)),"(unmapped)")))))</f>
        <v/>
      </c>
    </row>
    <row r="2092" spans="11:11" x14ac:dyDescent="0.3">
      <c r="K2092" t="str">
        <f>IF($D2092="","",IFERROR(INDEX(Mapping!$H$3:$H$32,MATCH($B2092,Mapping!$G$3:$G$32,0)),IF(LEFT($F2092,3)="P2P",IFERROR(INDEX(Mapping!$E$3:$E$6,MATCH($G2092,Mapping!$D$3:$D$6,0)),IFERROR(INDEX(Mapping!$B$3:$B$13,MATCH($J2092,Mapping!$A$3:$A$13,0)),"(unmapped)")),IFERROR(INDEX(Mapping!$B$17:$B$22,MATCH($F2092,Mapping!$A$17:$A$22,0)),$F2092)&amp;" "&amp;IF($G2092="Banking","Banking",IFERROR(INDEX(Mapping!$E$17:$E$28,MATCH($J2092,Mapping!$D$17:$D$28,0)),"(unmapped)")))))</f>
        <v/>
      </c>
    </row>
    <row r="2093" spans="11:11" x14ac:dyDescent="0.3">
      <c r="K2093" t="str">
        <f>IF($D2093="","",IFERROR(INDEX(Mapping!$H$3:$H$32,MATCH($B2093,Mapping!$G$3:$G$32,0)),IF(LEFT($F2093,3)="P2P",IFERROR(INDEX(Mapping!$E$3:$E$6,MATCH($G2093,Mapping!$D$3:$D$6,0)),IFERROR(INDEX(Mapping!$B$3:$B$13,MATCH($J2093,Mapping!$A$3:$A$13,0)),"(unmapped)")),IFERROR(INDEX(Mapping!$B$17:$B$22,MATCH($F2093,Mapping!$A$17:$A$22,0)),$F2093)&amp;" "&amp;IF($G2093="Banking","Banking",IFERROR(INDEX(Mapping!$E$17:$E$28,MATCH($J2093,Mapping!$D$17:$D$28,0)),"(unmapped)")))))</f>
        <v/>
      </c>
    </row>
    <row r="2094" spans="11:11" x14ac:dyDescent="0.3">
      <c r="K2094" t="str">
        <f>IF($D2094="","",IFERROR(INDEX(Mapping!$H$3:$H$32,MATCH($B2094,Mapping!$G$3:$G$32,0)),IF(LEFT($F2094,3)="P2P",IFERROR(INDEX(Mapping!$E$3:$E$6,MATCH($G2094,Mapping!$D$3:$D$6,0)),IFERROR(INDEX(Mapping!$B$3:$B$13,MATCH($J2094,Mapping!$A$3:$A$13,0)),"(unmapped)")),IFERROR(INDEX(Mapping!$B$17:$B$22,MATCH($F2094,Mapping!$A$17:$A$22,0)),$F2094)&amp;" "&amp;IF($G2094="Banking","Banking",IFERROR(INDEX(Mapping!$E$17:$E$28,MATCH($J2094,Mapping!$D$17:$D$28,0)),"(unmapped)")))))</f>
        <v/>
      </c>
    </row>
    <row r="2095" spans="11:11" x14ac:dyDescent="0.3">
      <c r="K2095" t="str">
        <f>IF($D2095="","",IFERROR(INDEX(Mapping!$H$3:$H$32,MATCH($B2095,Mapping!$G$3:$G$32,0)),IF(LEFT($F2095,3)="P2P",IFERROR(INDEX(Mapping!$E$3:$E$6,MATCH($G2095,Mapping!$D$3:$D$6,0)),IFERROR(INDEX(Mapping!$B$3:$B$13,MATCH($J2095,Mapping!$A$3:$A$13,0)),"(unmapped)")),IFERROR(INDEX(Mapping!$B$17:$B$22,MATCH($F2095,Mapping!$A$17:$A$22,0)),$F2095)&amp;" "&amp;IF($G2095="Banking","Banking",IFERROR(INDEX(Mapping!$E$17:$E$28,MATCH($J2095,Mapping!$D$17:$D$28,0)),"(unmapped)")))))</f>
        <v/>
      </c>
    </row>
    <row r="2096" spans="11:11" x14ac:dyDescent="0.3">
      <c r="K2096" t="str">
        <f>IF($D2096="","",IFERROR(INDEX(Mapping!$H$3:$H$32,MATCH($B2096,Mapping!$G$3:$G$32,0)),IF(LEFT($F2096,3)="P2P",IFERROR(INDEX(Mapping!$E$3:$E$6,MATCH($G2096,Mapping!$D$3:$D$6,0)),IFERROR(INDEX(Mapping!$B$3:$B$13,MATCH($J2096,Mapping!$A$3:$A$13,0)),"(unmapped)")),IFERROR(INDEX(Mapping!$B$17:$B$22,MATCH($F2096,Mapping!$A$17:$A$22,0)),$F2096)&amp;" "&amp;IF($G2096="Banking","Banking",IFERROR(INDEX(Mapping!$E$17:$E$28,MATCH($J2096,Mapping!$D$17:$D$28,0)),"(unmapped)")))))</f>
        <v/>
      </c>
    </row>
    <row r="2097" spans="11:11" x14ac:dyDescent="0.3">
      <c r="K2097" t="str">
        <f>IF($D2097="","",IFERROR(INDEX(Mapping!$H$3:$H$32,MATCH($B2097,Mapping!$G$3:$G$32,0)),IF(LEFT($F2097,3)="P2P",IFERROR(INDEX(Mapping!$E$3:$E$6,MATCH($G2097,Mapping!$D$3:$D$6,0)),IFERROR(INDEX(Mapping!$B$3:$B$13,MATCH($J2097,Mapping!$A$3:$A$13,0)),"(unmapped)")),IFERROR(INDEX(Mapping!$B$17:$B$22,MATCH($F2097,Mapping!$A$17:$A$22,0)),$F2097)&amp;" "&amp;IF($G2097="Banking","Banking",IFERROR(INDEX(Mapping!$E$17:$E$28,MATCH($J2097,Mapping!$D$17:$D$28,0)),"(unmapped)")))))</f>
        <v/>
      </c>
    </row>
    <row r="2098" spans="11:11" x14ac:dyDescent="0.3">
      <c r="K2098" t="str">
        <f>IF($D2098="","",IFERROR(INDEX(Mapping!$H$3:$H$32,MATCH($B2098,Mapping!$G$3:$G$32,0)),IF(LEFT($F2098,3)="P2P",IFERROR(INDEX(Mapping!$E$3:$E$6,MATCH($G2098,Mapping!$D$3:$D$6,0)),IFERROR(INDEX(Mapping!$B$3:$B$13,MATCH($J2098,Mapping!$A$3:$A$13,0)),"(unmapped)")),IFERROR(INDEX(Mapping!$B$17:$B$22,MATCH($F2098,Mapping!$A$17:$A$22,0)),$F2098)&amp;" "&amp;IF($G2098="Banking","Banking",IFERROR(INDEX(Mapping!$E$17:$E$28,MATCH($J2098,Mapping!$D$17:$D$28,0)),"(unmapped)")))))</f>
        <v/>
      </c>
    </row>
    <row r="2099" spans="11:11" x14ac:dyDescent="0.3">
      <c r="K2099" t="str">
        <f>IF($D2099="","",IFERROR(INDEX(Mapping!$H$3:$H$32,MATCH($B2099,Mapping!$G$3:$G$32,0)),IF(LEFT($F2099,3)="P2P",IFERROR(INDEX(Mapping!$E$3:$E$6,MATCH($G2099,Mapping!$D$3:$D$6,0)),IFERROR(INDEX(Mapping!$B$3:$B$13,MATCH($J2099,Mapping!$A$3:$A$13,0)),"(unmapped)")),IFERROR(INDEX(Mapping!$B$17:$B$22,MATCH($F2099,Mapping!$A$17:$A$22,0)),$F2099)&amp;" "&amp;IF($G2099="Banking","Banking",IFERROR(INDEX(Mapping!$E$17:$E$28,MATCH($J2099,Mapping!$D$17:$D$28,0)),"(unmapped)")))))</f>
        <v/>
      </c>
    </row>
    <row r="2100" spans="11:11" x14ac:dyDescent="0.3">
      <c r="K2100" t="str">
        <f>IF($D2100="","",IFERROR(INDEX(Mapping!$H$3:$H$32,MATCH($B2100,Mapping!$G$3:$G$32,0)),IF(LEFT($F2100,3)="P2P",IFERROR(INDEX(Mapping!$E$3:$E$6,MATCH($G2100,Mapping!$D$3:$D$6,0)),IFERROR(INDEX(Mapping!$B$3:$B$13,MATCH($J2100,Mapping!$A$3:$A$13,0)),"(unmapped)")),IFERROR(INDEX(Mapping!$B$17:$B$22,MATCH($F2100,Mapping!$A$17:$A$22,0)),$F2100)&amp;" "&amp;IF($G2100="Banking","Banking",IFERROR(INDEX(Mapping!$E$17:$E$28,MATCH($J2100,Mapping!$D$17:$D$28,0)),"(unmapped)")))))</f>
        <v/>
      </c>
    </row>
    <row r="2101" spans="11:11" x14ac:dyDescent="0.3">
      <c r="K2101" t="str">
        <f>IF($D2101="","",IFERROR(INDEX(Mapping!$H$3:$H$32,MATCH($B2101,Mapping!$G$3:$G$32,0)),IF(LEFT($F2101,3)="P2P",IFERROR(INDEX(Mapping!$E$3:$E$6,MATCH($G2101,Mapping!$D$3:$D$6,0)),IFERROR(INDEX(Mapping!$B$3:$B$13,MATCH($J2101,Mapping!$A$3:$A$13,0)),"(unmapped)")),IFERROR(INDEX(Mapping!$B$17:$B$22,MATCH($F2101,Mapping!$A$17:$A$22,0)),$F2101)&amp;" "&amp;IF($G2101="Banking","Banking",IFERROR(INDEX(Mapping!$E$17:$E$28,MATCH($J2101,Mapping!$D$17:$D$28,0)),"(unmapped)")))))</f>
        <v/>
      </c>
    </row>
    <row r="2102" spans="11:11" x14ac:dyDescent="0.3">
      <c r="K2102" t="str">
        <f>IF($D2102="","",IFERROR(INDEX(Mapping!$H$3:$H$32,MATCH($B2102,Mapping!$G$3:$G$32,0)),IF(LEFT($F2102,3)="P2P",IFERROR(INDEX(Mapping!$E$3:$E$6,MATCH($G2102,Mapping!$D$3:$D$6,0)),IFERROR(INDEX(Mapping!$B$3:$B$13,MATCH($J2102,Mapping!$A$3:$A$13,0)),"(unmapped)")),IFERROR(INDEX(Mapping!$B$17:$B$22,MATCH($F2102,Mapping!$A$17:$A$22,0)),$F2102)&amp;" "&amp;IF($G2102="Banking","Banking",IFERROR(INDEX(Mapping!$E$17:$E$28,MATCH($J2102,Mapping!$D$17:$D$28,0)),"(unmapped)")))))</f>
        <v/>
      </c>
    </row>
    <row r="2103" spans="11:11" x14ac:dyDescent="0.3">
      <c r="K2103" t="str">
        <f>IF($D2103="","",IFERROR(INDEX(Mapping!$H$3:$H$32,MATCH($B2103,Mapping!$G$3:$G$32,0)),IF(LEFT($F2103,3)="P2P",IFERROR(INDEX(Mapping!$E$3:$E$6,MATCH($G2103,Mapping!$D$3:$D$6,0)),IFERROR(INDEX(Mapping!$B$3:$B$13,MATCH($J2103,Mapping!$A$3:$A$13,0)),"(unmapped)")),IFERROR(INDEX(Mapping!$B$17:$B$22,MATCH($F2103,Mapping!$A$17:$A$22,0)),$F2103)&amp;" "&amp;IF($G2103="Banking","Banking",IFERROR(INDEX(Mapping!$E$17:$E$28,MATCH($J2103,Mapping!$D$17:$D$28,0)),"(unmapped)")))))</f>
        <v/>
      </c>
    </row>
    <row r="2104" spans="11:11" x14ac:dyDescent="0.3">
      <c r="K2104" t="str">
        <f>IF($D2104="","",IFERROR(INDEX(Mapping!$H$3:$H$32,MATCH($B2104,Mapping!$G$3:$G$32,0)),IF(LEFT($F2104,3)="P2P",IFERROR(INDEX(Mapping!$E$3:$E$6,MATCH($G2104,Mapping!$D$3:$D$6,0)),IFERROR(INDEX(Mapping!$B$3:$B$13,MATCH($J2104,Mapping!$A$3:$A$13,0)),"(unmapped)")),IFERROR(INDEX(Mapping!$B$17:$B$22,MATCH($F2104,Mapping!$A$17:$A$22,0)),$F2104)&amp;" "&amp;IF($G2104="Banking","Banking",IFERROR(INDEX(Mapping!$E$17:$E$28,MATCH($J2104,Mapping!$D$17:$D$28,0)),"(unmapped)")))))</f>
        <v/>
      </c>
    </row>
    <row r="2105" spans="11:11" x14ac:dyDescent="0.3">
      <c r="K2105" t="str">
        <f>IF($D2105="","",IFERROR(INDEX(Mapping!$H$3:$H$32,MATCH($B2105,Mapping!$G$3:$G$32,0)),IF(LEFT($F2105,3)="P2P",IFERROR(INDEX(Mapping!$E$3:$E$6,MATCH($G2105,Mapping!$D$3:$D$6,0)),IFERROR(INDEX(Mapping!$B$3:$B$13,MATCH($J2105,Mapping!$A$3:$A$13,0)),"(unmapped)")),IFERROR(INDEX(Mapping!$B$17:$B$22,MATCH($F2105,Mapping!$A$17:$A$22,0)),$F2105)&amp;" "&amp;IF($G2105="Banking","Banking",IFERROR(INDEX(Mapping!$E$17:$E$28,MATCH($J2105,Mapping!$D$17:$D$28,0)),"(unmapped)")))))</f>
        <v/>
      </c>
    </row>
    <row r="2106" spans="11:11" x14ac:dyDescent="0.3">
      <c r="K2106" t="str">
        <f>IF($D2106="","",IFERROR(INDEX(Mapping!$H$3:$H$32,MATCH($B2106,Mapping!$G$3:$G$32,0)),IF(LEFT($F2106,3)="P2P",IFERROR(INDEX(Mapping!$E$3:$E$6,MATCH($G2106,Mapping!$D$3:$D$6,0)),IFERROR(INDEX(Mapping!$B$3:$B$13,MATCH($J2106,Mapping!$A$3:$A$13,0)),"(unmapped)")),IFERROR(INDEX(Mapping!$B$17:$B$22,MATCH($F2106,Mapping!$A$17:$A$22,0)),$F2106)&amp;" "&amp;IF($G2106="Banking","Banking",IFERROR(INDEX(Mapping!$E$17:$E$28,MATCH($J2106,Mapping!$D$17:$D$28,0)),"(unmapped)")))))</f>
        <v/>
      </c>
    </row>
    <row r="2107" spans="11:11" x14ac:dyDescent="0.3">
      <c r="K2107" t="str">
        <f>IF($D2107="","",IFERROR(INDEX(Mapping!$H$3:$H$32,MATCH($B2107,Mapping!$G$3:$G$32,0)),IF(LEFT($F2107,3)="P2P",IFERROR(INDEX(Mapping!$E$3:$E$6,MATCH($G2107,Mapping!$D$3:$D$6,0)),IFERROR(INDEX(Mapping!$B$3:$B$13,MATCH($J2107,Mapping!$A$3:$A$13,0)),"(unmapped)")),IFERROR(INDEX(Mapping!$B$17:$B$22,MATCH($F2107,Mapping!$A$17:$A$22,0)),$F2107)&amp;" "&amp;IF($G2107="Banking","Banking",IFERROR(INDEX(Mapping!$E$17:$E$28,MATCH($J2107,Mapping!$D$17:$D$28,0)),"(unmapped)")))))</f>
        <v/>
      </c>
    </row>
    <row r="2108" spans="11:11" x14ac:dyDescent="0.3">
      <c r="K2108" t="str">
        <f>IF($D2108="","",IFERROR(INDEX(Mapping!$H$3:$H$32,MATCH($B2108,Mapping!$G$3:$G$32,0)),IF(LEFT($F2108,3)="P2P",IFERROR(INDEX(Mapping!$E$3:$E$6,MATCH($G2108,Mapping!$D$3:$D$6,0)),IFERROR(INDEX(Mapping!$B$3:$B$13,MATCH($J2108,Mapping!$A$3:$A$13,0)),"(unmapped)")),IFERROR(INDEX(Mapping!$B$17:$B$22,MATCH($F2108,Mapping!$A$17:$A$22,0)),$F2108)&amp;" "&amp;IF($G2108="Banking","Banking",IFERROR(INDEX(Mapping!$E$17:$E$28,MATCH($J2108,Mapping!$D$17:$D$28,0)),"(unmapped)")))))</f>
        <v/>
      </c>
    </row>
    <row r="2109" spans="11:11" x14ac:dyDescent="0.3">
      <c r="K2109" t="str">
        <f>IF($D2109="","",IFERROR(INDEX(Mapping!$H$3:$H$32,MATCH($B2109,Mapping!$G$3:$G$32,0)),IF(LEFT($F2109,3)="P2P",IFERROR(INDEX(Mapping!$E$3:$E$6,MATCH($G2109,Mapping!$D$3:$D$6,0)),IFERROR(INDEX(Mapping!$B$3:$B$13,MATCH($J2109,Mapping!$A$3:$A$13,0)),"(unmapped)")),IFERROR(INDEX(Mapping!$B$17:$B$22,MATCH($F2109,Mapping!$A$17:$A$22,0)),$F2109)&amp;" "&amp;IF($G2109="Banking","Banking",IFERROR(INDEX(Mapping!$E$17:$E$28,MATCH($J2109,Mapping!$D$17:$D$28,0)),"(unmapped)")))))</f>
        <v/>
      </c>
    </row>
    <row r="2110" spans="11:11" x14ac:dyDescent="0.3">
      <c r="K2110" t="str">
        <f>IF($D2110="","",IFERROR(INDEX(Mapping!$H$3:$H$32,MATCH($B2110,Mapping!$G$3:$G$32,0)),IF(LEFT($F2110,3)="P2P",IFERROR(INDEX(Mapping!$E$3:$E$6,MATCH($G2110,Mapping!$D$3:$D$6,0)),IFERROR(INDEX(Mapping!$B$3:$B$13,MATCH($J2110,Mapping!$A$3:$A$13,0)),"(unmapped)")),IFERROR(INDEX(Mapping!$B$17:$B$22,MATCH($F2110,Mapping!$A$17:$A$22,0)),$F2110)&amp;" "&amp;IF($G2110="Banking","Banking",IFERROR(INDEX(Mapping!$E$17:$E$28,MATCH($J2110,Mapping!$D$17:$D$28,0)),"(unmapped)")))))</f>
        <v/>
      </c>
    </row>
    <row r="2111" spans="11:11" x14ac:dyDescent="0.3">
      <c r="K2111" t="str">
        <f>IF($D2111="","",IFERROR(INDEX(Mapping!$H$3:$H$32,MATCH($B2111,Mapping!$G$3:$G$32,0)),IF(LEFT($F2111,3)="P2P",IFERROR(INDEX(Mapping!$E$3:$E$6,MATCH($G2111,Mapping!$D$3:$D$6,0)),IFERROR(INDEX(Mapping!$B$3:$B$13,MATCH($J2111,Mapping!$A$3:$A$13,0)),"(unmapped)")),IFERROR(INDEX(Mapping!$B$17:$B$22,MATCH($F2111,Mapping!$A$17:$A$22,0)),$F2111)&amp;" "&amp;IF($G2111="Banking","Banking",IFERROR(INDEX(Mapping!$E$17:$E$28,MATCH($J2111,Mapping!$D$17:$D$28,0)),"(unmapped)")))))</f>
        <v/>
      </c>
    </row>
    <row r="2112" spans="11:11" x14ac:dyDescent="0.3">
      <c r="K2112" t="str">
        <f>IF($D2112="","",IFERROR(INDEX(Mapping!$H$3:$H$32,MATCH($B2112,Mapping!$G$3:$G$32,0)),IF(LEFT($F2112,3)="P2P",IFERROR(INDEX(Mapping!$E$3:$E$6,MATCH($G2112,Mapping!$D$3:$D$6,0)),IFERROR(INDEX(Mapping!$B$3:$B$13,MATCH($J2112,Mapping!$A$3:$A$13,0)),"(unmapped)")),IFERROR(INDEX(Mapping!$B$17:$B$22,MATCH($F2112,Mapping!$A$17:$A$22,0)),$F2112)&amp;" "&amp;IF($G2112="Banking","Banking",IFERROR(INDEX(Mapping!$E$17:$E$28,MATCH($J2112,Mapping!$D$17:$D$28,0)),"(unmapped)")))))</f>
        <v/>
      </c>
    </row>
    <row r="2113" spans="11:11" x14ac:dyDescent="0.3">
      <c r="K2113" t="str">
        <f>IF($D2113="","",IFERROR(INDEX(Mapping!$H$3:$H$32,MATCH($B2113,Mapping!$G$3:$G$32,0)),IF(LEFT($F2113,3)="P2P",IFERROR(INDEX(Mapping!$E$3:$E$6,MATCH($G2113,Mapping!$D$3:$D$6,0)),IFERROR(INDEX(Mapping!$B$3:$B$13,MATCH($J2113,Mapping!$A$3:$A$13,0)),"(unmapped)")),IFERROR(INDEX(Mapping!$B$17:$B$22,MATCH($F2113,Mapping!$A$17:$A$22,0)),$F2113)&amp;" "&amp;IF($G2113="Banking","Banking",IFERROR(INDEX(Mapping!$E$17:$E$28,MATCH($J2113,Mapping!$D$17:$D$28,0)),"(unmapped)")))))</f>
        <v/>
      </c>
    </row>
    <row r="2114" spans="11:11" x14ac:dyDescent="0.3">
      <c r="K2114" t="str">
        <f>IF($D2114="","",IFERROR(INDEX(Mapping!$H$3:$H$32,MATCH($B2114,Mapping!$G$3:$G$32,0)),IF(LEFT($F2114,3)="P2P",IFERROR(INDEX(Mapping!$E$3:$E$6,MATCH($G2114,Mapping!$D$3:$D$6,0)),IFERROR(INDEX(Mapping!$B$3:$B$13,MATCH($J2114,Mapping!$A$3:$A$13,0)),"(unmapped)")),IFERROR(INDEX(Mapping!$B$17:$B$22,MATCH($F2114,Mapping!$A$17:$A$22,0)),$F2114)&amp;" "&amp;IF($G2114="Banking","Banking",IFERROR(INDEX(Mapping!$E$17:$E$28,MATCH($J2114,Mapping!$D$17:$D$28,0)),"(unmapped)")))))</f>
        <v/>
      </c>
    </row>
    <row r="2115" spans="11:11" x14ac:dyDescent="0.3">
      <c r="K2115" t="str">
        <f>IF($D2115="","",IFERROR(INDEX(Mapping!$H$3:$H$32,MATCH($B2115,Mapping!$G$3:$G$32,0)),IF(LEFT($F2115,3)="P2P",IFERROR(INDEX(Mapping!$E$3:$E$6,MATCH($G2115,Mapping!$D$3:$D$6,0)),IFERROR(INDEX(Mapping!$B$3:$B$13,MATCH($J2115,Mapping!$A$3:$A$13,0)),"(unmapped)")),IFERROR(INDEX(Mapping!$B$17:$B$22,MATCH($F2115,Mapping!$A$17:$A$22,0)),$F2115)&amp;" "&amp;IF($G2115="Banking","Banking",IFERROR(INDEX(Mapping!$E$17:$E$28,MATCH($J2115,Mapping!$D$17:$D$28,0)),"(unmapped)")))))</f>
        <v/>
      </c>
    </row>
    <row r="2116" spans="11:11" x14ac:dyDescent="0.3">
      <c r="K2116" t="str">
        <f>IF($D2116="","",IFERROR(INDEX(Mapping!$H$3:$H$32,MATCH($B2116,Mapping!$G$3:$G$32,0)),IF(LEFT($F2116,3)="P2P",IFERROR(INDEX(Mapping!$E$3:$E$6,MATCH($G2116,Mapping!$D$3:$D$6,0)),IFERROR(INDEX(Mapping!$B$3:$B$13,MATCH($J2116,Mapping!$A$3:$A$13,0)),"(unmapped)")),IFERROR(INDEX(Mapping!$B$17:$B$22,MATCH($F2116,Mapping!$A$17:$A$22,0)),$F2116)&amp;" "&amp;IF($G2116="Banking","Banking",IFERROR(INDEX(Mapping!$E$17:$E$28,MATCH($J2116,Mapping!$D$17:$D$28,0)),"(unmapped)")))))</f>
        <v/>
      </c>
    </row>
    <row r="2117" spans="11:11" x14ac:dyDescent="0.3">
      <c r="K2117" t="str">
        <f>IF($D2117="","",IFERROR(INDEX(Mapping!$H$3:$H$32,MATCH($B2117,Mapping!$G$3:$G$32,0)),IF(LEFT($F2117,3)="P2P",IFERROR(INDEX(Mapping!$E$3:$E$6,MATCH($G2117,Mapping!$D$3:$D$6,0)),IFERROR(INDEX(Mapping!$B$3:$B$13,MATCH($J2117,Mapping!$A$3:$A$13,0)),"(unmapped)")),IFERROR(INDEX(Mapping!$B$17:$B$22,MATCH($F2117,Mapping!$A$17:$A$22,0)),$F2117)&amp;" "&amp;IF($G2117="Banking","Banking",IFERROR(INDEX(Mapping!$E$17:$E$28,MATCH($J2117,Mapping!$D$17:$D$28,0)),"(unmapped)")))))</f>
        <v/>
      </c>
    </row>
    <row r="2118" spans="11:11" x14ac:dyDescent="0.3">
      <c r="K2118" t="str">
        <f>IF($D2118="","",IFERROR(INDEX(Mapping!$H$3:$H$32,MATCH($B2118,Mapping!$G$3:$G$32,0)),IF(LEFT($F2118,3)="P2P",IFERROR(INDEX(Mapping!$E$3:$E$6,MATCH($G2118,Mapping!$D$3:$D$6,0)),IFERROR(INDEX(Mapping!$B$3:$B$13,MATCH($J2118,Mapping!$A$3:$A$13,0)),"(unmapped)")),IFERROR(INDEX(Mapping!$B$17:$B$22,MATCH($F2118,Mapping!$A$17:$A$22,0)),$F2118)&amp;" "&amp;IF($G2118="Banking","Banking",IFERROR(INDEX(Mapping!$E$17:$E$28,MATCH($J2118,Mapping!$D$17:$D$28,0)),"(unmapped)")))))</f>
        <v/>
      </c>
    </row>
    <row r="2119" spans="11:11" x14ac:dyDescent="0.3">
      <c r="K2119" t="str">
        <f>IF($D2119="","",IFERROR(INDEX(Mapping!$H$3:$H$32,MATCH($B2119,Mapping!$G$3:$G$32,0)),IF(LEFT($F2119,3)="P2P",IFERROR(INDEX(Mapping!$E$3:$E$6,MATCH($G2119,Mapping!$D$3:$D$6,0)),IFERROR(INDEX(Mapping!$B$3:$B$13,MATCH($J2119,Mapping!$A$3:$A$13,0)),"(unmapped)")),IFERROR(INDEX(Mapping!$B$17:$B$22,MATCH($F2119,Mapping!$A$17:$A$22,0)),$F2119)&amp;" "&amp;IF($G2119="Banking","Banking",IFERROR(INDEX(Mapping!$E$17:$E$28,MATCH($J2119,Mapping!$D$17:$D$28,0)),"(unmapped)")))))</f>
        <v/>
      </c>
    </row>
    <row r="2120" spans="11:11" x14ac:dyDescent="0.3">
      <c r="K2120" t="str">
        <f>IF($D2120="","",IFERROR(INDEX(Mapping!$H$3:$H$32,MATCH($B2120,Mapping!$G$3:$G$32,0)),IF(LEFT($F2120,3)="P2P",IFERROR(INDEX(Mapping!$E$3:$E$6,MATCH($G2120,Mapping!$D$3:$D$6,0)),IFERROR(INDEX(Mapping!$B$3:$B$13,MATCH($J2120,Mapping!$A$3:$A$13,0)),"(unmapped)")),IFERROR(INDEX(Mapping!$B$17:$B$22,MATCH($F2120,Mapping!$A$17:$A$22,0)),$F2120)&amp;" "&amp;IF($G2120="Banking","Banking",IFERROR(INDEX(Mapping!$E$17:$E$28,MATCH($J2120,Mapping!$D$17:$D$28,0)),"(unmapped)")))))</f>
        <v/>
      </c>
    </row>
    <row r="2121" spans="11:11" x14ac:dyDescent="0.3">
      <c r="K2121" t="str">
        <f>IF($D2121="","",IFERROR(INDEX(Mapping!$H$3:$H$32,MATCH($B2121,Mapping!$G$3:$G$32,0)),IF(LEFT($F2121,3)="P2P",IFERROR(INDEX(Mapping!$E$3:$E$6,MATCH($G2121,Mapping!$D$3:$D$6,0)),IFERROR(INDEX(Mapping!$B$3:$B$13,MATCH($J2121,Mapping!$A$3:$A$13,0)),"(unmapped)")),IFERROR(INDEX(Mapping!$B$17:$B$22,MATCH($F2121,Mapping!$A$17:$A$22,0)),$F2121)&amp;" "&amp;IF($G2121="Banking","Banking",IFERROR(INDEX(Mapping!$E$17:$E$28,MATCH($J2121,Mapping!$D$17:$D$28,0)),"(unmapped)")))))</f>
        <v/>
      </c>
    </row>
    <row r="2122" spans="11:11" x14ac:dyDescent="0.3">
      <c r="K2122" t="str">
        <f>IF($D2122="","",IFERROR(INDEX(Mapping!$H$3:$H$32,MATCH($B2122,Mapping!$G$3:$G$32,0)),IF(LEFT($F2122,3)="P2P",IFERROR(INDEX(Mapping!$E$3:$E$6,MATCH($G2122,Mapping!$D$3:$D$6,0)),IFERROR(INDEX(Mapping!$B$3:$B$13,MATCH($J2122,Mapping!$A$3:$A$13,0)),"(unmapped)")),IFERROR(INDEX(Mapping!$B$17:$B$22,MATCH($F2122,Mapping!$A$17:$A$22,0)),$F2122)&amp;" "&amp;IF($G2122="Banking","Banking",IFERROR(INDEX(Mapping!$E$17:$E$28,MATCH($J2122,Mapping!$D$17:$D$28,0)),"(unmapped)")))))</f>
        <v/>
      </c>
    </row>
    <row r="2123" spans="11:11" x14ac:dyDescent="0.3">
      <c r="K2123" t="str">
        <f>IF($D2123="","",IFERROR(INDEX(Mapping!$H$3:$H$32,MATCH($B2123,Mapping!$G$3:$G$32,0)),IF(LEFT($F2123,3)="P2P",IFERROR(INDEX(Mapping!$E$3:$E$6,MATCH($G2123,Mapping!$D$3:$D$6,0)),IFERROR(INDEX(Mapping!$B$3:$B$13,MATCH($J2123,Mapping!$A$3:$A$13,0)),"(unmapped)")),IFERROR(INDEX(Mapping!$B$17:$B$22,MATCH($F2123,Mapping!$A$17:$A$22,0)),$F2123)&amp;" "&amp;IF($G2123="Banking","Banking",IFERROR(INDEX(Mapping!$E$17:$E$28,MATCH($J2123,Mapping!$D$17:$D$28,0)),"(unmapped)")))))</f>
        <v/>
      </c>
    </row>
    <row r="2124" spans="11:11" x14ac:dyDescent="0.3">
      <c r="K2124" t="str">
        <f>IF($D2124="","",IFERROR(INDEX(Mapping!$H$3:$H$32,MATCH($B2124,Mapping!$G$3:$G$32,0)),IF(LEFT($F2124,3)="P2P",IFERROR(INDEX(Mapping!$E$3:$E$6,MATCH($G2124,Mapping!$D$3:$D$6,0)),IFERROR(INDEX(Mapping!$B$3:$B$13,MATCH($J2124,Mapping!$A$3:$A$13,0)),"(unmapped)")),IFERROR(INDEX(Mapping!$B$17:$B$22,MATCH($F2124,Mapping!$A$17:$A$22,0)),$F2124)&amp;" "&amp;IF($G2124="Banking","Banking",IFERROR(INDEX(Mapping!$E$17:$E$28,MATCH($J2124,Mapping!$D$17:$D$28,0)),"(unmapped)")))))</f>
        <v/>
      </c>
    </row>
    <row r="2125" spans="11:11" x14ac:dyDescent="0.3">
      <c r="K2125" t="str">
        <f>IF($D2125="","",IFERROR(INDEX(Mapping!$H$3:$H$32,MATCH($B2125,Mapping!$G$3:$G$32,0)),IF(LEFT($F2125,3)="P2P",IFERROR(INDEX(Mapping!$E$3:$E$6,MATCH($G2125,Mapping!$D$3:$D$6,0)),IFERROR(INDEX(Mapping!$B$3:$B$13,MATCH($J2125,Mapping!$A$3:$A$13,0)),"(unmapped)")),IFERROR(INDEX(Mapping!$B$17:$B$22,MATCH($F2125,Mapping!$A$17:$A$22,0)),$F2125)&amp;" "&amp;IF($G2125="Banking","Banking",IFERROR(INDEX(Mapping!$E$17:$E$28,MATCH($J2125,Mapping!$D$17:$D$28,0)),"(unmapped)")))))</f>
        <v/>
      </c>
    </row>
    <row r="2126" spans="11:11" x14ac:dyDescent="0.3">
      <c r="K2126" t="str">
        <f>IF($D2126="","",IFERROR(INDEX(Mapping!$H$3:$H$32,MATCH($B2126,Mapping!$G$3:$G$32,0)),IF(LEFT($F2126,3)="P2P",IFERROR(INDEX(Mapping!$E$3:$E$6,MATCH($G2126,Mapping!$D$3:$D$6,0)),IFERROR(INDEX(Mapping!$B$3:$B$13,MATCH($J2126,Mapping!$A$3:$A$13,0)),"(unmapped)")),IFERROR(INDEX(Mapping!$B$17:$B$22,MATCH($F2126,Mapping!$A$17:$A$22,0)),$F2126)&amp;" "&amp;IF($G2126="Banking","Banking",IFERROR(INDEX(Mapping!$E$17:$E$28,MATCH($J2126,Mapping!$D$17:$D$28,0)),"(unmapped)")))))</f>
        <v/>
      </c>
    </row>
    <row r="2127" spans="11:11" x14ac:dyDescent="0.3">
      <c r="K2127" t="str">
        <f>IF($D2127="","",IFERROR(INDEX(Mapping!$H$3:$H$32,MATCH($B2127,Mapping!$G$3:$G$32,0)),IF(LEFT($F2127,3)="P2P",IFERROR(INDEX(Mapping!$E$3:$E$6,MATCH($G2127,Mapping!$D$3:$D$6,0)),IFERROR(INDEX(Mapping!$B$3:$B$13,MATCH($J2127,Mapping!$A$3:$A$13,0)),"(unmapped)")),IFERROR(INDEX(Mapping!$B$17:$B$22,MATCH($F2127,Mapping!$A$17:$A$22,0)),$F2127)&amp;" "&amp;IF($G2127="Banking","Banking",IFERROR(INDEX(Mapping!$E$17:$E$28,MATCH($J2127,Mapping!$D$17:$D$28,0)),"(unmapped)")))))</f>
        <v/>
      </c>
    </row>
    <row r="2128" spans="11:11" x14ac:dyDescent="0.3">
      <c r="K2128" t="str">
        <f>IF($D2128="","",IFERROR(INDEX(Mapping!$H$3:$H$32,MATCH($B2128,Mapping!$G$3:$G$32,0)),IF(LEFT($F2128,3)="P2P",IFERROR(INDEX(Mapping!$E$3:$E$6,MATCH($G2128,Mapping!$D$3:$D$6,0)),IFERROR(INDEX(Mapping!$B$3:$B$13,MATCH($J2128,Mapping!$A$3:$A$13,0)),"(unmapped)")),IFERROR(INDEX(Mapping!$B$17:$B$22,MATCH($F2128,Mapping!$A$17:$A$22,0)),$F2128)&amp;" "&amp;IF($G2128="Banking","Banking",IFERROR(INDEX(Mapping!$E$17:$E$28,MATCH($J2128,Mapping!$D$17:$D$28,0)),"(unmapped)")))))</f>
        <v/>
      </c>
    </row>
    <row r="2129" spans="11:11" x14ac:dyDescent="0.3">
      <c r="K2129" t="str">
        <f>IF($D2129="","",IFERROR(INDEX(Mapping!$H$3:$H$32,MATCH($B2129,Mapping!$G$3:$G$32,0)),IF(LEFT($F2129,3)="P2P",IFERROR(INDEX(Mapping!$E$3:$E$6,MATCH($G2129,Mapping!$D$3:$D$6,0)),IFERROR(INDEX(Mapping!$B$3:$B$13,MATCH($J2129,Mapping!$A$3:$A$13,0)),"(unmapped)")),IFERROR(INDEX(Mapping!$B$17:$B$22,MATCH($F2129,Mapping!$A$17:$A$22,0)),$F2129)&amp;" "&amp;IF($G2129="Banking","Banking",IFERROR(INDEX(Mapping!$E$17:$E$28,MATCH($J2129,Mapping!$D$17:$D$28,0)),"(unmapped)")))))</f>
        <v/>
      </c>
    </row>
    <row r="2130" spans="11:11" x14ac:dyDescent="0.3">
      <c r="K2130" t="str">
        <f>IF($D2130="","",IFERROR(INDEX(Mapping!$H$3:$H$32,MATCH($B2130,Mapping!$G$3:$G$32,0)),IF(LEFT($F2130,3)="P2P",IFERROR(INDEX(Mapping!$E$3:$E$6,MATCH($G2130,Mapping!$D$3:$D$6,0)),IFERROR(INDEX(Mapping!$B$3:$B$13,MATCH($J2130,Mapping!$A$3:$A$13,0)),"(unmapped)")),IFERROR(INDEX(Mapping!$B$17:$B$22,MATCH($F2130,Mapping!$A$17:$A$22,0)),$F2130)&amp;" "&amp;IF($G2130="Banking","Banking",IFERROR(INDEX(Mapping!$E$17:$E$28,MATCH($J2130,Mapping!$D$17:$D$28,0)),"(unmapped)")))))</f>
        <v/>
      </c>
    </row>
    <row r="2131" spans="11:11" x14ac:dyDescent="0.3">
      <c r="K2131" t="str">
        <f>IF($D2131="","",IFERROR(INDEX(Mapping!$H$3:$H$32,MATCH($B2131,Mapping!$G$3:$G$32,0)),IF(LEFT($F2131,3)="P2P",IFERROR(INDEX(Mapping!$E$3:$E$6,MATCH($G2131,Mapping!$D$3:$D$6,0)),IFERROR(INDEX(Mapping!$B$3:$B$13,MATCH($J2131,Mapping!$A$3:$A$13,0)),"(unmapped)")),IFERROR(INDEX(Mapping!$B$17:$B$22,MATCH($F2131,Mapping!$A$17:$A$22,0)),$F2131)&amp;" "&amp;IF($G2131="Banking","Banking",IFERROR(INDEX(Mapping!$E$17:$E$28,MATCH($J2131,Mapping!$D$17:$D$28,0)),"(unmapped)")))))</f>
        <v/>
      </c>
    </row>
    <row r="2132" spans="11:11" x14ac:dyDescent="0.3">
      <c r="K2132" t="str">
        <f>IF($D2132="","",IFERROR(INDEX(Mapping!$H$3:$H$32,MATCH($B2132,Mapping!$G$3:$G$32,0)),IF(LEFT($F2132,3)="P2P",IFERROR(INDEX(Mapping!$E$3:$E$6,MATCH($G2132,Mapping!$D$3:$D$6,0)),IFERROR(INDEX(Mapping!$B$3:$B$13,MATCH($J2132,Mapping!$A$3:$A$13,0)),"(unmapped)")),IFERROR(INDEX(Mapping!$B$17:$B$22,MATCH($F2132,Mapping!$A$17:$A$22,0)),$F2132)&amp;" "&amp;IF($G2132="Banking","Banking",IFERROR(INDEX(Mapping!$E$17:$E$28,MATCH($J2132,Mapping!$D$17:$D$28,0)),"(unmapped)")))))</f>
        <v/>
      </c>
    </row>
    <row r="2133" spans="11:11" x14ac:dyDescent="0.3">
      <c r="K2133" t="str">
        <f>IF($D2133="","",IFERROR(INDEX(Mapping!$H$3:$H$32,MATCH($B2133,Mapping!$G$3:$G$32,0)),IF(LEFT($F2133,3)="P2P",IFERROR(INDEX(Mapping!$E$3:$E$6,MATCH($G2133,Mapping!$D$3:$D$6,0)),IFERROR(INDEX(Mapping!$B$3:$B$13,MATCH($J2133,Mapping!$A$3:$A$13,0)),"(unmapped)")),IFERROR(INDEX(Mapping!$B$17:$B$22,MATCH($F2133,Mapping!$A$17:$A$22,0)),$F2133)&amp;" "&amp;IF($G2133="Banking","Banking",IFERROR(INDEX(Mapping!$E$17:$E$28,MATCH($J2133,Mapping!$D$17:$D$28,0)),"(unmapped)")))))</f>
        <v/>
      </c>
    </row>
    <row r="2134" spans="11:11" x14ac:dyDescent="0.3">
      <c r="K2134" t="str">
        <f>IF($D2134="","",IFERROR(INDEX(Mapping!$H$3:$H$32,MATCH($B2134,Mapping!$G$3:$G$32,0)),IF(LEFT($F2134,3)="P2P",IFERROR(INDEX(Mapping!$E$3:$E$6,MATCH($G2134,Mapping!$D$3:$D$6,0)),IFERROR(INDEX(Mapping!$B$3:$B$13,MATCH($J2134,Mapping!$A$3:$A$13,0)),"(unmapped)")),IFERROR(INDEX(Mapping!$B$17:$B$22,MATCH($F2134,Mapping!$A$17:$A$22,0)),$F2134)&amp;" "&amp;IF($G2134="Banking","Banking",IFERROR(INDEX(Mapping!$E$17:$E$28,MATCH($J2134,Mapping!$D$17:$D$28,0)),"(unmapped)")))))</f>
        <v/>
      </c>
    </row>
    <row r="2135" spans="11:11" x14ac:dyDescent="0.3">
      <c r="K2135" t="str">
        <f>IF($D2135="","",IFERROR(INDEX(Mapping!$H$3:$H$32,MATCH($B2135,Mapping!$G$3:$G$32,0)),IF(LEFT($F2135,3)="P2P",IFERROR(INDEX(Mapping!$E$3:$E$6,MATCH($G2135,Mapping!$D$3:$D$6,0)),IFERROR(INDEX(Mapping!$B$3:$B$13,MATCH($J2135,Mapping!$A$3:$A$13,0)),"(unmapped)")),IFERROR(INDEX(Mapping!$B$17:$B$22,MATCH($F2135,Mapping!$A$17:$A$22,0)),$F2135)&amp;" "&amp;IF($G2135="Banking","Banking",IFERROR(INDEX(Mapping!$E$17:$E$28,MATCH($J2135,Mapping!$D$17:$D$28,0)),"(unmapped)")))))</f>
        <v/>
      </c>
    </row>
    <row r="2136" spans="11:11" x14ac:dyDescent="0.3">
      <c r="K2136" t="str">
        <f>IF($D2136="","",IFERROR(INDEX(Mapping!$H$3:$H$32,MATCH($B2136,Mapping!$G$3:$G$32,0)),IF(LEFT($F2136,3)="P2P",IFERROR(INDEX(Mapping!$E$3:$E$6,MATCH($G2136,Mapping!$D$3:$D$6,0)),IFERROR(INDEX(Mapping!$B$3:$B$13,MATCH($J2136,Mapping!$A$3:$A$13,0)),"(unmapped)")),IFERROR(INDEX(Mapping!$B$17:$B$22,MATCH($F2136,Mapping!$A$17:$A$22,0)),$F2136)&amp;" "&amp;IF($G2136="Banking","Banking",IFERROR(INDEX(Mapping!$E$17:$E$28,MATCH($J2136,Mapping!$D$17:$D$28,0)),"(unmapped)")))))</f>
        <v/>
      </c>
    </row>
    <row r="2137" spans="11:11" x14ac:dyDescent="0.3">
      <c r="K2137" t="str">
        <f>IF($D2137="","",IFERROR(INDEX(Mapping!$H$3:$H$32,MATCH($B2137,Mapping!$G$3:$G$32,0)),IF(LEFT($F2137,3)="P2P",IFERROR(INDEX(Mapping!$E$3:$E$6,MATCH($G2137,Mapping!$D$3:$D$6,0)),IFERROR(INDEX(Mapping!$B$3:$B$13,MATCH($J2137,Mapping!$A$3:$A$13,0)),"(unmapped)")),IFERROR(INDEX(Mapping!$B$17:$B$22,MATCH($F2137,Mapping!$A$17:$A$22,0)),$F2137)&amp;" "&amp;IF($G2137="Banking","Banking",IFERROR(INDEX(Mapping!$E$17:$E$28,MATCH($J2137,Mapping!$D$17:$D$28,0)),"(unmapped)")))))</f>
        <v/>
      </c>
    </row>
    <row r="2138" spans="11:11" x14ac:dyDescent="0.3">
      <c r="K2138" t="str">
        <f>IF($D2138="","",IFERROR(INDEX(Mapping!$H$3:$H$32,MATCH($B2138,Mapping!$G$3:$G$32,0)),IF(LEFT($F2138,3)="P2P",IFERROR(INDEX(Mapping!$E$3:$E$6,MATCH($G2138,Mapping!$D$3:$D$6,0)),IFERROR(INDEX(Mapping!$B$3:$B$13,MATCH($J2138,Mapping!$A$3:$A$13,0)),"(unmapped)")),IFERROR(INDEX(Mapping!$B$17:$B$22,MATCH($F2138,Mapping!$A$17:$A$22,0)),$F2138)&amp;" "&amp;IF($G2138="Banking","Banking",IFERROR(INDEX(Mapping!$E$17:$E$28,MATCH($J2138,Mapping!$D$17:$D$28,0)),"(unmapped)")))))</f>
        <v/>
      </c>
    </row>
    <row r="2139" spans="11:11" x14ac:dyDescent="0.3">
      <c r="K2139" t="str">
        <f>IF($D2139="","",IFERROR(INDEX(Mapping!$H$3:$H$32,MATCH($B2139,Mapping!$G$3:$G$32,0)),IF(LEFT($F2139,3)="P2P",IFERROR(INDEX(Mapping!$E$3:$E$6,MATCH($G2139,Mapping!$D$3:$D$6,0)),IFERROR(INDEX(Mapping!$B$3:$B$13,MATCH($J2139,Mapping!$A$3:$A$13,0)),"(unmapped)")),IFERROR(INDEX(Mapping!$B$17:$B$22,MATCH($F2139,Mapping!$A$17:$A$22,0)),$F2139)&amp;" "&amp;IF($G2139="Banking","Banking",IFERROR(INDEX(Mapping!$E$17:$E$28,MATCH($J2139,Mapping!$D$17:$D$28,0)),"(unmapped)")))))</f>
        <v/>
      </c>
    </row>
    <row r="2140" spans="11:11" x14ac:dyDescent="0.3">
      <c r="K2140" t="str">
        <f>IF($D2140="","",IFERROR(INDEX(Mapping!$H$3:$H$32,MATCH($B2140,Mapping!$G$3:$G$32,0)),IF(LEFT($F2140,3)="P2P",IFERROR(INDEX(Mapping!$E$3:$E$6,MATCH($G2140,Mapping!$D$3:$D$6,0)),IFERROR(INDEX(Mapping!$B$3:$B$13,MATCH($J2140,Mapping!$A$3:$A$13,0)),"(unmapped)")),IFERROR(INDEX(Mapping!$B$17:$B$22,MATCH($F2140,Mapping!$A$17:$A$22,0)),$F2140)&amp;" "&amp;IF($G2140="Banking","Banking",IFERROR(INDEX(Mapping!$E$17:$E$28,MATCH($J2140,Mapping!$D$17:$D$28,0)),"(unmapped)")))))</f>
        <v/>
      </c>
    </row>
    <row r="2141" spans="11:11" x14ac:dyDescent="0.3">
      <c r="K2141" t="str">
        <f>IF($D2141="","",IFERROR(INDEX(Mapping!$H$3:$H$32,MATCH($B2141,Mapping!$G$3:$G$32,0)),IF(LEFT($F2141,3)="P2P",IFERROR(INDEX(Mapping!$E$3:$E$6,MATCH($G2141,Mapping!$D$3:$D$6,0)),IFERROR(INDEX(Mapping!$B$3:$B$13,MATCH($J2141,Mapping!$A$3:$A$13,0)),"(unmapped)")),IFERROR(INDEX(Mapping!$B$17:$B$22,MATCH($F2141,Mapping!$A$17:$A$22,0)),$F2141)&amp;" "&amp;IF($G2141="Banking","Banking",IFERROR(INDEX(Mapping!$E$17:$E$28,MATCH($J2141,Mapping!$D$17:$D$28,0)),"(unmapped)")))))</f>
        <v/>
      </c>
    </row>
    <row r="2142" spans="11:11" x14ac:dyDescent="0.3">
      <c r="K2142" t="str">
        <f>IF($D2142="","",IFERROR(INDEX(Mapping!$H$3:$H$32,MATCH($B2142,Mapping!$G$3:$G$32,0)),IF(LEFT($F2142,3)="P2P",IFERROR(INDEX(Mapping!$E$3:$E$6,MATCH($G2142,Mapping!$D$3:$D$6,0)),IFERROR(INDEX(Mapping!$B$3:$B$13,MATCH($J2142,Mapping!$A$3:$A$13,0)),"(unmapped)")),IFERROR(INDEX(Mapping!$B$17:$B$22,MATCH($F2142,Mapping!$A$17:$A$22,0)),$F2142)&amp;" "&amp;IF($G2142="Banking","Banking",IFERROR(INDEX(Mapping!$E$17:$E$28,MATCH($J2142,Mapping!$D$17:$D$28,0)),"(unmapped)")))))</f>
        <v/>
      </c>
    </row>
    <row r="2143" spans="11:11" x14ac:dyDescent="0.3">
      <c r="K2143" t="str">
        <f>IF($D2143="","",IFERROR(INDEX(Mapping!$H$3:$H$32,MATCH($B2143,Mapping!$G$3:$G$32,0)),IF(LEFT($F2143,3)="P2P",IFERROR(INDEX(Mapping!$E$3:$E$6,MATCH($G2143,Mapping!$D$3:$D$6,0)),IFERROR(INDEX(Mapping!$B$3:$B$13,MATCH($J2143,Mapping!$A$3:$A$13,0)),"(unmapped)")),IFERROR(INDEX(Mapping!$B$17:$B$22,MATCH($F2143,Mapping!$A$17:$A$22,0)),$F2143)&amp;" "&amp;IF($G2143="Banking","Banking",IFERROR(INDEX(Mapping!$E$17:$E$28,MATCH($J2143,Mapping!$D$17:$D$28,0)),"(unmapped)")))))</f>
        <v/>
      </c>
    </row>
    <row r="2144" spans="11:11" x14ac:dyDescent="0.3">
      <c r="K2144" t="str">
        <f>IF($D2144="","",IFERROR(INDEX(Mapping!$H$3:$H$32,MATCH($B2144,Mapping!$G$3:$G$32,0)),IF(LEFT($F2144,3)="P2P",IFERROR(INDEX(Mapping!$E$3:$E$6,MATCH($G2144,Mapping!$D$3:$D$6,0)),IFERROR(INDEX(Mapping!$B$3:$B$13,MATCH($J2144,Mapping!$A$3:$A$13,0)),"(unmapped)")),IFERROR(INDEX(Mapping!$B$17:$B$22,MATCH($F2144,Mapping!$A$17:$A$22,0)),$F2144)&amp;" "&amp;IF($G2144="Banking","Banking",IFERROR(INDEX(Mapping!$E$17:$E$28,MATCH($J2144,Mapping!$D$17:$D$28,0)),"(unmapped)")))))</f>
        <v/>
      </c>
    </row>
    <row r="2145" spans="11:11" x14ac:dyDescent="0.3">
      <c r="K2145" t="str">
        <f>IF($D2145="","",IFERROR(INDEX(Mapping!$H$3:$H$32,MATCH($B2145,Mapping!$G$3:$G$32,0)),IF(LEFT($F2145,3)="P2P",IFERROR(INDEX(Mapping!$E$3:$E$6,MATCH($G2145,Mapping!$D$3:$D$6,0)),IFERROR(INDEX(Mapping!$B$3:$B$13,MATCH($J2145,Mapping!$A$3:$A$13,0)),"(unmapped)")),IFERROR(INDEX(Mapping!$B$17:$B$22,MATCH($F2145,Mapping!$A$17:$A$22,0)),$F2145)&amp;" "&amp;IF($G2145="Banking","Banking",IFERROR(INDEX(Mapping!$E$17:$E$28,MATCH($J2145,Mapping!$D$17:$D$28,0)),"(unmapped)")))))</f>
        <v/>
      </c>
    </row>
    <row r="2146" spans="11:11" x14ac:dyDescent="0.3">
      <c r="K2146" t="str">
        <f>IF($D2146="","",IFERROR(INDEX(Mapping!$H$3:$H$32,MATCH($B2146,Mapping!$G$3:$G$32,0)),IF(LEFT($F2146,3)="P2P",IFERROR(INDEX(Mapping!$E$3:$E$6,MATCH($G2146,Mapping!$D$3:$D$6,0)),IFERROR(INDEX(Mapping!$B$3:$B$13,MATCH($J2146,Mapping!$A$3:$A$13,0)),"(unmapped)")),IFERROR(INDEX(Mapping!$B$17:$B$22,MATCH($F2146,Mapping!$A$17:$A$22,0)),$F2146)&amp;" "&amp;IF($G2146="Banking","Banking",IFERROR(INDEX(Mapping!$E$17:$E$28,MATCH($J2146,Mapping!$D$17:$D$28,0)),"(unmapped)")))))</f>
        <v/>
      </c>
    </row>
    <row r="2147" spans="11:11" x14ac:dyDescent="0.3">
      <c r="K2147" t="str">
        <f>IF($D2147="","",IFERROR(INDEX(Mapping!$H$3:$H$32,MATCH($B2147,Mapping!$G$3:$G$32,0)),IF(LEFT($F2147,3)="P2P",IFERROR(INDEX(Mapping!$E$3:$E$6,MATCH($G2147,Mapping!$D$3:$D$6,0)),IFERROR(INDEX(Mapping!$B$3:$B$13,MATCH($J2147,Mapping!$A$3:$A$13,0)),"(unmapped)")),IFERROR(INDEX(Mapping!$B$17:$B$22,MATCH($F2147,Mapping!$A$17:$A$22,0)),$F2147)&amp;" "&amp;IF($G2147="Banking","Banking",IFERROR(INDEX(Mapping!$E$17:$E$28,MATCH($J2147,Mapping!$D$17:$D$28,0)),"(unmapped)")))))</f>
        <v/>
      </c>
    </row>
    <row r="2148" spans="11:11" x14ac:dyDescent="0.3">
      <c r="K2148" t="str">
        <f>IF($D2148="","",IFERROR(INDEX(Mapping!$H$3:$H$32,MATCH($B2148,Mapping!$G$3:$G$32,0)),IF(LEFT($F2148,3)="P2P",IFERROR(INDEX(Mapping!$E$3:$E$6,MATCH($G2148,Mapping!$D$3:$D$6,0)),IFERROR(INDEX(Mapping!$B$3:$B$13,MATCH($J2148,Mapping!$A$3:$A$13,0)),"(unmapped)")),IFERROR(INDEX(Mapping!$B$17:$B$22,MATCH($F2148,Mapping!$A$17:$A$22,0)),$F2148)&amp;" "&amp;IF($G2148="Banking","Banking",IFERROR(INDEX(Mapping!$E$17:$E$28,MATCH($J2148,Mapping!$D$17:$D$28,0)),"(unmapped)")))))</f>
        <v/>
      </c>
    </row>
    <row r="2149" spans="11:11" x14ac:dyDescent="0.3">
      <c r="K2149" t="str">
        <f>IF($D2149="","",IFERROR(INDEX(Mapping!$H$3:$H$32,MATCH($B2149,Mapping!$G$3:$G$32,0)),IF(LEFT($F2149,3)="P2P",IFERROR(INDEX(Mapping!$E$3:$E$6,MATCH($G2149,Mapping!$D$3:$D$6,0)),IFERROR(INDEX(Mapping!$B$3:$B$13,MATCH($J2149,Mapping!$A$3:$A$13,0)),"(unmapped)")),IFERROR(INDEX(Mapping!$B$17:$B$22,MATCH($F2149,Mapping!$A$17:$A$22,0)),$F2149)&amp;" "&amp;IF($G2149="Banking","Banking",IFERROR(INDEX(Mapping!$E$17:$E$28,MATCH($J2149,Mapping!$D$17:$D$28,0)),"(unmapped)")))))</f>
        <v/>
      </c>
    </row>
    <row r="2150" spans="11:11" x14ac:dyDescent="0.3">
      <c r="K2150" t="str">
        <f>IF($D2150="","",IFERROR(INDEX(Mapping!$H$3:$H$32,MATCH($B2150,Mapping!$G$3:$G$32,0)),IF(LEFT($F2150,3)="P2P",IFERROR(INDEX(Mapping!$E$3:$E$6,MATCH($G2150,Mapping!$D$3:$D$6,0)),IFERROR(INDEX(Mapping!$B$3:$B$13,MATCH($J2150,Mapping!$A$3:$A$13,0)),"(unmapped)")),IFERROR(INDEX(Mapping!$B$17:$B$22,MATCH($F2150,Mapping!$A$17:$A$22,0)),$F2150)&amp;" "&amp;IF($G2150="Banking","Banking",IFERROR(INDEX(Mapping!$E$17:$E$28,MATCH($J2150,Mapping!$D$17:$D$28,0)),"(unmapped)")))))</f>
        <v/>
      </c>
    </row>
    <row r="2151" spans="11:11" x14ac:dyDescent="0.3">
      <c r="K2151" t="str">
        <f>IF($D2151="","",IFERROR(INDEX(Mapping!$H$3:$H$32,MATCH($B2151,Mapping!$G$3:$G$32,0)),IF(LEFT($F2151,3)="P2P",IFERROR(INDEX(Mapping!$E$3:$E$6,MATCH($G2151,Mapping!$D$3:$D$6,0)),IFERROR(INDEX(Mapping!$B$3:$B$13,MATCH($J2151,Mapping!$A$3:$A$13,0)),"(unmapped)")),IFERROR(INDEX(Mapping!$B$17:$B$22,MATCH($F2151,Mapping!$A$17:$A$22,0)),$F2151)&amp;" "&amp;IF($G2151="Banking","Banking",IFERROR(INDEX(Mapping!$E$17:$E$28,MATCH($J2151,Mapping!$D$17:$D$28,0)),"(unmapped)")))))</f>
        <v/>
      </c>
    </row>
    <row r="2152" spans="11:11" x14ac:dyDescent="0.3">
      <c r="K2152" t="str">
        <f>IF($D2152="","",IFERROR(INDEX(Mapping!$H$3:$H$32,MATCH($B2152,Mapping!$G$3:$G$32,0)),IF(LEFT($F2152,3)="P2P",IFERROR(INDEX(Mapping!$E$3:$E$6,MATCH($G2152,Mapping!$D$3:$D$6,0)),IFERROR(INDEX(Mapping!$B$3:$B$13,MATCH($J2152,Mapping!$A$3:$A$13,0)),"(unmapped)")),IFERROR(INDEX(Mapping!$B$17:$B$22,MATCH($F2152,Mapping!$A$17:$A$22,0)),$F2152)&amp;" "&amp;IF($G2152="Banking","Banking",IFERROR(INDEX(Mapping!$E$17:$E$28,MATCH($J2152,Mapping!$D$17:$D$28,0)),"(unmapped)")))))</f>
        <v/>
      </c>
    </row>
    <row r="2153" spans="11:11" x14ac:dyDescent="0.3">
      <c r="K2153" t="str">
        <f>IF($D2153="","",IFERROR(INDEX(Mapping!$H$3:$H$32,MATCH($B2153,Mapping!$G$3:$G$32,0)),IF(LEFT($F2153,3)="P2P",IFERROR(INDEX(Mapping!$E$3:$E$6,MATCH($G2153,Mapping!$D$3:$D$6,0)),IFERROR(INDEX(Mapping!$B$3:$B$13,MATCH($J2153,Mapping!$A$3:$A$13,0)),"(unmapped)")),IFERROR(INDEX(Mapping!$B$17:$B$22,MATCH($F2153,Mapping!$A$17:$A$22,0)),$F2153)&amp;" "&amp;IF($G2153="Banking","Banking",IFERROR(INDEX(Mapping!$E$17:$E$28,MATCH($J2153,Mapping!$D$17:$D$28,0)),"(unmapped)")))))</f>
        <v/>
      </c>
    </row>
    <row r="2154" spans="11:11" x14ac:dyDescent="0.3">
      <c r="K2154" t="str">
        <f>IF($D2154="","",IFERROR(INDEX(Mapping!$H$3:$H$32,MATCH($B2154,Mapping!$G$3:$G$32,0)),IF(LEFT($F2154,3)="P2P",IFERROR(INDEX(Mapping!$E$3:$E$6,MATCH($G2154,Mapping!$D$3:$D$6,0)),IFERROR(INDEX(Mapping!$B$3:$B$13,MATCH($J2154,Mapping!$A$3:$A$13,0)),"(unmapped)")),IFERROR(INDEX(Mapping!$B$17:$B$22,MATCH($F2154,Mapping!$A$17:$A$22,0)),$F2154)&amp;" "&amp;IF($G2154="Banking","Banking",IFERROR(INDEX(Mapping!$E$17:$E$28,MATCH($J2154,Mapping!$D$17:$D$28,0)),"(unmapped)")))))</f>
        <v/>
      </c>
    </row>
    <row r="2155" spans="11:11" x14ac:dyDescent="0.3">
      <c r="K2155" t="str">
        <f>IF($D2155="","",IFERROR(INDEX(Mapping!$H$3:$H$32,MATCH($B2155,Mapping!$G$3:$G$32,0)),IF(LEFT($F2155,3)="P2P",IFERROR(INDEX(Mapping!$E$3:$E$6,MATCH($G2155,Mapping!$D$3:$D$6,0)),IFERROR(INDEX(Mapping!$B$3:$B$13,MATCH($J2155,Mapping!$A$3:$A$13,0)),"(unmapped)")),IFERROR(INDEX(Mapping!$B$17:$B$22,MATCH($F2155,Mapping!$A$17:$A$22,0)),$F2155)&amp;" "&amp;IF($G2155="Banking","Banking",IFERROR(INDEX(Mapping!$E$17:$E$28,MATCH($J2155,Mapping!$D$17:$D$28,0)),"(unmapped)")))))</f>
        <v/>
      </c>
    </row>
    <row r="2156" spans="11:11" x14ac:dyDescent="0.3">
      <c r="K2156" t="str">
        <f>IF($D2156="","",IFERROR(INDEX(Mapping!$H$3:$H$32,MATCH($B2156,Mapping!$G$3:$G$32,0)),IF(LEFT($F2156,3)="P2P",IFERROR(INDEX(Mapping!$E$3:$E$6,MATCH($G2156,Mapping!$D$3:$D$6,0)),IFERROR(INDEX(Mapping!$B$3:$B$13,MATCH($J2156,Mapping!$A$3:$A$13,0)),"(unmapped)")),IFERROR(INDEX(Mapping!$B$17:$B$22,MATCH($F2156,Mapping!$A$17:$A$22,0)),$F2156)&amp;" "&amp;IF($G2156="Banking","Banking",IFERROR(INDEX(Mapping!$E$17:$E$28,MATCH($J2156,Mapping!$D$17:$D$28,0)),"(unmapped)")))))</f>
        <v/>
      </c>
    </row>
    <row r="2157" spans="11:11" x14ac:dyDescent="0.3">
      <c r="K2157" t="str">
        <f>IF($D2157="","",IFERROR(INDEX(Mapping!$H$3:$H$32,MATCH($B2157,Mapping!$G$3:$G$32,0)),IF(LEFT($F2157,3)="P2P",IFERROR(INDEX(Mapping!$E$3:$E$6,MATCH($G2157,Mapping!$D$3:$D$6,0)),IFERROR(INDEX(Mapping!$B$3:$B$13,MATCH($J2157,Mapping!$A$3:$A$13,0)),"(unmapped)")),IFERROR(INDEX(Mapping!$B$17:$B$22,MATCH($F2157,Mapping!$A$17:$A$22,0)),$F2157)&amp;" "&amp;IF($G2157="Banking","Banking",IFERROR(INDEX(Mapping!$E$17:$E$28,MATCH($J2157,Mapping!$D$17:$D$28,0)),"(unmapped)")))))</f>
        <v/>
      </c>
    </row>
    <row r="2158" spans="11:11" x14ac:dyDescent="0.3">
      <c r="K2158" t="str">
        <f>IF($D2158="","",IFERROR(INDEX(Mapping!$H$3:$H$32,MATCH($B2158,Mapping!$G$3:$G$32,0)),IF(LEFT($F2158,3)="P2P",IFERROR(INDEX(Mapping!$E$3:$E$6,MATCH($G2158,Mapping!$D$3:$D$6,0)),IFERROR(INDEX(Mapping!$B$3:$B$13,MATCH($J2158,Mapping!$A$3:$A$13,0)),"(unmapped)")),IFERROR(INDEX(Mapping!$B$17:$B$22,MATCH($F2158,Mapping!$A$17:$A$22,0)),$F2158)&amp;" "&amp;IF($G2158="Banking","Banking",IFERROR(INDEX(Mapping!$E$17:$E$28,MATCH($J2158,Mapping!$D$17:$D$28,0)),"(unmapped)")))))</f>
        <v/>
      </c>
    </row>
    <row r="2159" spans="11:11" x14ac:dyDescent="0.3">
      <c r="K2159" t="str">
        <f>IF($D2159="","",IFERROR(INDEX(Mapping!$H$3:$H$32,MATCH($B2159,Mapping!$G$3:$G$32,0)),IF(LEFT($F2159,3)="P2P",IFERROR(INDEX(Mapping!$E$3:$E$6,MATCH($G2159,Mapping!$D$3:$D$6,0)),IFERROR(INDEX(Mapping!$B$3:$B$13,MATCH($J2159,Mapping!$A$3:$A$13,0)),"(unmapped)")),IFERROR(INDEX(Mapping!$B$17:$B$22,MATCH($F2159,Mapping!$A$17:$A$22,0)),$F2159)&amp;" "&amp;IF($G2159="Banking","Banking",IFERROR(INDEX(Mapping!$E$17:$E$28,MATCH($J2159,Mapping!$D$17:$D$28,0)),"(unmapped)")))))</f>
        <v/>
      </c>
    </row>
    <row r="2160" spans="11:11" x14ac:dyDescent="0.3">
      <c r="K2160" t="str">
        <f>IF($D2160="","",IFERROR(INDEX(Mapping!$H$3:$H$32,MATCH($B2160,Mapping!$G$3:$G$32,0)),IF(LEFT($F2160,3)="P2P",IFERROR(INDEX(Mapping!$E$3:$E$6,MATCH($G2160,Mapping!$D$3:$D$6,0)),IFERROR(INDEX(Mapping!$B$3:$B$13,MATCH($J2160,Mapping!$A$3:$A$13,0)),"(unmapped)")),IFERROR(INDEX(Mapping!$B$17:$B$22,MATCH($F2160,Mapping!$A$17:$A$22,0)),$F2160)&amp;" "&amp;IF($G2160="Banking","Banking",IFERROR(INDEX(Mapping!$E$17:$E$28,MATCH($J2160,Mapping!$D$17:$D$28,0)),"(unmapped)")))))</f>
        <v/>
      </c>
    </row>
    <row r="2161" spans="11:11" x14ac:dyDescent="0.3">
      <c r="K2161" t="str">
        <f>IF($D2161="","",IFERROR(INDEX(Mapping!$H$3:$H$32,MATCH($B2161,Mapping!$G$3:$G$32,0)),IF(LEFT($F2161,3)="P2P",IFERROR(INDEX(Mapping!$E$3:$E$6,MATCH($G2161,Mapping!$D$3:$D$6,0)),IFERROR(INDEX(Mapping!$B$3:$B$13,MATCH($J2161,Mapping!$A$3:$A$13,0)),"(unmapped)")),IFERROR(INDEX(Mapping!$B$17:$B$22,MATCH($F2161,Mapping!$A$17:$A$22,0)),$F2161)&amp;" "&amp;IF($G2161="Banking","Banking",IFERROR(INDEX(Mapping!$E$17:$E$28,MATCH($J2161,Mapping!$D$17:$D$28,0)),"(unmapped)")))))</f>
        <v/>
      </c>
    </row>
    <row r="2162" spans="11:11" x14ac:dyDescent="0.3">
      <c r="K2162" t="str">
        <f>IF($D2162="","",IFERROR(INDEX(Mapping!$H$3:$H$32,MATCH($B2162,Mapping!$G$3:$G$32,0)),IF(LEFT($F2162,3)="P2P",IFERROR(INDEX(Mapping!$E$3:$E$6,MATCH($G2162,Mapping!$D$3:$D$6,0)),IFERROR(INDEX(Mapping!$B$3:$B$13,MATCH($J2162,Mapping!$A$3:$A$13,0)),"(unmapped)")),IFERROR(INDEX(Mapping!$B$17:$B$22,MATCH($F2162,Mapping!$A$17:$A$22,0)),$F2162)&amp;" "&amp;IF($G2162="Banking","Banking",IFERROR(INDEX(Mapping!$E$17:$E$28,MATCH($J2162,Mapping!$D$17:$D$28,0)),"(unmapped)")))))</f>
        <v/>
      </c>
    </row>
    <row r="2163" spans="11:11" x14ac:dyDescent="0.3">
      <c r="K2163" t="str">
        <f>IF($D2163="","",IFERROR(INDEX(Mapping!$H$3:$H$32,MATCH($B2163,Mapping!$G$3:$G$32,0)),IF(LEFT($F2163,3)="P2P",IFERROR(INDEX(Mapping!$E$3:$E$6,MATCH($G2163,Mapping!$D$3:$D$6,0)),IFERROR(INDEX(Mapping!$B$3:$B$13,MATCH($J2163,Mapping!$A$3:$A$13,0)),"(unmapped)")),IFERROR(INDEX(Mapping!$B$17:$B$22,MATCH($F2163,Mapping!$A$17:$A$22,0)),$F2163)&amp;" "&amp;IF($G2163="Banking","Banking",IFERROR(INDEX(Mapping!$E$17:$E$28,MATCH($J2163,Mapping!$D$17:$D$28,0)),"(unmapped)")))))</f>
        <v/>
      </c>
    </row>
    <row r="2164" spans="11:11" x14ac:dyDescent="0.3">
      <c r="K2164" t="str">
        <f>IF($D2164="","",IFERROR(INDEX(Mapping!$H$3:$H$32,MATCH($B2164,Mapping!$G$3:$G$32,0)),IF(LEFT($F2164,3)="P2P",IFERROR(INDEX(Mapping!$E$3:$E$6,MATCH($G2164,Mapping!$D$3:$D$6,0)),IFERROR(INDEX(Mapping!$B$3:$B$13,MATCH($J2164,Mapping!$A$3:$A$13,0)),"(unmapped)")),IFERROR(INDEX(Mapping!$B$17:$B$22,MATCH($F2164,Mapping!$A$17:$A$22,0)),$F2164)&amp;" "&amp;IF($G2164="Banking","Banking",IFERROR(INDEX(Mapping!$E$17:$E$28,MATCH($J2164,Mapping!$D$17:$D$28,0)),"(unmapped)")))))</f>
        <v/>
      </c>
    </row>
    <row r="2165" spans="11:11" x14ac:dyDescent="0.3">
      <c r="K2165" t="str">
        <f>IF($D2165="","",IFERROR(INDEX(Mapping!$H$3:$H$32,MATCH($B2165,Mapping!$G$3:$G$32,0)),IF(LEFT($F2165,3)="P2P",IFERROR(INDEX(Mapping!$E$3:$E$6,MATCH($G2165,Mapping!$D$3:$D$6,0)),IFERROR(INDEX(Mapping!$B$3:$B$13,MATCH($J2165,Mapping!$A$3:$A$13,0)),"(unmapped)")),IFERROR(INDEX(Mapping!$B$17:$B$22,MATCH($F2165,Mapping!$A$17:$A$22,0)),$F2165)&amp;" "&amp;IF($G2165="Banking","Banking",IFERROR(INDEX(Mapping!$E$17:$E$28,MATCH($J2165,Mapping!$D$17:$D$28,0)),"(unmapped)")))))</f>
        <v/>
      </c>
    </row>
    <row r="2166" spans="11:11" x14ac:dyDescent="0.3">
      <c r="K2166" t="str">
        <f>IF($D2166="","",IFERROR(INDEX(Mapping!$H$3:$H$32,MATCH($B2166,Mapping!$G$3:$G$32,0)),IF(LEFT($F2166,3)="P2P",IFERROR(INDEX(Mapping!$E$3:$E$6,MATCH($G2166,Mapping!$D$3:$D$6,0)),IFERROR(INDEX(Mapping!$B$3:$B$13,MATCH($J2166,Mapping!$A$3:$A$13,0)),"(unmapped)")),IFERROR(INDEX(Mapping!$B$17:$B$22,MATCH($F2166,Mapping!$A$17:$A$22,0)),$F2166)&amp;" "&amp;IF($G2166="Banking","Banking",IFERROR(INDEX(Mapping!$E$17:$E$28,MATCH($J2166,Mapping!$D$17:$D$28,0)),"(unmapped)")))))</f>
        <v/>
      </c>
    </row>
    <row r="2167" spans="11:11" x14ac:dyDescent="0.3">
      <c r="K2167" t="str">
        <f>IF($D2167="","",IFERROR(INDEX(Mapping!$H$3:$H$32,MATCH($B2167,Mapping!$G$3:$G$32,0)),IF(LEFT($F2167,3)="P2P",IFERROR(INDEX(Mapping!$E$3:$E$6,MATCH($G2167,Mapping!$D$3:$D$6,0)),IFERROR(INDEX(Mapping!$B$3:$B$13,MATCH($J2167,Mapping!$A$3:$A$13,0)),"(unmapped)")),IFERROR(INDEX(Mapping!$B$17:$B$22,MATCH($F2167,Mapping!$A$17:$A$22,0)),$F2167)&amp;" "&amp;IF($G2167="Banking","Banking",IFERROR(INDEX(Mapping!$E$17:$E$28,MATCH($J2167,Mapping!$D$17:$D$28,0)),"(unmapped)")))))</f>
        <v/>
      </c>
    </row>
    <row r="2168" spans="11:11" x14ac:dyDescent="0.3">
      <c r="K2168" t="str">
        <f>IF($D2168="","",IFERROR(INDEX(Mapping!$H$3:$H$32,MATCH($B2168,Mapping!$G$3:$G$32,0)),IF(LEFT($F2168,3)="P2P",IFERROR(INDEX(Mapping!$E$3:$E$6,MATCH($G2168,Mapping!$D$3:$D$6,0)),IFERROR(INDEX(Mapping!$B$3:$B$13,MATCH($J2168,Mapping!$A$3:$A$13,0)),"(unmapped)")),IFERROR(INDEX(Mapping!$B$17:$B$22,MATCH($F2168,Mapping!$A$17:$A$22,0)),$F2168)&amp;" "&amp;IF($G2168="Banking","Banking",IFERROR(INDEX(Mapping!$E$17:$E$28,MATCH($J2168,Mapping!$D$17:$D$28,0)),"(unmapped)")))))</f>
        <v/>
      </c>
    </row>
    <row r="2169" spans="11:11" x14ac:dyDescent="0.3">
      <c r="K2169" t="str">
        <f>IF($D2169="","",IFERROR(INDEX(Mapping!$H$3:$H$32,MATCH($B2169,Mapping!$G$3:$G$32,0)),IF(LEFT($F2169,3)="P2P",IFERROR(INDEX(Mapping!$E$3:$E$6,MATCH($G2169,Mapping!$D$3:$D$6,0)),IFERROR(INDEX(Mapping!$B$3:$B$13,MATCH($J2169,Mapping!$A$3:$A$13,0)),"(unmapped)")),IFERROR(INDEX(Mapping!$B$17:$B$22,MATCH($F2169,Mapping!$A$17:$A$22,0)),$F2169)&amp;" "&amp;IF($G2169="Banking","Banking",IFERROR(INDEX(Mapping!$E$17:$E$28,MATCH($J2169,Mapping!$D$17:$D$28,0)),"(unmapped)")))))</f>
        <v/>
      </c>
    </row>
    <row r="2170" spans="11:11" x14ac:dyDescent="0.3">
      <c r="K2170" t="str">
        <f>IF($D2170="","",IFERROR(INDEX(Mapping!$H$3:$H$32,MATCH($B2170,Mapping!$G$3:$G$32,0)),IF(LEFT($F2170,3)="P2P",IFERROR(INDEX(Mapping!$E$3:$E$6,MATCH($G2170,Mapping!$D$3:$D$6,0)),IFERROR(INDEX(Mapping!$B$3:$B$13,MATCH($J2170,Mapping!$A$3:$A$13,0)),"(unmapped)")),IFERROR(INDEX(Mapping!$B$17:$B$22,MATCH($F2170,Mapping!$A$17:$A$22,0)),$F2170)&amp;" "&amp;IF($G2170="Banking","Banking",IFERROR(INDEX(Mapping!$E$17:$E$28,MATCH($J2170,Mapping!$D$17:$D$28,0)),"(unmapped)")))))</f>
        <v/>
      </c>
    </row>
    <row r="2171" spans="11:11" x14ac:dyDescent="0.3">
      <c r="K2171" t="str">
        <f>IF($D2171="","",IFERROR(INDEX(Mapping!$H$3:$H$32,MATCH($B2171,Mapping!$G$3:$G$32,0)),IF(LEFT($F2171,3)="P2P",IFERROR(INDEX(Mapping!$E$3:$E$6,MATCH($G2171,Mapping!$D$3:$D$6,0)),IFERROR(INDEX(Mapping!$B$3:$B$13,MATCH($J2171,Mapping!$A$3:$A$13,0)),"(unmapped)")),IFERROR(INDEX(Mapping!$B$17:$B$22,MATCH($F2171,Mapping!$A$17:$A$22,0)),$F2171)&amp;" "&amp;IF($G2171="Banking","Banking",IFERROR(INDEX(Mapping!$E$17:$E$28,MATCH($J2171,Mapping!$D$17:$D$28,0)),"(unmapped)")))))</f>
        <v/>
      </c>
    </row>
    <row r="2172" spans="11:11" x14ac:dyDescent="0.3">
      <c r="K2172" t="str">
        <f>IF($D2172="","",IFERROR(INDEX(Mapping!$H$3:$H$32,MATCH($B2172,Mapping!$G$3:$G$32,0)),IF(LEFT($F2172,3)="P2P",IFERROR(INDEX(Mapping!$E$3:$E$6,MATCH($G2172,Mapping!$D$3:$D$6,0)),IFERROR(INDEX(Mapping!$B$3:$B$13,MATCH($J2172,Mapping!$A$3:$A$13,0)),"(unmapped)")),IFERROR(INDEX(Mapping!$B$17:$B$22,MATCH($F2172,Mapping!$A$17:$A$22,0)),$F2172)&amp;" "&amp;IF($G2172="Banking","Banking",IFERROR(INDEX(Mapping!$E$17:$E$28,MATCH($J2172,Mapping!$D$17:$D$28,0)),"(unmapped)")))))</f>
        <v/>
      </c>
    </row>
    <row r="2173" spans="11:11" x14ac:dyDescent="0.3">
      <c r="K2173" t="str">
        <f>IF($D2173="","",IFERROR(INDEX(Mapping!$H$3:$H$32,MATCH($B2173,Mapping!$G$3:$G$32,0)),IF(LEFT($F2173,3)="P2P",IFERROR(INDEX(Mapping!$E$3:$E$6,MATCH($G2173,Mapping!$D$3:$D$6,0)),IFERROR(INDEX(Mapping!$B$3:$B$13,MATCH($J2173,Mapping!$A$3:$A$13,0)),"(unmapped)")),IFERROR(INDEX(Mapping!$B$17:$B$22,MATCH($F2173,Mapping!$A$17:$A$22,0)),$F2173)&amp;" "&amp;IF($G2173="Banking","Banking",IFERROR(INDEX(Mapping!$E$17:$E$28,MATCH($J2173,Mapping!$D$17:$D$28,0)),"(unmapped)")))))</f>
        <v/>
      </c>
    </row>
    <row r="2174" spans="11:11" x14ac:dyDescent="0.3">
      <c r="K2174" t="str">
        <f>IF($D2174="","",IFERROR(INDEX(Mapping!$H$3:$H$32,MATCH($B2174,Mapping!$G$3:$G$32,0)),IF(LEFT($F2174,3)="P2P",IFERROR(INDEX(Mapping!$E$3:$E$6,MATCH($G2174,Mapping!$D$3:$D$6,0)),IFERROR(INDEX(Mapping!$B$3:$B$13,MATCH($J2174,Mapping!$A$3:$A$13,0)),"(unmapped)")),IFERROR(INDEX(Mapping!$B$17:$B$22,MATCH($F2174,Mapping!$A$17:$A$22,0)),$F2174)&amp;" "&amp;IF($G2174="Banking","Banking",IFERROR(INDEX(Mapping!$E$17:$E$28,MATCH($J2174,Mapping!$D$17:$D$28,0)),"(unmapped)")))))</f>
        <v/>
      </c>
    </row>
    <row r="2175" spans="11:11" x14ac:dyDescent="0.3">
      <c r="K2175" t="str">
        <f>IF($D2175="","",IFERROR(INDEX(Mapping!$H$3:$H$32,MATCH($B2175,Mapping!$G$3:$G$32,0)),IF(LEFT($F2175,3)="P2P",IFERROR(INDEX(Mapping!$E$3:$E$6,MATCH($G2175,Mapping!$D$3:$D$6,0)),IFERROR(INDEX(Mapping!$B$3:$B$13,MATCH($J2175,Mapping!$A$3:$A$13,0)),"(unmapped)")),IFERROR(INDEX(Mapping!$B$17:$B$22,MATCH($F2175,Mapping!$A$17:$A$22,0)),$F2175)&amp;" "&amp;IF($G2175="Banking","Banking",IFERROR(INDEX(Mapping!$E$17:$E$28,MATCH($J2175,Mapping!$D$17:$D$28,0)),"(unmapped)")))))</f>
        <v/>
      </c>
    </row>
    <row r="2176" spans="11:11" x14ac:dyDescent="0.3">
      <c r="K2176" t="str">
        <f>IF($D2176="","",IFERROR(INDEX(Mapping!$H$3:$H$32,MATCH($B2176,Mapping!$G$3:$G$32,0)),IF(LEFT($F2176,3)="P2P",IFERROR(INDEX(Mapping!$E$3:$E$6,MATCH($G2176,Mapping!$D$3:$D$6,0)),IFERROR(INDEX(Mapping!$B$3:$B$13,MATCH($J2176,Mapping!$A$3:$A$13,0)),"(unmapped)")),IFERROR(INDEX(Mapping!$B$17:$B$22,MATCH($F2176,Mapping!$A$17:$A$22,0)),$F2176)&amp;" "&amp;IF($G2176="Banking","Banking",IFERROR(INDEX(Mapping!$E$17:$E$28,MATCH($J2176,Mapping!$D$17:$D$28,0)),"(unmapped)")))))</f>
        <v/>
      </c>
    </row>
    <row r="2177" spans="11:11" x14ac:dyDescent="0.3">
      <c r="K2177" t="str">
        <f>IF($D2177="","",IFERROR(INDEX(Mapping!$H$3:$H$32,MATCH($B2177,Mapping!$G$3:$G$32,0)),IF(LEFT($F2177,3)="P2P",IFERROR(INDEX(Mapping!$E$3:$E$6,MATCH($G2177,Mapping!$D$3:$D$6,0)),IFERROR(INDEX(Mapping!$B$3:$B$13,MATCH($J2177,Mapping!$A$3:$A$13,0)),"(unmapped)")),IFERROR(INDEX(Mapping!$B$17:$B$22,MATCH($F2177,Mapping!$A$17:$A$22,0)),$F2177)&amp;" "&amp;IF($G2177="Banking","Banking",IFERROR(INDEX(Mapping!$E$17:$E$28,MATCH($J2177,Mapping!$D$17:$D$28,0)),"(unmapped)")))))</f>
        <v/>
      </c>
    </row>
    <row r="2178" spans="11:11" x14ac:dyDescent="0.3">
      <c r="K2178" t="str">
        <f>IF($D2178="","",IFERROR(INDEX(Mapping!$H$3:$H$32,MATCH($B2178,Mapping!$G$3:$G$32,0)),IF(LEFT($F2178,3)="P2P",IFERROR(INDEX(Mapping!$E$3:$E$6,MATCH($G2178,Mapping!$D$3:$D$6,0)),IFERROR(INDEX(Mapping!$B$3:$B$13,MATCH($J2178,Mapping!$A$3:$A$13,0)),"(unmapped)")),IFERROR(INDEX(Mapping!$B$17:$B$22,MATCH($F2178,Mapping!$A$17:$A$22,0)),$F2178)&amp;" "&amp;IF($G2178="Banking","Banking",IFERROR(INDEX(Mapping!$E$17:$E$28,MATCH($J2178,Mapping!$D$17:$D$28,0)),"(unmapped)")))))</f>
        <v/>
      </c>
    </row>
    <row r="2179" spans="11:11" x14ac:dyDescent="0.3">
      <c r="K2179" t="str">
        <f>IF($D2179="","",IFERROR(INDEX(Mapping!$H$3:$H$32,MATCH($B2179,Mapping!$G$3:$G$32,0)),IF(LEFT($F2179,3)="P2P",IFERROR(INDEX(Mapping!$E$3:$E$6,MATCH($G2179,Mapping!$D$3:$D$6,0)),IFERROR(INDEX(Mapping!$B$3:$B$13,MATCH($J2179,Mapping!$A$3:$A$13,0)),"(unmapped)")),IFERROR(INDEX(Mapping!$B$17:$B$22,MATCH($F2179,Mapping!$A$17:$A$22,0)),$F2179)&amp;" "&amp;IF($G2179="Banking","Banking",IFERROR(INDEX(Mapping!$E$17:$E$28,MATCH($J2179,Mapping!$D$17:$D$28,0)),"(unmapped)")))))</f>
        <v/>
      </c>
    </row>
    <row r="2180" spans="11:11" x14ac:dyDescent="0.3">
      <c r="K2180" t="str">
        <f>IF($D2180="","",IFERROR(INDEX(Mapping!$H$3:$H$32,MATCH($B2180,Mapping!$G$3:$G$32,0)),IF(LEFT($F2180,3)="P2P",IFERROR(INDEX(Mapping!$E$3:$E$6,MATCH($G2180,Mapping!$D$3:$D$6,0)),IFERROR(INDEX(Mapping!$B$3:$B$13,MATCH($J2180,Mapping!$A$3:$A$13,0)),"(unmapped)")),IFERROR(INDEX(Mapping!$B$17:$B$22,MATCH($F2180,Mapping!$A$17:$A$22,0)),$F2180)&amp;" "&amp;IF($G2180="Banking","Banking",IFERROR(INDEX(Mapping!$E$17:$E$28,MATCH($J2180,Mapping!$D$17:$D$28,0)),"(unmapped)")))))</f>
        <v/>
      </c>
    </row>
    <row r="2181" spans="11:11" x14ac:dyDescent="0.3">
      <c r="K2181" t="str">
        <f>IF($D2181="","",IFERROR(INDEX(Mapping!$H$3:$H$32,MATCH($B2181,Mapping!$G$3:$G$32,0)),IF(LEFT($F2181,3)="P2P",IFERROR(INDEX(Mapping!$E$3:$E$6,MATCH($G2181,Mapping!$D$3:$D$6,0)),IFERROR(INDEX(Mapping!$B$3:$B$13,MATCH($J2181,Mapping!$A$3:$A$13,0)),"(unmapped)")),IFERROR(INDEX(Mapping!$B$17:$B$22,MATCH($F2181,Mapping!$A$17:$A$22,0)),$F2181)&amp;" "&amp;IF($G2181="Banking","Banking",IFERROR(INDEX(Mapping!$E$17:$E$28,MATCH($J2181,Mapping!$D$17:$D$28,0)),"(unmapped)")))))</f>
        <v/>
      </c>
    </row>
    <row r="2182" spans="11:11" x14ac:dyDescent="0.3">
      <c r="K2182" t="str">
        <f>IF($D2182="","",IFERROR(INDEX(Mapping!$H$3:$H$32,MATCH($B2182,Mapping!$G$3:$G$32,0)),IF(LEFT($F2182,3)="P2P",IFERROR(INDEX(Mapping!$E$3:$E$6,MATCH($G2182,Mapping!$D$3:$D$6,0)),IFERROR(INDEX(Mapping!$B$3:$B$13,MATCH($J2182,Mapping!$A$3:$A$13,0)),"(unmapped)")),IFERROR(INDEX(Mapping!$B$17:$B$22,MATCH($F2182,Mapping!$A$17:$A$22,0)),$F2182)&amp;" "&amp;IF($G2182="Banking","Banking",IFERROR(INDEX(Mapping!$E$17:$E$28,MATCH($J2182,Mapping!$D$17:$D$28,0)),"(unmapped)")))))</f>
        <v/>
      </c>
    </row>
    <row r="2183" spans="11:11" x14ac:dyDescent="0.3">
      <c r="K2183" t="str">
        <f>IF($D2183="","",IFERROR(INDEX(Mapping!$H$3:$H$32,MATCH($B2183,Mapping!$G$3:$G$32,0)),IF(LEFT($F2183,3)="P2P",IFERROR(INDEX(Mapping!$E$3:$E$6,MATCH($G2183,Mapping!$D$3:$D$6,0)),IFERROR(INDEX(Mapping!$B$3:$B$13,MATCH($J2183,Mapping!$A$3:$A$13,0)),"(unmapped)")),IFERROR(INDEX(Mapping!$B$17:$B$22,MATCH($F2183,Mapping!$A$17:$A$22,0)),$F2183)&amp;" "&amp;IF($G2183="Banking","Banking",IFERROR(INDEX(Mapping!$E$17:$E$28,MATCH($J2183,Mapping!$D$17:$D$28,0)),"(unmapped)")))))</f>
        <v/>
      </c>
    </row>
    <row r="2184" spans="11:11" x14ac:dyDescent="0.3">
      <c r="K2184" t="str">
        <f>IF($D2184="","",IFERROR(INDEX(Mapping!$H$3:$H$32,MATCH($B2184,Mapping!$G$3:$G$32,0)),IF(LEFT($F2184,3)="P2P",IFERROR(INDEX(Mapping!$E$3:$E$6,MATCH($G2184,Mapping!$D$3:$D$6,0)),IFERROR(INDEX(Mapping!$B$3:$B$13,MATCH($J2184,Mapping!$A$3:$A$13,0)),"(unmapped)")),IFERROR(INDEX(Mapping!$B$17:$B$22,MATCH($F2184,Mapping!$A$17:$A$22,0)),$F2184)&amp;" "&amp;IF($G2184="Banking","Banking",IFERROR(INDEX(Mapping!$E$17:$E$28,MATCH($J2184,Mapping!$D$17:$D$28,0)),"(unmapped)")))))</f>
        <v/>
      </c>
    </row>
    <row r="2185" spans="11:11" x14ac:dyDescent="0.3">
      <c r="K2185" t="str">
        <f>IF($D2185="","",IFERROR(INDEX(Mapping!$H$3:$H$32,MATCH($B2185,Mapping!$G$3:$G$32,0)),IF(LEFT($F2185,3)="P2P",IFERROR(INDEX(Mapping!$E$3:$E$6,MATCH($G2185,Mapping!$D$3:$D$6,0)),IFERROR(INDEX(Mapping!$B$3:$B$13,MATCH($J2185,Mapping!$A$3:$A$13,0)),"(unmapped)")),IFERROR(INDEX(Mapping!$B$17:$B$22,MATCH($F2185,Mapping!$A$17:$A$22,0)),$F2185)&amp;" "&amp;IF($G2185="Banking","Banking",IFERROR(INDEX(Mapping!$E$17:$E$28,MATCH($J2185,Mapping!$D$17:$D$28,0)),"(unmapped)")))))</f>
        <v/>
      </c>
    </row>
    <row r="2186" spans="11:11" x14ac:dyDescent="0.3">
      <c r="K2186" t="str">
        <f>IF($D2186="","",IFERROR(INDEX(Mapping!$H$3:$H$32,MATCH($B2186,Mapping!$G$3:$G$32,0)),IF(LEFT($F2186,3)="P2P",IFERROR(INDEX(Mapping!$E$3:$E$6,MATCH($G2186,Mapping!$D$3:$D$6,0)),IFERROR(INDEX(Mapping!$B$3:$B$13,MATCH($J2186,Mapping!$A$3:$A$13,0)),"(unmapped)")),IFERROR(INDEX(Mapping!$B$17:$B$22,MATCH($F2186,Mapping!$A$17:$A$22,0)),$F2186)&amp;" "&amp;IF($G2186="Banking","Banking",IFERROR(INDEX(Mapping!$E$17:$E$28,MATCH($J2186,Mapping!$D$17:$D$28,0)),"(unmapped)")))))</f>
        <v/>
      </c>
    </row>
    <row r="2187" spans="11:11" x14ac:dyDescent="0.3">
      <c r="K2187" t="str">
        <f>IF($D2187="","",IFERROR(INDEX(Mapping!$H$3:$H$32,MATCH($B2187,Mapping!$G$3:$G$32,0)),IF(LEFT($F2187,3)="P2P",IFERROR(INDEX(Mapping!$E$3:$E$6,MATCH($G2187,Mapping!$D$3:$D$6,0)),IFERROR(INDEX(Mapping!$B$3:$B$13,MATCH($J2187,Mapping!$A$3:$A$13,0)),"(unmapped)")),IFERROR(INDEX(Mapping!$B$17:$B$22,MATCH($F2187,Mapping!$A$17:$A$22,0)),$F2187)&amp;" "&amp;IF($G2187="Banking","Banking",IFERROR(INDEX(Mapping!$E$17:$E$28,MATCH($J2187,Mapping!$D$17:$D$28,0)),"(unmapped)")))))</f>
        <v/>
      </c>
    </row>
    <row r="2188" spans="11:11" x14ac:dyDescent="0.3">
      <c r="K2188" t="str">
        <f>IF($D2188="","",IFERROR(INDEX(Mapping!$H$3:$H$32,MATCH($B2188,Mapping!$G$3:$G$32,0)),IF(LEFT($F2188,3)="P2P",IFERROR(INDEX(Mapping!$E$3:$E$6,MATCH($G2188,Mapping!$D$3:$D$6,0)),IFERROR(INDEX(Mapping!$B$3:$B$13,MATCH($J2188,Mapping!$A$3:$A$13,0)),"(unmapped)")),IFERROR(INDEX(Mapping!$B$17:$B$22,MATCH($F2188,Mapping!$A$17:$A$22,0)),$F2188)&amp;" "&amp;IF($G2188="Banking","Banking",IFERROR(INDEX(Mapping!$E$17:$E$28,MATCH($J2188,Mapping!$D$17:$D$28,0)),"(unmapped)")))))</f>
        <v/>
      </c>
    </row>
    <row r="2189" spans="11:11" x14ac:dyDescent="0.3">
      <c r="K2189" t="str">
        <f>IF($D2189="","",IFERROR(INDEX(Mapping!$H$3:$H$32,MATCH($B2189,Mapping!$G$3:$G$32,0)),IF(LEFT($F2189,3)="P2P",IFERROR(INDEX(Mapping!$E$3:$E$6,MATCH($G2189,Mapping!$D$3:$D$6,0)),IFERROR(INDEX(Mapping!$B$3:$B$13,MATCH($J2189,Mapping!$A$3:$A$13,0)),"(unmapped)")),IFERROR(INDEX(Mapping!$B$17:$B$22,MATCH($F2189,Mapping!$A$17:$A$22,0)),$F2189)&amp;" "&amp;IF($G2189="Banking","Banking",IFERROR(INDEX(Mapping!$E$17:$E$28,MATCH($J2189,Mapping!$D$17:$D$28,0)),"(unmapped)")))))</f>
        <v/>
      </c>
    </row>
    <row r="2190" spans="11:11" x14ac:dyDescent="0.3">
      <c r="K2190" t="str">
        <f>IF($D2190="","",IFERROR(INDEX(Mapping!$H$3:$H$32,MATCH($B2190,Mapping!$G$3:$G$32,0)),IF(LEFT($F2190,3)="P2P",IFERROR(INDEX(Mapping!$E$3:$E$6,MATCH($G2190,Mapping!$D$3:$D$6,0)),IFERROR(INDEX(Mapping!$B$3:$B$13,MATCH($J2190,Mapping!$A$3:$A$13,0)),"(unmapped)")),IFERROR(INDEX(Mapping!$B$17:$B$22,MATCH($F2190,Mapping!$A$17:$A$22,0)),$F2190)&amp;" "&amp;IF($G2190="Banking","Banking",IFERROR(INDEX(Mapping!$E$17:$E$28,MATCH($J2190,Mapping!$D$17:$D$28,0)),"(unmapped)")))))</f>
        <v/>
      </c>
    </row>
    <row r="2191" spans="11:11" x14ac:dyDescent="0.3">
      <c r="K2191" t="str">
        <f>IF($D2191="","",IFERROR(INDEX(Mapping!$H$3:$H$32,MATCH($B2191,Mapping!$G$3:$G$32,0)),IF(LEFT($F2191,3)="P2P",IFERROR(INDEX(Mapping!$E$3:$E$6,MATCH($G2191,Mapping!$D$3:$D$6,0)),IFERROR(INDEX(Mapping!$B$3:$B$13,MATCH($J2191,Mapping!$A$3:$A$13,0)),"(unmapped)")),IFERROR(INDEX(Mapping!$B$17:$B$22,MATCH($F2191,Mapping!$A$17:$A$22,0)),$F2191)&amp;" "&amp;IF($G2191="Banking","Banking",IFERROR(INDEX(Mapping!$E$17:$E$28,MATCH($J2191,Mapping!$D$17:$D$28,0)),"(unmapped)")))))</f>
        <v/>
      </c>
    </row>
    <row r="2192" spans="11:11" x14ac:dyDescent="0.3">
      <c r="K2192" t="str">
        <f>IF($D2192="","",IFERROR(INDEX(Mapping!$H$3:$H$32,MATCH($B2192,Mapping!$G$3:$G$32,0)),IF(LEFT($F2192,3)="P2P",IFERROR(INDEX(Mapping!$E$3:$E$6,MATCH($G2192,Mapping!$D$3:$D$6,0)),IFERROR(INDEX(Mapping!$B$3:$B$13,MATCH($J2192,Mapping!$A$3:$A$13,0)),"(unmapped)")),IFERROR(INDEX(Mapping!$B$17:$B$22,MATCH($F2192,Mapping!$A$17:$A$22,0)),$F2192)&amp;" "&amp;IF($G2192="Banking","Banking",IFERROR(INDEX(Mapping!$E$17:$E$28,MATCH($J2192,Mapping!$D$17:$D$28,0)),"(unmapped)")))))</f>
        <v/>
      </c>
    </row>
    <row r="2193" spans="11:11" x14ac:dyDescent="0.3">
      <c r="K2193" t="str">
        <f>IF($D2193="","",IFERROR(INDEX(Mapping!$H$3:$H$32,MATCH($B2193,Mapping!$G$3:$G$32,0)),IF(LEFT($F2193,3)="P2P",IFERROR(INDEX(Mapping!$E$3:$E$6,MATCH($G2193,Mapping!$D$3:$D$6,0)),IFERROR(INDEX(Mapping!$B$3:$B$13,MATCH($J2193,Mapping!$A$3:$A$13,0)),"(unmapped)")),IFERROR(INDEX(Mapping!$B$17:$B$22,MATCH($F2193,Mapping!$A$17:$A$22,0)),$F2193)&amp;" "&amp;IF($G2193="Banking","Banking",IFERROR(INDEX(Mapping!$E$17:$E$28,MATCH($J2193,Mapping!$D$17:$D$28,0)),"(unmapped)")))))</f>
        <v/>
      </c>
    </row>
    <row r="2194" spans="11:11" x14ac:dyDescent="0.3">
      <c r="K2194" t="str">
        <f>IF($D2194="","",IFERROR(INDEX(Mapping!$H$3:$H$32,MATCH($B2194,Mapping!$G$3:$G$32,0)),IF(LEFT($F2194,3)="P2P",IFERROR(INDEX(Mapping!$E$3:$E$6,MATCH($G2194,Mapping!$D$3:$D$6,0)),IFERROR(INDEX(Mapping!$B$3:$B$13,MATCH($J2194,Mapping!$A$3:$A$13,0)),"(unmapped)")),IFERROR(INDEX(Mapping!$B$17:$B$22,MATCH($F2194,Mapping!$A$17:$A$22,0)),$F2194)&amp;" "&amp;IF($G2194="Banking","Banking",IFERROR(INDEX(Mapping!$E$17:$E$28,MATCH($J2194,Mapping!$D$17:$D$28,0)),"(unmapped)")))))</f>
        <v/>
      </c>
    </row>
    <row r="2195" spans="11:11" x14ac:dyDescent="0.3">
      <c r="K2195" t="str">
        <f>IF($D2195="","",IFERROR(INDEX(Mapping!$H$3:$H$32,MATCH($B2195,Mapping!$G$3:$G$32,0)),IF(LEFT($F2195,3)="P2P",IFERROR(INDEX(Mapping!$E$3:$E$6,MATCH($G2195,Mapping!$D$3:$D$6,0)),IFERROR(INDEX(Mapping!$B$3:$B$13,MATCH($J2195,Mapping!$A$3:$A$13,0)),"(unmapped)")),IFERROR(INDEX(Mapping!$B$17:$B$22,MATCH($F2195,Mapping!$A$17:$A$22,0)),$F2195)&amp;" "&amp;IF($G2195="Banking","Banking",IFERROR(INDEX(Mapping!$E$17:$E$28,MATCH($J2195,Mapping!$D$17:$D$28,0)),"(unmapped)")))))</f>
        <v/>
      </c>
    </row>
    <row r="2196" spans="11:11" x14ac:dyDescent="0.3">
      <c r="K2196" t="str">
        <f>IF($D2196="","",IFERROR(INDEX(Mapping!$H$3:$H$32,MATCH($B2196,Mapping!$G$3:$G$32,0)),IF(LEFT($F2196,3)="P2P",IFERROR(INDEX(Mapping!$E$3:$E$6,MATCH($G2196,Mapping!$D$3:$D$6,0)),IFERROR(INDEX(Mapping!$B$3:$B$13,MATCH($J2196,Mapping!$A$3:$A$13,0)),"(unmapped)")),IFERROR(INDEX(Mapping!$B$17:$B$22,MATCH($F2196,Mapping!$A$17:$A$22,0)),$F2196)&amp;" "&amp;IF($G2196="Banking","Banking",IFERROR(INDEX(Mapping!$E$17:$E$28,MATCH($J2196,Mapping!$D$17:$D$28,0)),"(unmapped)")))))</f>
        <v/>
      </c>
    </row>
    <row r="2197" spans="11:11" x14ac:dyDescent="0.3">
      <c r="K2197" t="str">
        <f>IF($D2197="","",IFERROR(INDEX(Mapping!$H$3:$H$32,MATCH($B2197,Mapping!$G$3:$G$32,0)),IF(LEFT($F2197,3)="P2P",IFERROR(INDEX(Mapping!$E$3:$E$6,MATCH($G2197,Mapping!$D$3:$D$6,0)),IFERROR(INDEX(Mapping!$B$3:$B$13,MATCH($J2197,Mapping!$A$3:$A$13,0)),"(unmapped)")),IFERROR(INDEX(Mapping!$B$17:$B$22,MATCH($F2197,Mapping!$A$17:$A$22,0)),$F2197)&amp;" "&amp;IF($G2197="Banking","Banking",IFERROR(INDEX(Mapping!$E$17:$E$28,MATCH($J2197,Mapping!$D$17:$D$28,0)),"(unmapped)")))))</f>
        <v/>
      </c>
    </row>
    <row r="2198" spans="11:11" x14ac:dyDescent="0.3">
      <c r="K2198" t="str">
        <f>IF($D2198="","",IFERROR(INDEX(Mapping!$H$3:$H$32,MATCH($B2198,Mapping!$G$3:$G$32,0)),IF(LEFT($F2198,3)="P2P",IFERROR(INDEX(Mapping!$E$3:$E$6,MATCH($G2198,Mapping!$D$3:$D$6,0)),IFERROR(INDEX(Mapping!$B$3:$B$13,MATCH($J2198,Mapping!$A$3:$A$13,0)),"(unmapped)")),IFERROR(INDEX(Mapping!$B$17:$B$22,MATCH($F2198,Mapping!$A$17:$A$22,0)),$F2198)&amp;" "&amp;IF($G2198="Banking","Banking",IFERROR(INDEX(Mapping!$E$17:$E$28,MATCH($J2198,Mapping!$D$17:$D$28,0)),"(unmapped)")))))</f>
        <v/>
      </c>
    </row>
    <row r="2199" spans="11:11" x14ac:dyDescent="0.3">
      <c r="K2199" t="str">
        <f>IF($D2199="","",IFERROR(INDEX(Mapping!$H$3:$H$32,MATCH($B2199,Mapping!$G$3:$G$32,0)),IF(LEFT($F2199,3)="P2P",IFERROR(INDEX(Mapping!$E$3:$E$6,MATCH($G2199,Mapping!$D$3:$D$6,0)),IFERROR(INDEX(Mapping!$B$3:$B$13,MATCH($J2199,Mapping!$A$3:$A$13,0)),"(unmapped)")),IFERROR(INDEX(Mapping!$B$17:$B$22,MATCH($F2199,Mapping!$A$17:$A$22,0)),$F2199)&amp;" "&amp;IF($G2199="Banking","Banking",IFERROR(INDEX(Mapping!$E$17:$E$28,MATCH($J2199,Mapping!$D$17:$D$28,0)),"(unmapped)")))))</f>
        <v/>
      </c>
    </row>
    <row r="2200" spans="11:11" x14ac:dyDescent="0.3">
      <c r="K2200" t="str">
        <f>IF($D2200="","",IFERROR(INDEX(Mapping!$H$3:$H$32,MATCH($B2200,Mapping!$G$3:$G$32,0)),IF(LEFT($F2200,3)="P2P",IFERROR(INDEX(Mapping!$E$3:$E$6,MATCH($G2200,Mapping!$D$3:$D$6,0)),IFERROR(INDEX(Mapping!$B$3:$B$13,MATCH($J2200,Mapping!$A$3:$A$13,0)),"(unmapped)")),IFERROR(INDEX(Mapping!$B$17:$B$22,MATCH($F2200,Mapping!$A$17:$A$22,0)),$F2200)&amp;" "&amp;IF($G2200="Banking","Banking",IFERROR(INDEX(Mapping!$E$17:$E$28,MATCH($J2200,Mapping!$D$17:$D$28,0)),"(unmapped)")))))</f>
        <v/>
      </c>
    </row>
    <row r="2201" spans="11:11" x14ac:dyDescent="0.3">
      <c r="K2201" t="str">
        <f>IF($D2201="","",IFERROR(INDEX(Mapping!$H$3:$H$32,MATCH($B2201,Mapping!$G$3:$G$32,0)),IF(LEFT($F2201,3)="P2P",IFERROR(INDEX(Mapping!$E$3:$E$6,MATCH($G2201,Mapping!$D$3:$D$6,0)),IFERROR(INDEX(Mapping!$B$3:$B$13,MATCH($J2201,Mapping!$A$3:$A$13,0)),"(unmapped)")),IFERROR(INDEX(Mapping!$B$17:$B$22,MATCH($F2201,Mapping!$A$17:$A$22,0)),$F2201)&amp;" "&amp;IF($G2201="Banking","Banking",IFERROR(INDEX(Mapping!$E$17:$E$28,MATCH($J2201,Mapping!$D$17:$D$28,0)),"(unmapped)")))))</f>
        <v/>
      </c>
    </row>
    <row r="2202" spans="11:11" x14ac:dyDescent="0.3">
      <c r="K2202" t="str">
        <f>IF($D2202="","",IFERROR(INDEX(Mapping!$H$3:$H$32,MATCH($B2202,Mapping!$G$3:$G$32,0)),IF(LEFT($F2202,3)="P2P",IFERROR(INDEX(Mapping!$E$3:$E$6,MATCH($G2202,Mapping!$D$3:$D$6,0)),IFERROR(INDEX(Mapping!$B$3:$B$13,MATCH($J2202,Mapping!$A$3:$A$13,0)),"(unmapped)")),IFERROR(INDEX(Mapping!$B$17:$B$22,MATCH($F2202,Mapping!$A$17:$A$22,0)),$F2202)&amp;" "&amp;IF($G2202="Banking","Banking",IFERROR(INDEX(Mapping!$E$17:$E$28,MATCH($J2202,Mapping!$D$17:$D$28,0)),"(unmapped)")))))</f>
        <v/>
      </c>
    </row>
    <row r="2203" spans="11:11" x14ac:dyDescent="0.3">
      <c r="K2203" t="str">
        <f>IF($D2203="","",IFERROR(INDEX(Mapping!$H$3:$H$32,MATCH($B2203,Mapping!$G$3:$G$32,0)),IF(LEFT($F2203,3)="P2P",IFERROR(INDEX(Mapping!$E$3:$E$6,MATCH($G2203,Mapping!$D$3:$D$6,0)),IFERROR(INDEX(Mapping!$B$3:$B$13,MATCH($J2203,Mapping!$A$3:$A$13,0)),"(unmapped)")),IFERROR(INDEX(Mapping!$B$17:$B$22,MATCH($F2203,Mapping!$A$17:$A$22,0)),$F2203)&amp;" "&amp;IF($G2203="Banking","Banking",IFERROR(INDEX(Mapping!$E$17:$E$28,MATCH($J2203,Mapping!$D$17:$D$28,0)),"(unmapped)")))))</f>
        <v/>
      </c>
    </row>
    <row r="2204" spans="11:11" x14ac:dyDescent="0.3">
      <c r="K2204" t="str">
        <f>IF($D2204="","",IFERROR(INDEX(Mapping!$H$3:$H$32,MATCH($B2204,Mapping!$G$3:$G$32,0)),IF(LEFT($F2204,3)="P2P",IFERROR(INDEX(Mapping!$E$3:$E$6,MATCH($G2204,Mapping!$D$3:$D$6,0)),IFERROR(INDEX(Mapping!$B$3:$B$13,MATCH($J2204,Mapping!$A$3:$A$13,0)),"(unmapped)")),IFERROR(INDEX(Mapping!$B$17:$B$22,MATCH($F2204,Mapping!$A$17:$A$22,0)),$F2204)&amp;" "&amp;IF($G2204="Banking","Banking",IFERROR(INDEX(Mapping!$E$17:$E$28,MATCH($J2204,Mapping!$D$17:$D$28,0)),"(unmapped)")))))</f>
        <v/>
      </c>
    </row>
    <row r="2205" spans="11:11" x14ac:dyDescent="0.3">
      <c r="K2205" t="str">
        <f>IF($D2205="","",IFERROR(INDEX(Mapping!$H$3:$H$32,MATCH($B2205,Mapping!$G$3:$G$32,0)),IF(LEFT($F2205,3)="P2P",IFERROR(INDEX(Mapping!$E$3:$E$6,MATCH($G2205,Mapping!$D$3:$D$6,0)),IFERROR(INDEX(Mapping!$B$3:$B$13,MATCH($J2205,Mapping!$A$3:$A$13,0)),"(unmapped)")),IFERROR(INDEX(Mapping!$B$17:$B$22,MATCH($F2205,Mapping!$A$17:$A$22,0)),$F2205)&amp;" "&amp;IF($G2205="Banking","Banking",IFERROR(INDEX(Mapping!$E$17:$E$28,MATCH($J2205,Mapping!$D$17:$D$28,0)),"(unmapped)")))))</f>
        <v/>
      </c>
    </row>
    <row r="2206" spans="11:11" x14ac:dyDescent="0.3">
      <c r="K2206" t="str">
        <f>IF($D2206="","",IFERROR(INDEX(Mapping!$H$3:$H$32,MATCH($B2206,Mapping!$G$3:$G$32,0)),IF(LEFT($F2206,3)="P2P",IFERROR(INDEX(Mapping!$E$3:$E$6,MATCH($G2206,Mapping!$D$3:$D$6,0)),IFERROR(INDEX(Mapping!$B$3:$B$13,MATCH($J2206,Mapping!$A$3:$A$13,0)),"(unmapped)")),IFERROR(INDEX(Mapping!$B$17:$B$22,MATCH($F2206,Mapping!$A$17:$A$22,0)),$F2206)&amp;" "&amp;IF($G2206="Banking","Banking",IFERROR(INDEX(Mapping!$E$17:$E$28,MATCH($J2206,Mapping!$D$17:$D$28,0)),"(unmapped)")))))</f>
        <v/>
      </c>
    </row>
    <row r="2207" spans="11:11" x14ac:dyDescent="0.3">
      <c r="K2207" t="str">
        <f>IF($D2207="","",IFERROR(INDEX(Mapping!$H$3:$H$32,MATCH($B2207,Mapping!$G$3:$G$32,0)),IF(LEFT($F2207,3)="P2P",IFERROR(INDEX(Mapping!$E$3:$E$6,MATCH($G2207,Mapping!$D$3:$D$6,0)),IFERROR(INDEX(Mapping!$B$3:$B$13,MATCH($J2207,Mapping!$A$3:$A$13,0)),"(unmapped)")),IFERROR(INDEX(Mapping!$B$17:$B$22,MATCH($F2207,Mapping!$A$17:$A$22,0)),$F2207)&amp;" "&amp;IF($G2207="Banking","Banking",IFERROR(INDEX(Mapping!$E$17:$E$28,MATCH($J2207,Mapping!$D$17:$D$28,0)),"(unmapped)")))))</f>
        <v/>
      </c>
    </row>
    <row r="2208" spans="11:11" x14ac:dyDescent="0.3">
      <c r="K2208" t="str">
        <f>IF($D2208="","",IFERROR(INDEX(Mapping!$H$3:$H$32,MATCH($B2208,Mapping!$G$3:$G$32,0)),IF(LEFT($F2208,3)="P2P",IFERROR(INDEX(Mapping!$E$3:$E$6,MATCH($G2208,Mapping!$D$3:$D$6,0)),IFERROR(INDEX(Mapping!$B$3:$B$13,MATCH($J2208,Mapping!$A$3:$A$13,0)),"(unmapped)")),IFERROR(INDEX(Mapping!$B$17:$B$22,MATCH($F2208,Mapping!$A$17:$A$22,0)),$F2208)&amp;" "&amp;IF($G2208="Banking","Banking",IFERROR(INDEX(Mapping!$E$17:$E$28,MATCH($J2208,Mapping!$D$17:$D$28,0)),"(unmapped)")))))</f>
        <v/>
      </c>
    </row>
    <row r="2209" spans="11:11" x14ac:dyDescent="0.3">
      <c r="K2209" t="str">
        <f>IF($D2209="","",IFERROR(INDEX(Mapping!$H$3:$H$32,MATCH($B2209,Mapping!$G$3:$G$32,0)),IF(LEFT($F2209,3)="P2P",IFERROR(INDEX(Mapping!$E$3:$E$6,MATCH($G2209,Mapping!$D$3:$D$6,0)),IFERROR(INDEX(Mapping!$B$3:$B$13,MATCH($J2209,Mapping!$A$3:$A$13,0)),"(unmapped)")),IFERROR(INDEX(Mapping!$B$17:$B$22,MATCH($F2209,Mapping!$A$17:$A$22,0)),$F2209)&amp;" "&amp;IF($G2209="Banking","Banking",IFERROR(INDEX(Mapping!$E$17:$E$28,MATCH($J2209,Mapping!$D$17:$D$28,0)),"(unmapped)")))))</f>
        <v/>
      </c>
    </row>
    <row r="2210" spans="11:11" x14ac:dyDescent="0.3">
      <c r="K2210" t="str">
        <f>IF($D2210="","",IFERROR(INDEX(Mapping!$H$3:$H$32,MATCH($B2210,Mapping!$G$3:$G$32,0)),IF(LEFT($F2210,3)="P2P",IFERROR(INDEX(Mapping!$E$3:$E$6,MATCH($G2210,Mapping!$D$3:$D$6,0)),IFERROR(INDEX(Mapping!$B$3:$B$13,MATCH($J2210,Mapping!$A$3:$A$13,0)),"(unmapped)")),IFERROR(INDEX(Mapping!$B$17:$B$22,MATCH($F2210,Mapping!$A$17:$A$22,0)),$F2210)&amp;" "&amp;IF($G2210="Banking","Banking",IFERROR(INDEX(Mapping!$E$17:$E$28,MATCH($J2210,Mapping!$D$17:$D$28,0)),"(unmapped)")))))</f>
        <v/>
      </c>
    </row>
    <row r="2211" spans="11:11" x14ac:dyDescent="0.3">
      <c r="K2211" t="str">
        <f>IF($D2211="","",IFERROR(INDEX(Mapping!$H$3:$H$32,MATCH($B2211,Mapping!$G$3:$G$32,0)),IF(LEFT($F2211,3)="P2P",IFERROR(INDEX(Mapping!$E$3:$E$6,MATCH($G2211,Mapping!$D$3:$D$6,0)),IFERROR(INDEX(Mapping!$B$3:$B$13,MATCH($J2211,Mapping!$A$3:$A$13,0)),"(unmapped)")),IFERROR(INDEX(Mapping!$B$17:$B$22,MATCH($F2211,Mapping!$A$17:$A$22,0)),$F2211)&amp;" "&amp;IF($G2211="Banking","Banking",IFERROR(INDEX(Mapping!$E$17:$E$28,MATCH($J2211,Mapping!$D$17:$D$28,0)),"(unmapped)")))))</f>
        <v/>
      </c>
    </row>
    <row r="2212" spans="11:11" x14ac:dyDescent="0.3">
      <c r="K2212" t="str">
        <f>IF($D2212="","",IFERROR(INDEX(Mapping!$H$3:$H$32,MATCH($B2212,Mapping!$G$3:$G$32,0)),IF(LEFT($F2212,3)="P2P",IFERROR(INDEX(Mapping!$E$3:$E$6,MATCH($G2212,Mapping!$D$3:$D$6,0)),IFERROR(INDEX(Mapping!$B$3:$B$13,MATCH($J2212,Mapping!$A$3:$A$13,0)),"(unmapped)")),IFERROR(INDEX(Mapping!$B$17:$B$22,MATCH($F2212,Mapping!$A$17:$A$22,0)),$F2212)&amp;" "&amp;IF($G2212="Banking","Banking",IFERROR(INDEX(Mapping!$E$17:$E$28,MATCH($J2212,Mapping!$D$17:$D$28,0)),"(unmapped)")))))</f>
        <v/>
      </c>
    </row>
    <row r="2213" spans="11:11" x14ac:dyDescent="0.3">
      <c r="K2213" t="str">
        <f>IF($D2213="","",IFERROR(INDEX(Mapping!$H$3:$H$32,MATCH($B2213,Mapping!$G$3:$G$32,0)),IF(LEFT($F2213,3)="P2P",IFERROR(INDEX(Mapping!$E$3:$E$6,MATCH($G2213,Mapping!$D$3:$D$6,0)),IFERROR(INDEX(Mapping!$B$3:$B$13,MATCH($J2213,Mapping!$A$3:$A$13,0)),"(unmapped)")),IFERROR(INDEX(Mapping!$B$17:$B$22,MATCH($F2213,Mapping!$A$17:$A$22,0)),$F2213)&amp;" "&amp;IF($G2213="Banking","Banking",IFERROR(INDEX(Mapping!$E$17:$E$28,MATCH($J2213,Mapping!$D$17:$D$28,0)),"(unmapped)")))))</f>
        <v/>
      </c>
    </row>
    <row r="2214" spans="11:11" x14ac:dyDescent="0.3">
      <c r="K2214" t="str">
        <f>IF($D2214="","",IFERROR(INDEX(Mapping!$H$3:$H$32,MATCH($B2214,Mapping!$G$3:$G$32,0)),IF(LEFT($F2214,3)="P2P",IFERROR(INDEX(Mapping!$E$3:$E$6,MATCH($G2214,Mapping!$D$3:$D$6,0)),IFERROR(INDEX(Mapping!$B$3:$B$13,MATCH($J2214,Mapping!$A$3:$A$13,0)),"(unmapped)")),IFERROR(INDEX(Mapping!$B$17:$B$22,MATCH($F2214,Mapping!$A$17:$A$22,0)),$F2214)&amp;" "&amp;IF($G2214="Banking","Banking",IFERROR(INDEX(Mapping!$E$17:$E$28,MATCH($J2214,Mapping!$D$17:$D$28,0)),"(unmapped)")))))</f>
        <v/>
      </c>
    </row>
    <row r="2215" spans="11:11" x14ac:dyDescent="0.3">
      <c r="K2215" t="str">
        <f>IF($D2215="","",IFERROR(INDEX(Mapping!$H$3:$H$32,MATCH($B2215,Mapping!$G$3:$G$32,0)),IF(LEFT($F2215,3)="P2P",IFERROR(INDEX(Mapping!$E$3:$E$6,MATCH($G2215,Mapping!$D$3:$D$6,0)),IFERROR(INDEX(Mapping!$B$3:$B$13,MATCH($J2215,Mapping!$A$3:$A$13,0)),"(unmapped)")),IFERROR(INDEX(Mapping!$B$17:$B$22,MATCH($F2215,Mapping!$A$17:$A$22,0)),$F2215)&amp;" "&amp;IF($G2215="Banking","Banking",IFERROR(INDEX(Mapping!$E$17:$E$28,MATCH($J2215,Mapping!$D$17:$D$28,0)),"(unmapped)")))))</f>
        <v/>
      </c>
    </row>
    <row r="2216" spans="11:11" x14ac:dyDescent="0.3">
      <c r="K2216" t="str">
        <f>IF($D2216="","",IFERROR(INDEX(Mapping!$H$3:$H$32,MATCH($B2216,Mapping!$G$3:$G$32,0)),IF(LEFT($F2216,3)="P2P",IFERROR(INDEX(Mapping!$E$3:$E$6,MATCH($G2216,Mapping!$D$3:$D$6,0)),IFERROR(INDEX(Mapping!$B$3:$B$13,MATCH($J2216,Mapping!$A$3:$A$13,0)),"(unmapped)")),IFERROR(INDEX(Mapping!$B$17:$B$22,MATCH($F2216,Mapping!$A$17:$A$22,0)),$F2216)&amp;" "&amp;IF($G2216="Banking","Banking",IFERROR(INDEX(Mapping!$E$17:$E$28,MATCH($J2216,Mapping!$D$17:$D$28,0)),"(unmapped)")))))</f>
        <v/>
      </c>
    </row>
    <row r="2217" spans="11:11" x14ac:dyDescent="0.3">
      <c r="K2217" t="str">
        <f>IF($D2217="","",IFERROR(INDEX(Mapping!$H$3:$H$32,MATCH($B2217,Mapping!$G$3:$G$32,0)),IF(LEFT($F2217,3)="P2P",IFERROR(INDEX(Mapping!$E$3:$E$6,MATCH($G2217,Mapping!$D$3:$D$6,0)),IFERROR(INDEX(Mapping!$B$3:$B$13,MATCH($J2217,Mapping!$A$3:$A$13,0)),"(unmapped)")),IFERROR(INDEX(Mapping!$B$17:$B$22,MATCH($F2217,Mapping!$A$17:$A$22,0)),$F2217)&amp;" "&amp;IF($G2217="Banking","Banking",IFERROR(INDEX(Mapping!$E$17:$E$28,MATCH($J2217,Mapping!$D$17:$D$28,0)),"(unmapped)")))))</f>
        <v/>
      </c>
    </row>
    <row r="2218" spans="11:11" x14ac:dyDescent="0.3">
      <c r="K2218" t="str">
        <f>IF($D2218="","",IFERROR(INDEX(Mapping!$H$3:$H$32,MATCH($B2218,Mapping!$G$3:$G$32,0)),IF(LEFT($F2218,3)="P2P",IFERROR(INDEX(Mapping!$E$3:$E$6,MATCH($G2218,Mapping!$D$3:$D$6,0)),IFERROR(INDEX(Mapping!$B$3:$B$13,MATCH($J2218,Mapping!$A$3:$A$13,0)),"(unmapped)")),IFERROR(INDEX(Mapping!$B$17:$B$22,MATCH($F2218,Mapping!$A$17:$A$22,0)),$F2218)&amp;" "&amp;IF($G2218="Banking","Banking",IFERROR(INDEX(Mapping!$E$17:$E$28,MATCH($J2218,Mapping!$D$17:$D$28,0)),"(unmapped)")))))</f>
        <v/>
      </c>
    </row>
    <row r="2219" spans="11:11" x14ac:dyDescent="0.3">
      <c r="K2219" t="str">
        <f>IF($D2219="","",IFERROR(INDEX(Mapping!$H$3:$H$32,MATCH($B2219,Mapping!$G$3:$G$32,0)),IF(LEFT($F2219,3)="P2P",IFERROR(INDEX(Mapping!$E$3:$E$6,MATCH($G2219,Mapping!$D$3:$D$6,0)),IFERROR(INDEX(Mapping!$B$3:$B$13,MATCH($J2219,Mapping!$A$3:$A$13,0)),"(unmapped)")),IFERROR(INDEX(Mapping!$B$17:$B$22,MATCH($F2219,Mapping!$A$17:$A$22,0)),$F2219)&amp;" "&amp;IF($G2219="Banking","Banking",IFERROR(INDEX(Mapping!$E$17:$E$28,MATCH($J2219,Mapping!$D$17:$D$28,0)),"(unmapped)")))))</f>
        <v/>
      </c>
    </row>
    <row r="2220" spans="11:11" x14ac:dyDescent="0.3">
      <c r="K2220" t="str">
        <f>IF($D2220="","",IFERROR(INDEX(Mapping!$H$3:$H$32,MATCH($B2220,Mapping!$G$3:$G$32,0)),IF(LEFT($F2220,3)="P2P",IFERROR(INDEX(Mapping!$E$3:$E$6,MATCH($G2220,Mapping!$D$3:$D$6,0)),IFERROR(INDEX(Mapping!$B$3:$B$13,MATCH($J2220,Mapping!$A$3:$A$13,0)),"(unmapped)")),IFERROR(INDEX(Mapping!$B$17:$B$22,MATCH($F2220,Mapping!$A$17:$A$22,0)),$F2220)&amp;" "&amp;IF($G2220="Banking","Banking",IFERROR(INDEX(Mapping!$E$17:$E$28,MATCH($J2220,Mapping!$D$17:$D$28,0)),"(unmapped)")))))</f>
        <v/>
      </c>
    </row>
    <row r="2221" spans="11:11" x14ac:dyDescent="0.3">
      <c r="K2221" t="str">
        <f>IF($D2221="","",IFERROR(INDEX(Mapping!$H$3:$H$32,MATCH($B2221,Mapping!$G$3:$G$32,0)),IF(LEFT($F2221,3)="P2P",IFERROR(INDEX(Mapping!$E$3:$E$6,MATCH($G2221,Mapping!$D$3:$D$6,0)),IFERROR(INDEX(Mapping!$B$3:$B$13,MATCH($J2221,Mapping!$A$3:$A$13,0)),"(unmapped)")),IFERROR(INDEX(Mapping!$B$17:$B$22,MATCH($F2221,Mapping!$A$17:$A$22,0)),$F2221)&amp;" "&amp;IF($G2221="Banking","Banking",IFERROR(INDEX(Mapping!$E$17:$E$28,MATCH($J2221,Mapping!$D$17:$D$28,0)),"(unmapped)")))))</f>
        <v/>
      </c>
    </row>
    <row r="2222" spans="11:11" x14ac:dyDescent="0.3">
      <c r="K2222" t="str">
        <f>IF($D2222="","",IFERROR(INDEX(Mapping!$H$3:$H$32,MATCH($B2222,Mapping!$G$3:$G$32,0)),IF(LEFT($F2222,3)="P2P",IFERROR(INDEX(Mapping!$E$3:$E$6,MATCH($G2222,Mapping!$D$3:$D$6,0)),IFERROR(INDEX(Mapping!$B$3:$B$13,MATCH($J2222,Mapping!$A$3:$A$13,0)),"(unmapped)")),IFERROR(INDEX(Mapping!$B$17:$B$22,MATCH($F2222,Mapping!$A$17:$A$22,0)),$F2222)&amp;" "&amp;IF($G2222="Banking","Banking",IFERROR(INDEX(Mapping!$E$17:$E$28,MATCH($J2222,Mapping!$D$17:$D$28,0)),"(unmapped)")))))</f>
        <v/>
      </c>
    </row>
    <row r="2223" spans="11:11" x14ac:dyDescent="0.3">
      <c r="K2223" t="str">
        <f>IF($D2223="","",IFERROR(INDEX(Mapping!$H$3:$H$32,MATCH($B2223,Mapping!$G$3:$G$32,0)),IF(LEFT($F2223,3)="P2P",IFERROR(INDEX(Mapping!$E$3:$E$6,MATCH($G2223,Mapping!$D$3:$D$6,0)),IFERROR(INDEX(Mapping!$B$3:$B$13,MATCH($J2223,Mapping!$A$3:$A$13,0)),"(unmapped)")),IFERROR(INDEX(Mapping!$B$17:$B$22,MATCH($F2223,Mapping!$A$17:$A$22,0)),$F2223)&amp;" "&amp;IF($G2223="Banking","Banking",IFERROR(INDEX(Mapping!$E$17:$E$28,MATCH($J2223,Mapping!$D$17:$D$28,0)),"(unmapped)")))))</f>
        <v/>
      </c>
    </row>
    <row r="2224" spans="11:11" x14ac:dyDescent="0.3">
      <c r="K2224" t="str">
        <f>IF($D2224="","",IFERROR(INDEX(Mapping!$H$3:$H$32,MATCH($B2224,Mapping!$G$3:$G$32,0)),IF(LEFT($F2224,3)="P2P",IFERROR(INDEX(Mapping!$E$3:$E$6,MATCH($G2224,Mapping!$D$3:$D$6,0)),IFERROR(INDEX(Mapping!$B$3:$B$13,MATCH($J2224,Mapping!$A$3:$A$13,0)),"(unmapped)")),IFERROR(INDEX(Mapping!$B$17:$B$22,MATCH($F2224,Mapping!$A$17:$A$22,0)),$F2224)&amp;" "&amp;IF($G2224="Banking","Banking",IFERROR(INDEX(Mapping!$E$17:$E$28,MATCH($J2224,Mapping!$D$17:$D$28,0)),"(unmapped)")))))</f>
        <v/>
      </c>
    </row>
    <row r="2225" spans="11:11" x14ac:dyDescent="0.3">
      <c r="K2225" t="str">
        <f>IF($D2225="","",IFERROR(INDEX(Mapping!$H$3:$H$32,MATCH($B2225,Mapping!$G$3:$G$32,0)),IF(LEFT($F2225,3)="P2P",IFERROR(INDEX(Mapping!$E$3:$E$6,MATCH($G2225,Mapping!$D$3:$D$6,0)),IFERROR(INDEX(Mapping!$B$3:$B$13,MATCH($J2225,Mapping!$A$3:$A$13,0)),"(unmapped)")),IFERROR(INDEX(Mapping!$B$17:$B$22,MATCH($F2225,Mapping!$A$17:$A$22,0)),$F2225)&amp;" "&amp;IF($G2225="Banking","Banking",IFERROR(INDEX(Mapping!$E$17:$E$28,MATCH($J2225,Mapping!$D$17:$D$28,0)),"(unmapped)")))))</f>
        <v/>
      </c>
    </row>
    <row r="2226" spans="11:11" x14ac:dyDescent="0.3">
      <c r="K2226" t="str">
        <f>IF($D2226="","",IFERROR(INDEX(Mapping!$H$3:$H$32,MATCH($B2226,Mapping!$G$3:$G$32,0)),IF(LEFT($F2226,3)="P2P",IFERROR(INDEX(Mapping!$E$3:$E$6,MATCH($G2226,Mapping!$D$3:$D$6,0)),IFERROR(INDEX(Mapping!$B$3:$B$13,MATCH($J2226,Mapping!$A$3:$A$13,0)),"(unmapped)")),IFERROR(INDEX(Mapping!$B$17:$B$22,MATCH($F2226,Mapping!$A$17:$A$22,0)),$F2226)&amp;" "&amp;IF($G2226="Banking","Banking",IFERROR(INDEX(Mapping!$E$17:$E$28,MATCH($J2226,Mapping!$D$17:$D$28,0)),"(unmapped)")))))</f>
        <v/>
      </c>
    </row>
    <row r="2227" spans="11:11" x14ac:dyDescent="0.3">
      <c r="K2227" t="str">
        <f>IF($D2227="","",IFERROR(INDEX(Mapping!$H$3:$H$32,MATCH($B2227,Mapping!$G$3:$G$32,0)),IF(LEFT($F2227,3)="P2P",IFERROR(INDEX(Mapping!$E$3:$E$6,MATCH($G2227,Mapping!$D$3:$D$6,0)),IFERROR(INDEX(Mapping!$B$3:$B$13,MATCH($J2227,Mapping!$A$3:$A$13,0)),"(unmapped)")),IFERROR(INDEX(Mapping!$B$17:$B$22,MATCH($F2227,Mapping!$A$17:$A$22,0)),$F2227)&amp;" "&amp;IF($G2227="Banking","Banking",IFERROR(INDEX(Mapping!$E$17:$E$28,MATCH($J2227,Mapping!$D$17:$D$28,0)),"(unmapped)")))))</f>
        <v/>
      </c>
    </row>
    <row r="2228" spans="11:11" x14ac:dyDescent="0.3">
      <c r="K2228" t="str">
        <f>IF($D2228="","",IFERROR(INDEX(Mapping!$H$3:$H$32,MATCH($B2228,Mapping!$G$3:$G$32,0)),IF(LEFT($F2228,3)="P2P",IFERROR(INDEX(Mapping!$E$3:$E$6,MATCH($G2228,Mapping!$D$3:$D$6,0)),IFERROR(INDEX(Mapping!$B$3:$B$13,MATCH($J2228,Mapping!$A$3:$A$13,0)),"(unmapped)")),IFERROR(INDEX(Mapping!$B$17:$B$22,MATCH($F2228,Mapping!$A$17:$A$22,0)),$F2228)&amp;" "&amp;IF($G2228="Banking","Banking",IFERROR(INDEX(Mapping!$E$17:$E$28,MATCH($J2228,Mapping!$D$17:$D$28,0)),"(unmapped)")))))</f>
        <v/>
      </c>
    </row>
    <row r="2229" spans="11:11" x14ac:dyDescent="0.3">
      <c r="K2229" t="str">
        <f>IF($D2229="","",IFERROR(INDEX(Mapping!$H$3:$H$32,MATCH($B2229,Mapping!$G$3:$G$32,0)),IF(LEFT($F2229,3)="P2P",IFERROR(INDEX(Mapping!$E$3:$E$6,MATCH($G2229,Mapping!$D$3:$D$6,0)),IFERROR(INDEX(Mapping!$B$3:$B$13,MATCH($J2229,Mapping!$A$3:$A$13,0)),"(unmapped)")),IFERROR(INDEX(Mapping!$B$17:$B$22,MATCH($F2229,Mapping!$A$17:$A$22,0)),$F2229)&amp;" "&amp;IF($G2229="Banking","Banking",IFERROR(INDEX(Mapping!$E$17:$E$28,MATCH($J2229,Mapping!$D$17:$D$28,0)),"(unmapped)")))))</f>
        <v/>
      </c>
    </row>
    <row r="2230" spans="11:11" x14ac:dyDescent="0.3">
      <c r="K2230" t="str">
        <f>IF($D2230="","",IFERROR(INDEX(Mapping!$H$3:$H$32,MATCH($B2230,Mapping!$G$3:$G$32,0)),IF(LEFT($F2230,3)="P2P",IFERROR(INDEX(Mapping!$E$3:$E$6,MATCH($G2230,Mapping!$D$3:$D$6,0)),IFERROR(INDEX(Mapping!$B$3:$B$13,MATCH($J2230,Mapping!$A$3:$A$13,0)),"(unmapped)")),IFERROR(INDEX(Mapping!$B$17:$B$22,MATCH($F2230,Mapping!$A$17:$A$22,0)),$F2230)&amp;" "&amp;IF($G2230="Banking","Banking",IFERROR(INDEX(Mapping!$E$17:$E$28,MATCH($J2230,Mapping!$D$17:$D$28,0)),"(unmapped)")))))</f>
        <v/>
      </c>
    </row>
    <row r="2231" spans="11:11" x14ac:dyDescent="0.3">
      <c r="K2231" t="str">
        <f>IF($D2231="","",IFERROR(INDEX(Mapping!$H$3:$H$32,MATCH($B2231,Mapping!$G$3:$G$32,0)),IF(LEFT($F2231,3)="P2P",IFERROR(INDEX(Mapping!$E$3:$E$6,MATCH($G2231,Mapping!$D$3:$D$6,0)),IFERROR(INDEX(Mapping!$B$3:$B$13,MATCH($J2231,Mapping!$A$3:$A$13,0)),"(unmapped)")),IFERROR(INDEX(Mapping!$B$17:$B$22,MATCH($F2231,Mapping!$A$17:$A$22,0)),$F2231)&amp;" "&amp;IF($G2231="Banking","Banking",IFERROR(INDEX(Mapping!$E$17:$E$28,MATCH($J2231,Mapping!$D$17:$D$28,0)),"(unmapped)")))))</f>
        <v/>
      </c>
    </row>
    <row r="2232" spans="11:11" x14ac:dyDescent="0.3">
      <c r="K2232" t="str">
        <f>IF($D2232="","",IFERROR(INDEX(Mapping!$H$3:$H$32,MATCH($B2232,Mapping!$G$3:$G$32,0)),IF(LEFT($F2232,3)="P2P",IFERROR(INDEX(Mapping!$E$3:$E$6,MATCH($G2232,Mapping!$D$3:$D$6,0)),IFERROR(INDEX(Mapping!$B$3:$B$13,MATCH($J2232,Mapping!$A$3:$A$13,0)),"(unmapped)")),IFERROR(INDEX(Mapping!$B$17:$B$22,MATCH($F2232,Mapping!$A$17:$A$22,0)),$F2232)&amp;" "&amp;IF($G2232="Banking","Banking",IFERROR(INDEX(Mapping!$E$17:$E$28,MATCH($J2232,Mapping!$D$17:$D$28,0)),"(unmapped)")))))</f>
        <v/>
      </c>
    </row>
    <row r="2233" spans="11:11" x14ac:dyDescent="0.3">
      <c r="K2233" t="str">
        <f>IF($D2233="","",IFERROR(INDEX(Mapping!$H$3:$H$32,MATCH($B2233,Mapping!$G$3:$G$32,0)),IF(LEFT($F2233,3)="P2P",IFERROR(INDEX(Mapping!$E$3:$E$6,MATCH($G2233,Mapping!$D$3:$D$6,0)),IFERROR(INDEX(Mapping!$B$3:$B$13,MATCH($J2233,Mapping!$A$3:$A$13,0)),"(unmapped)")),IFERROR(INDEX(Mapping!$B$17:$B$22,MATCH($F2233,Mapping!$A$17:$A$22,0)),$F2233)&amp;" "&amp;IF($G2233="Banking","Banking",IFERROR(INDEX(Mapping!$E$17:$E$28,MATCH($J2233,Mapping!$D$17:$D$28,0)),"(unmapped)")))))</f>
        <v/>
      </c>
    </row>
    <row r="2234" spans="11:11" x14ac:dyDescent="0.3">
      <c r="K2234" t="str">
        <f>IF($D2234="","",IFERROR(INDEX(Mapping!$H$3:$H$32,MATCH($B2234,Mapping!$G$3:$G$32,0)),IF(LEFT($F2234,3)="P2P",IFERROR(INDEX(Mapping!$E$3:$E$6,MATCH($G2234,Mapping!$D$3:$D$6,0)),IFERROR(INDEX(Mapping!$B$3:$B$13,MATCH($J2234,Mapping!$A$3:$A$13,0)),"(unmapped)")),IFERROR(INDEX(Mapping!$B$17:$B$22,MATCH($F2234,Mapping!$A$17:$A$22,0)),$F2234)&amp;" "&amp;IF($G2234="Banking","Banking",IFERROR(INDEX(Mapping!$E$17:$E$28,MATCH($J2234,Mapping!$D$17:$D$28,0)),"(unmapped)")))))</f>
        <v/>
      </c>
    </row>
    <row r="2235" spans="11:11" x14ac:dyDescent="0.3">
      <c r="K2235" t="str">
        <f>IF($D2235="","",IFERROR(INDEX(Mapping!$H$3:$H$32,MATCH($B2235,Mapping!$G$3:$G$32,0)),IF(LEFT($F2235,3)="P2P",IFERROR(INDEX(Mapping!$E$3:$E$6,MATCH($G2235,Mapping!$D$3:$D$6,0)),IFERROR(INDEX(Mapping!$B$3:$B$13,MATCH($J2235,Mapping!$A$3:$A$13,0)),"(unmapped)")),IFERROR(INDEX(Mapping!$B$17:$B$22,MATCH($F2235,Mapping!$A$17:$A$22,0)),$F2235)&amp;" "&amp;IF($G2235="Banking","Banking",IFERROR(INDEX(Mapping!$E$17:$E$28,MATCH($J2235,Mapping!$D$17:$D$28,0)),"(unmapped)")))))</f>
        <v/>
      </c>
    </row>
    <row r="2236" spans="11:11" x14ac:dyDescent="0.3">
      <c r="K2236" t="str">
        <f>IF($D2236="","",IFERROR(INDEX(Mapping!$H$3:$H$32,MATCH($B2236,Mapping!$G$3:$G$32,0)),IF(LEFT($F2236,3)="P2P",IFERROR(INDEX(Mapping!$E$3:$E$6,MATCH($G2236,Mapping!$D$3:$D$6,0)),IFERROR(INDEX(Mapping!$B$3:$B$13,MATCH($J2236,Mapping!$A$3:$A$13,0)),"(unmapped)")),IFERROR(INDEX(Mapping!$B$17:$B$22,MATCH($F2236,Mapping!$A$17:$A$22,0)),$F2236)&amp;" "&amp;IF($G2236="Banking","Banking",IFERROR(INDEX(Mapping!$E$17:$E$28,MATCH($J2236,Mapping!$D$17:$D$28,0)),"(unmapped)")))))</f>
        <v/>
      </c>
    </row>
    <row r="2237" spans="11:11" x14ac:dyDescent="0.3">
      <c r="K2237" t="str">
        <f>IF($D2237="","",IFERROR(INDEX(Mapping!$H$3:$H$32,MATCH($B2237,Mapping!$G$3:$G$32,0)),IF(LEFT($F2237,3)="P2P",IFERROR(INDEX(Mapping!$E$3:$E$6,MATCH($G2237,Mapping!$D$3:$D$6,0)),IFERROR(INDEX(Mapping!$B$3:$B$13,MATCH($J2237,Mapping!$A$3:$A$13,0)),"(unmapped)")),IFERROR(INDEX(Mapping!$B$17:$B$22,MATCH($F2237,Mapping!$A$17:$A$22,0)),$F2237)&amp;" "&amp;IF($G2237="Banking","Banking",IFERROR(INDEX(Mapping!$E$17:$E$28,MATCH($J2237,Mapping!$D$17:$D$28,0)),"(unmapped)")))))</f>
        <v/>
      </c>
    </row>
    <row r="2238" spans="11:11" x14ac:dyDescent="0.3">
      <c r="K2238" t="str">
        <f>IF($D2238="","",IFERROR(INDEX(Mapping!$H$3:$H$32,MATCH($B2238,Mapping!$G$3:$G$32,0)),IF(LEFT($F2238,3)="P2P",IFERROR(INDEX(Mapping!$E$3:$E$6,MATCH($G2238,Mapping!$D$3:$D$6,0)),IFERROR(INDEX(Mapping!$B$3:$B$13,MATCH($J2238,Mapping!$A$3:$A$13,0)),"(unmapped)")),IFERROR(INDEX(Mapping!$B$17:$B$22,MATCH($F2238,Mapping!$A$17:$A$22,0)),$F2238)&amp;" "&amp;IF($G2238="Banking","Banking",IFERROR(INDEX(Mapping!$E$17:$E$28,MATCH($J2238,Mapping!$D$17:$D$28,0)),"(unmapped)")))))</f>
        <v/>
      </c>
    </row>
    <row r="2239" spans="11:11" x14ac:dyDescent="0.3">
      <c r="K2239" t="str">
        <f>IF($D2239="","",IFERROR(INDEX(Mapping!$H$3:$H$32,MATCH($B2239,Mapping!$G$3:$G$32,0)),IF(LEFT($F2239,3)="P2P",IFERROR(INDEX(Mapping!$E$3:$E$6,MATCH($G2239,Mapping!$D$3:$D$6,0)),IFERROR(INDEX(Mapping!$B$3:$B$13,MATCH($J2239,Mapping!$A$3:$A$13,0)),"(unmapped)")),IFERROR(INDEX(Mapping!$B$17:$B$22,MATCH($F2239,Mapping!$A$17:$A$22,0)),$F2239)&amp;" "&amp;IF($G2239="Banking","Banking",IFERROR(INDEX(Mapping!$E$17:$E$28,MATCH($J2239,Mapping!$D$17:$D$28,0)),"(unmapped)")))))</f>
        <v/>
      </c>
    </row>
    <row r="2240" spans="11:11" x14ac:dyDescent="0.3">
      <c r="K2240" t="str">
        <f>IF($D2240="","",IFERROR(INDEX(Mapping!$H$3:$H$32,MATCH($B2240,Mapping!$G$3:$G$32,0)),IF(LEFT($F2240,3)="P2P",IFERROR(INDEX(Mapping!$E$3:$E$6,MATCH($G2240,Mapping!$D$3:$D$6,0)),IFERROR(INDEX(Mapping!$B$3:$B$13,MATCH($J2240,Mapping!$A$3:$A$13,0)),"(unmapped)")),IFERROR(INDEX(Mapping!$B$17:$B$22,MATCH($F2240,Mapping!$A$17:$A$22,0)),$F2240)&amp;" "&amp;IF($G2240="Banking","Banking",IFERROR(INDEX(Mapping!$E$17:$E$28,MATCH($J2240,Mapping!$D$17:$D$28,0)),"(unmapped)")))))</f>
        <v/>
      </c>
    </row>
    <row r="2241" spans="11:11" x14ac:dyDescent="0.3">
      <c r="K2241" t="str">
        <f>IF($D2241="","",IFERROR(INDEX(Mapping!$H$3:$H$32,MATCH($B2241,Mapping!$G$3:$G$32,0)),IF(LEFT($F2241,3)="P2P",IFERROR(INDEX(Mapping!$E$3:$E$6,MATCH($G2241,Mapping!$D$3:$D$6,0)),IFERROR(INDEX(Mapping!$B$3:$B$13,MATCH($J2241,Mapping!$A$3:$A$13,0)),"(unmapped)")),IFERROR(INDEX(Mapping!$B$17:$B$22,MATCH($F2241,Mapping!$A$17:$A$22,0)),$F2241)&amp;" "&amp;IF($G2241="Banking","Banking",IFERROR(INDEX(Mapping!$E$17:$E$28,MATCH($J2241,Mapping!$D$17:$D$28,0)),"(unmapped)")))))</f>
        <v/>
      </c>
    </row>
    <row r="2242" spans="11:11" x14ac:dyDescent="0.3">
      <c r="K2242" t="str">
        <f>IF($D2242="","",IFERROR(INDEX(Mapping!$H$3:$H$32,MATCH($B2242,Mapping!$G$3:$G$32,0)),IF(LEFT($F2242,3)="P2P",IFERROR(INDEX(Mapping!$E$3:$E$6,MATCH($G2242,Mapping!$D$3:$D$6,0)),IFERROR(INDEX(Mapping!$B$3:$B$13,MATCH($J2242,Mapping!$A$3:$A$13,0)),"(unmapped)")),IFERROR(INDEX(Mapping!$B$17:$B$22,MATCH($F2242,Mapping!$A$17:$A$22,0)),$F2242)&amp;" "&amp;IF($G2242="Banking","Banking",IFERROR(INDEX(Mapping!$E$17:$E$28,MATCH($J2242,Mapping!$D$17:$D$28,0)),"(unmapped)")))))</f>
        <v/>
      </c>
    </row>
    <row r="2243" spans="11:11" x14ac:dyDescent="0.3">
      <c r="K2243" t="str">
        <f>IF($D2243="","",IFERROR(INDEX(Mapping!$H$3:$H$32,MATCH($B2243,Mapping!$G$3:$G$32,0)),IF(LEFT($F2243,3)="P2P",IFERROR(INDEX(Mapping!$E$3:$E$6,MATCH($G2243,Mapping!$D$3:$D$6,0)),IFERROR(INDEX(Mapping!$B$3:$B$13,MATCH($J2243,Mapping!$A$3:$A$13,0)),"(unmapped)")),IFERROR(INDEX(Mapping!$B$17:$B$22,MATCH($F2243,Mapping!$A$17:$A$22,0)),$F2243)&amp;" "&amp;IF($G2243="Banking","Banking",IFERROR(INDEX(Mapping!$E$17:$E$28,MATCH($J2243,Mapping!$D$17:$D$28,0)),"(unmapped)")))))</f>
        <v/>
      </c>
    </row>
    <row r="2244" spans="11:11" x14ac:dyDescent="0.3">
      <c r="K2244" t="str">
        <f>IF($D2244="","",IFERROR(INDEX(Mapping!$H$3:$H$32,MATCH($B2244,Mapping!$G$3:$G$32,0)),IF(LEFT($F2244,3)="P2P",IFERROR(INDEX(Mapping!$E$3:$E$6,MATCH($G2244,Mapping!$D$3:$D$6,0)),IFERROR(INDEX(Mapping!$B$3:$B$13,MATCH($J2244,Mapping!$A$3:$A$13,0)),"(unmapped)")),IFERROR(INDEX(Mapping!$B$17:$B$22,MATCH($F2244,Mapping!$A$17:$A$22,0)),$F2244)&amp;" "&amp;IF($G2244="Banking","Banking",IFERROR(INDEX(Mapping!$E$17:$E$28,MATCH($J2244,Mapping!$D$17:$D$28,0)),"(unmapped)")))))</f>
        <v/>
      </c>
    </row>
    <row r="2245" spans="11:11" x14ac:dyDescent="0.3">
      <c r="K2245" t="str">
        <f>IF($D2245="","",IFERROR(INDEX(Mapping!$H$3:$H$32,MATCH($B2245,Mapping!$G$3:$G$32,0)),IF(LEFT($F2245,3)="P2P",IFERROR(INDEX(Mapping!$E$3:$E$6,MATCH($G2245,Mapping!$D$3:$D$6,0)),IFERROR(INDEX(Mapping!$B$3:$B$13,MATCH($J2245,Mapping!$A$3:$A$13,0)),"(unmapped)")),IFERROR(INDEX(Mapping!$B$17:$B$22,MATCH($F2245,Mapping!$A$17:$A$22,0)),$F2245)&amp;" "&amp;IF($G2245="Banking","Banking",IFERROR(INDEX(Mapping!$E$17:$E$28,MATCH($J2245,Mapping!$D$17:$D$28,0)),"(unmapped)")))))</f>
        <v/>
      </c>
    </row>
    <row r="2246" spans="11:11" x14ac:dyDescent="0.3">
      <c r="K2246" t="str">
        <f>IF($D2246="","",IFERROR(INDEX(Mapping!$H$3:$H$32,MATCH($B2246,Mapping!$G$3:$G$32,0)),IF(LEFT($F2246,3)="P2P",IFERROR(INDEX(Mapping!$E$3:$E$6,MATCH($G2246,Mapping!$D$3:$D$6,0)),IFERROR(INDEX(Mapping!$B$3:$B$13,MATCH($J2246,Mapping!$A$3:$A$13,0)),"(unmapped)")),IFERROR(INDEX(Mapping!$B$17:$B$22,MATCH($F2246,Mapping!$A$17:$A$22,0)),$F2246)&amp;" "&amp;IF($G2246="Banking","Banking",IFERROR(INDEX(Mapping!$E$17:$E$28,MATCH($J2246,Mapping!$D$17:$D$28,0)),"(unmapped)")))))</f>
        <v/>
      </c>
    </row>
    <row r="2247" spans="11:11" x14ac:dyDescent="0.3">
      <c r="K2247" t="str">
        <f>IF($D2247="","",IFERROR(INDEX(Mapping!$H$3:$H$32,MATCH($B2247,Mapping!$G$3:$G$32,0)),IF(LEFT($F2247,3)="P2P",IFERROR(INDEX(Mapping!$E$3:$E$6,MATCH($G2247,Mapping!$D$3:$D$6,0)),IFERROR(INDEX(Mapping!$B$3:$B$13,MATCH($J2247,Mapping!$A$3:$A$13,0)),"(unmapped)")),IFERROR(INDEX(Mapping!$B$17:$B$22,MATCH($F2247,Mapping!$A$17:$A$22,0)),$F2247)&amp;" "&amp;IF($G2247="Banking","Banking",IFERROR(INDEX(Mapping!$E$17:$E$28,MATCH($J2247,Mapping!$D$17:$D$28,0)),"(unmapped)")))))</f>
        <v/>
      </c>
    </row>
    <row r="2248" spans="11:11" x14ac:dyDescent="0.3">
      <c r="K2248" t="str">
        <f>IF($D2248="","",IFERROR(INDEX(Mapping!$H$3:$H$32,MATCH($B2248,Mapping!$G$3:$G$32,0)),IF(LEFT($F2248,3)="P2P",IFERROR(INDEX(Mapping!$E$3:$E$6,MATCH($G2248,Mapping!$D$3:$D$6,0)),IFERROR(INDEX(Mapping!$B$3:$B$13,MATCH($J2248,Mapping!$A$3:$A$13,0)),"(unmapped)")),IFERROR(INDEX(Mapping!$B$17:$B$22,MATCH($F2248,Mapping!$A$17:$A$22,0)),$F2248)&amp;" "&amp;IF($G2248="Banking","Banking",IFERROR(INDEX(Mapping!$E$17:$E$28,MATCH($J2248,Mapping!$D$17:$D$28,0)),"(unmapped)")))))</f>
        <v/>
      </c>
    </row>
    <row r="2249" spans="11:11" x14ac:dyDescent="0.3">
      <c r="K2249" t="str">
        <f>IF($D2249="","",IFERROR(INDEX(Mapping!$H$3:$H$32,MATCH($B2249,Mapping!$G$3:$G$32,0)),IF(LEFT($F2249,3)="P2P",IFERROR(INDEX(Mapping!$E$3:$E$6,MATCH($G2249,Mapping!$D$3:$D$6,0)),IFERROR(INDEX(Mapping!$B$3:$B$13,MATCH($J2249,Mapping!$A$3:$A$13,0)),"(unmapped)")),IFERROR(INDEX(Mapping!$B$17:$B$22,MATCH($F2249,Mapping!$A$17:$A$22,0)),$F2249)&amp;" "&amp;IF($G2249="Banking","Banking",IFERROR(INDEX(Mapping!$E$17:$E$28,MATCH($J2249,Mapping!$D$17:$D$28,0)),"(unmapped)")))))</f>
        <v/>
      </c>
    </row>
    <row r="2250" spans="11:11" x14ac:dyDescent="0.3">
      <c r="K2250" t="str">
        <f>IF($D2250="","",IFERROR(INDEX(Mapping!$H$3:$H$32,MATCH($B2250,Mapping!$G$3:$G$32,0)),IF(LEFT($F2250,3)="P2P",IFERROR(INDEX(Mapping!$E$3:$E$6,MATCH($G2250,Mapping!$D$3:$D$6,0)),IFERROR(INDEX(Mapping!$B$3:$B$13,MATCH($J2250,Mapping!$A$3:$A$13,0)),"(unmapped)")),IFERROR(INDEX(Mapping!$B$17:$B$22,MATCH($F2250,Mapping!$A$17:$A$22,0)),$F2250)&amp;" "&amp;IF($G2250="Banking","Banking",IFERROR(INDEX(Mapping!$E$17:$E$28,MATCH($J2250,Mapping!$D$17:$D$28,0)),"(unmapped)")))))</f>
        <v/>
      </c>
    </row>
    <row r="2251" spans="11:11" x14ac:dyDescent="0.3">
      <c r="K2251" t="str">
        <f>IF($D2251="","",IFERROR(INDEX(Mapping!$H$3:$H$32,MATCH($B2251,Mapping!$G$3:$G$32,0)),IF(LEFT($F2251,3)="P2P",IFERROR(INDEX(Mapping!$E$3:$E$6,MATCH($G2251,Mapping!$D$3:$D$6,0)),IFERROR(INDEX(Mapping!$B$3:$B$13,MATCH($J2251,Mapping!$A$3:$A$13,0)),"(unmapped)")),IFERROR(INDEX(Mapping!$B$17:$B$22,MATCH($F2251,Mapping!$A$17:$A$22,0)),$F2251)&amp;" "&amp;IF($G2251="Banking","Banking",IFERROR(INDEX(Mapping!$E$17:$E$28,MATCH($J2251,Mapping!$D$17:$D$28,0)),"(unmapped)")))))</f>
        <v/>
      </c>
    </row>
    <row r="2252" spans="11:11" x14ac:dyDescent="0.3">
      <c r="K2252" t="str">
        <f>IF($D2252="","",IFERROR(INDEX(Mapping!$H$3:$H$32,MATCH($B2252,Mapping!$G$3:$G$32,0)),IF(LEFT($F2252,3)="P2P",IFERROR(INDEX(Mapping!$E$3:$E$6,MATCH($G2252,Mapping!$D$3:$D$6,0)),IFERROR(INDEX(Mapping!$B$3:$B$13,MATCH($J2252,Mapping!$A$3:$A$13,0)),"(unmapped)")),IFERROR(INDEX(Mapping!$B$17:$B$22,MATCH($F2252,Mapping!$A$17:$A$22,0)),$F2252)&amp;" "&amp;IF($G2252="Banking","Banking",IFERROR(INDEX(Mapping!$E$17:$E$28,MATCH($J2252,Mapping!$D$17:$D$28,0)),"(unmapped)")))))</f>
        <v/>
      </c>
    </row>
    <row r="2253" spans="11:11" x14ac:dyDescent="0.3">
      <c r="K2253" t="str">
        <f>IF($D2253="","",IFERROR(INDEX(Mapping!$H$3:$H$32,MATCH($B2253,Mapping!$G$3:$G$32,0)),IF(LEFT($F2253,3)="P2P",IFERROR(INDEX(Mapping!$E$3:$E$6,MATCH($G2253,Mapping!$D$3:$D$6,0)),IFERROR(INDEX(Mapping!$B$3:$B$13,MATCH($J2253,Mapping!$A$3:$A$13,0)),"(unmapped)")),IFERROR(INDEX(Mapping!$B$17:$B$22,MATCH($F2253,Mapping!$A$17:$A$22,0)),$F2253)&amp;" "&amp;IF($G2253="Banking","Banking",IFERROR(INDEX(Mapping!$E$17:$E$28,MATCH($J2253,Mapping!$D$17:$D$28,0)),"(unmapped)")))))</f>
        <v/>
      </c>
    </row>
    <row r="2254" spans="11:11" x14ac:dyDescent="0.3">
      <c r="K2254" t="str">
        <f>IF($D2254="","",IFERROR(INDEX(Mapping!$H$3:$H$32,MATCH($B2254,Mapping!$G$3:$G$32,0)),IF(LEFT($F2254,3)="P2P",IFERROR(INDEX(Mapping!$E$3:$E$6,MATCH($G2254,Mapping!$D$3:$D$6,0)),IFERROR(INDEX(Mapping!$B$3:$B$13,MATCH($J2254,Mapping!$A$3:$A$13,0)),"(unmapped)")),IFERROR(INDEX(Mapping!$B$17:$B$22,MATCH($F2254,Mapping!$A$17:$A$22,0)),$F2254)&amp;" "&amp;IF($G2254="Banking","Banking",IFERROR(INDEX(Mapping!$E$17:$E$28,MATCH($J2254,Mapping!$D$17:$D$28,0)),"(unmapped)")))))</f>
        <v/>
      </c>
    </row>
    <row r="2255" spans="11:11" x14ac:dyDescent="0.3">
      <c r="K2255" t="str">
        <f>IF($D2255="","",IFERROR(INDEX(Mapping!$H$3:$H$32,MATCH($B2255,Mapping!$G$3:$G$32,0)),IF(LEFT($F2255,3)="P2P",IFERROR(INDEX(Mapping!$E$3:$E$6,MATCH($G2255,Mapping!$D$3:$D$6,0)),IFERROR(INDEX(Mapping!$B$3:$B$13,MATCH($J2255,Mapping!$A$3:$A$13,0)),"(unmapped)")),IFERROR(INDEX(Mapping!$B$17:$B$22,MATCH($F2255,Mapping!$A$17:$A$22,0)),$F2255)&amp;" "&amp;IF($G2255="Banking","Banking",IFERROR(INDEX(Mapping!$E$17:$E$28,MATCH($J2255,Mapping!$D$17:$D$28,0)),"(unmapped)")))))</f>
        <v/>
      </c>
    </row>
    <row r="2256" spans="11:11" x14ac:dyDescent="0.3">
      <c r="K2256" t="str">
        <f>IF($D2256="","",IFERROR(INDEX(Mapping!$H$3:$H$32,MATCH($B2256,Mapping!$G$3:$G$32,0)),IF(LEFT($F2256,3)="P2P",IFERROR(INDEX(Mapping!$E$3:$E$6,MATCH($G2256,Mapping!$D$3:$D$6,0)),IFERROR(INDEX(Mapping!$B$3:$B$13,MATCH($J2256,Mapping!$A$3:$A$13,0)),"(unmapped)")),IFERROR(INDEX(Mapping!$B$17:$B$22,MATCH($F2256,Mapping!$A$17:$A$22,0)),$F2256)&amp;" "&amp;IF($G2256="Banking","Banking",IFERROR(INDEX(Mapping!$E$17:$E$28,MATCH($J2256,Mapping!$D$17:$D$28,0)),"(unmapped)")))))</f>
        <v/>
      </c>
    </row>
    <row r="2257" spans="11:11" x14ac:dyDescent="0.3">
      <c r="K2257" t="str">
        <f>IF($D2257="","",IFERROR(INDEX(Mapping!$H$3:$H$32,MATCH($B2257,Mapping!$G$3:$G$32,0)),IF(LEFT($F2257,3)="P2P",IFERROR(INDEX(Mapping!$E$3:$E$6,MATCH($G2257,Mapping!$D$3:$D$6,0)),IFERROR(INDEX(Mapping!$B$3:$B$13,MATCH($J2257,Mapping!$A$3:$A$13,0)),"(unmapped)")),IFERROR(INDEX(Mapping!$B$17:$B$22,MATCH($F2257,Mapping!$A$17:$A$22,0)),$F2257)&amp;" "&amp;IF($G2257="Banking","Banking",IFERROR(INDEX(Mapping!$E$17:$E$28,MATCH($J2257,Mapping!$D$17:$D$28,0)),"(unmapped)")))))</f>
        <v/>
      </c>
    </row>
    <row r="2258" spans="11:11" x14ac:dyDescent="0.3">
      <c r="K2258" t="str">
        <f>IF($D2258="","",IFERROR(INDEX(Mapping!$H$3:$H$32,MATCH($B2258,Mapping!$G$3:$G$32,0)),IF(LEFT($F2258,3)="P2P",IFERROR(INDEX(Mapping!$E$3:$E$6,MATCH($G2258,Mapping!$D$3:$D$6,0)),IFERROR(INDEX(Mapping!$B$3:$B$13,MATCH($J2258,Mapping!$A$3:$A$13,0)),"(unmapped)")),IFERROR(INDEX(Mapping!$B$17:$B$22,MATCH($F2258,Mapping!$A$17:$A$22,0)),$F2258)&amp;" "&amp;IF($G2258="Banking","Banking",IFERROR(INDEX(Mapping!$E$17:$E$28,MATCH($J2258,Mapping!$D$17:$D$28,0)),"(unmapped)")))))</f>
        <v/>
      </c>
    </row>
    <row r="2259" spans="11:11" x14ac:dyDescent="0.3">
      <c r="K2259" t="str">
        <f>IF($D2259="","",IFERROR(INDEX(Mapping!$H$3:$H$32,MATCH($B2259,Mapping!$G$3:$G$32,0)),IF(LEFT($F2259,3)="P2P",IFERROR(INDEX(Mapping!$E$3:$E$6,MATCH($G2259,Mapping!$D$3:$D$6,0)),IFERROR(INDEX(Mapping!$B$3:$B$13,MATCH($J2259,Mapping!$A$3:$A$13,0)),"(unmapped)")),IFERROR(INDEX(Mapping!$B$17:$B$22,MATCH($F2259,Mapping!$A$17:$A$22,0)),$F2259)&amp;" "&amp;IF($G2259="Banking","Banking",IFERROR(INDEX(Mapping!$E$17:$E$28,MATCH($J2259,Mapping!$D$17:$D$28,0)),"(unmapped)")))))</f>
        <v/>
      </c>
    </row>
    <row r="2260" spans="11:11" x14ac:dyDescent="0.3">
      <c r="K2260" t="str">
        <f>IF($D2260="","",IFERROR(INDEX(Mapping!$H$3:$H$32,MATCH($B2260,Mapping!$G$3:$G$32,0)),IF(LEFT($F2260,3)="P2P",IFERROR(INDEX(Mapping!$E$3:$E$6,MATCH($G2260,Mapping!$D$3:$D$6,0)),IFERROR(INDEX(Mapping!$B$3:$B$13,MATCH($J2260,Mapping!$A$3:$A$13,0)),"(unmapped)")),IFERROR(INDEX(Mapping!$B$17:$B$22,MATCH($F2260,Mapping!$A$17:$A$22,0)),$F2260)&amp;" "&amp;IF($G2260="Banking","Banking",IFERROR(INDEX(Mapping!$E$17:$E$28,MATCH($J2260,Mapping!$D$17:$D$28,0)),"(unmapped)")))))</f>
        <v/>
      </c>
    </row>
    <row r="2261" spans="11:11" x14ac:dyDescent="0.3">
      <c r="K2261" t="str">
        <f>IF($D2261="","",IFERROR(INDEX(Mapping!$H$3:$H$32,MATCH($B2261,Mapping!$G$3:$G$32,0)),IF(LEFT($F2261,3)="P2P",IFERROR(INDEX(Mapping!$E$3:$E$6,MATCH($G2261,Mapping!$D$3:$D$6,0)),IFERROR(INDEX(Mapping!$B$3:$B$13,MATCH($J2261,Mapping!$A$3:$A$13,0)),"(unmapped)")),IFERROR(INDEX(Mapping!$B$17:$B$22,MATCH($F2261,Mapping!$A$17:$A$22,0)),$F2261)&amp;" "&amp;IF($G2261="Banking","Banking",IFERROR(INDEX(Mapping!$E$17:$E$28,MATCH($J2261,Mapping!$D$17:$D$28,0)),"(unmapped)")))))</f>
        <v/>
      </c>
    </row>
    <row r="2262" spans="11:11" x14ac:dyDescent="0.3">
      <c r="K2262" t="str">
        <f>IF($D2262="","",IFERROR(INDEX(Mapping!$H$3:$H$32,MATCH($B2262,Mapping!$G$3:$G$32,0)),IF(LEFT($F2262,3)="P2P",IFERROR(INDEX(Mapping!$E$3:$E$6,MATCH($G2262,Mapping!$D$3:$D$6,0)),IFERROR(INDEX(Mapping!$B$3:$B$13,MATCH($J2262,Mapping!$A$3:$A$13,0)),"(unmapped)")),IFERROR(INDEX(Mapping!$B$17:$B$22,MATCH($F2262,Mapping!$A$17:$A$22,0)),$F2262)&amp;" "&amp;IF($G2262="Banking","Banking",IFERROR(INDEX(Mapping!$E$17:$E$28,MATCH($J2262,Mapping!$D$17:$D$28,0)),"(unmapped)")))))</f>
        <v/>
      </c>
    </row>
    <row r="2263" spans="11:11" x14ac:dyDescent="0.3">
      <c r="K2263" t="str">
        <f>IF($D2263="","",IFERROR(INDEX(Mapping!$H$3:$H$32,MATCH($B2263,Mapping!$G$3:$G$32,0)),IF(LEFT($F2263,3)="P2P",IFERROR(INDEX(Mapping!$E$3:$E$6,MATCH($G2263,Mapping!$D$3:$D$6,0)),IFERROR(INDEX(Mapping!$B$3:$B$13,MATCH($J2263,Mapping!$A$3:$A$13,0)),"(unmapped)")),IFERROR(INDEX(Mapping!$B$17:$B$22,MATCH($F2263,Mapping!$A$17:$A$22,0)),$F2263)&amp;" "&amp;IF($G2263="Banking","Banking",IFERROR(INDEX(Mapping!$E$17:$E$28,MATCH($J2263,Mapping!$D$17:$D$28,0)),"(unmapped)")))))</f>
        <v/>
      </c>
    </row>
    <row r="2264" spans="11:11" x14ac:dyDescent="0.3">
      <c r="K2264" t="str">
        <f>IF($D2264="","",IFERROR(INDEX(Mapping!$H$3:$H$32,MATCH($B2264,Mapping!$G$3:$G$32,0)),IF(LEFT($F2264,3)="P2P",IFERROR(INDEX(Mapping!$E$3:$E$6,MATCH($G2264,Mapping!$D$3:$D$6,0)),IFERROR(INDEX(Mapping!$B$3:$B$13,MATCH($J2264,Mapping!$A$3:$A$13,0)),"(unmapped)")),IFERROR(INDEX(Mapping!$B$17:$B$22,MATCH($F2264,Mapping!$A$17:$A$22,0)),$F2264)&amp;" "&amp;IF($G2264="Banking","Banking",IFERROR(INDEX(Mapping!$E$17:$E$28,MATCH($J2264,Mapping!$D$17:$D$28,0)),"(unmapped)")))))</f>
        <v/>
      </c>
    </row>
    <row r="2265" spans="11:11" x14ac:dyDescent="0.3">
      <c r="K2265" t="str">
        <f>IF($D2265="","",IFERROR(INDEX(Mapping!$H$3:$H$32,MATCH($B2265,Mapping!$G$3:$G$32,0)),IF(LEFT($F2265,3)="P2P",IFERROR(INDEX(Mapping!$E$3:$E$6,MATCH($G2265,Mapping!$D$3:$D$6,0)),IFERROR(INDEX(Mapping!$B$3:$B$13,MATCH($J2265,Mapping!$A$3:$A$13,0)),"(unmapped)")),IFERROR(INDEX(Mapping!$B$17:$B$22,MATCH($F2265,Mapping!$A$17:$A$22,0)),$F2265)&amp;" "&amp;IF($G2265="Banking","Banking",IFERROR(INDEX(Mapping!$E$17:$E$28,MATCH($J2265,Mapping!$D$17:$D$28,0)),"(unmapped)")))))</f>
        <v/>
      </c>
    </row>
    <row r="2266" spans="11:11" x14ac:dyDescent="0.3">
      <c r="K2266" t="str">
        <f>IF($D2266="","",IFERROR(INDEX(Mapping!$H$3:$H$32,MATCH($B2266,Mapping!$G$3:$G$32,0)),IF(LEFT($F2266,3)="P2P",IFERROR(INDEX(Mapping!$E$3:$E$6,MATCH($G2266,Mapping!$D$3:$D$6,0)),IFERROR(INDEX(Mapping!$B$3:$B$13,MATCH($J2266,Mapping!$A$3:$A$13,0)),"(unmapped)")),IFERROR(INDEX(Mapping!$B$17:$B$22,MATCH($F2266,Mapping!$A$17:$A$22,0)),$F2266)&amp;" "&amp;IF($G2266="Banking","Banking",IFERROR(INDEX(Mapping!$E$17:$E$28,MATCH($J2266,Mapping!$D$17:$D$28,0)),"(unmapped)")))))</f>
        <v/>
      </c>
    </row>
    <row r="2267" spans="11:11" x14ac:dyDescent="0.3">
      <c r="K2267" t="str">
        <f>IF($D2267="","",IFERROR(INDEX(Mapping!$H$3:$H$32,MATCH($B2267,Mapping!$G$3:$G$32,0)),IF(LEFT($F2267,3)="P2P",IFERROR(INDEX(Mapping!$E$3:$E$6,MATCH($G2267,Mapping!$D$3:$D$6,0)),IFERROR(INDEX(Mapping!$B$3:$B$13,MATCH($J2267,Mapping!$A$3:$A$13,0)),"(unmapped)")),IFERROR(INDEX(Mapping!$B$17:$B$22,MATCH($F2267,Mapping!$A$17:$A$22,0)),$F2267)&amp;" "&amp;IF($G2267="Banking","Banking",IFERROR(INDEX(Mapping!$E$17:$E$28,MATCH($J2267,Mapping!$D$17:$D$28,0)),"(unmapped)")))))</f>
        <v/>
      </c>
    </row>
    <row r="2268" spans="11:11" x14ac:dyDescent="0.3">
      <c r="K2268" t="str">
        <f>IF($D2268="","",IFERROR(INDEX(Mapping!$H$3:$H$32,MATCH($B2268,Mapping!$G$3:$G$32,0)),IF(LEFT($F2268,3)="P2P",IFERROR(INDEX(Mapping!$E$3:$E$6,MATCH($G2268,Mapping!$D$3:$D$6,0)),IFERROR(INDEX(Mapping!$B$3:$B$13,MATCH($J2268,Mapping!$A$3:$A$13,0)),"(unmapped)")),IFERROR(INDEX(Mapping!$B$17:$B$22,MATCH($F2268,Mapping!$A$17:$A$22,0)),$F2268)&amp;" "&amp;IF($G2268="Banking","Banking",IFERROR(INDEX(Mapping!$E$17:$E$28,MATCH($J2268,Mapping!$D$17:$D$28,0)),"(unmapped)")))))</f>
        <v/>
      </c>
    </row>
    <row r="2269" spans="11:11" x14ac:dyDescent="0.3">
      <c r="K2269" t="str">
        <f>IF($D2269="","",IFERROR(INDEX(Mapping!$H$3:$H$32,MATCH($B2269,Mapping!$G$3:$G$32,0)),IF(LEFT($F2269,3)="P2P",IFERROR(INDEX(Mapping!$E$3:$E$6,MATCH($G2269,Mapping!$D$3:$D$6,0)),IFERROR(INDEX(Mapping!$B$3:$B$13,MATCH($J2269,Mapping!$A$3:$A$13,0)),"(unmapped)")),IFERROR(INDEX(Mapping!$B$17:$B$22,MATCH($F2269,Mapping!$A$17:$A$22,0)),$F2269)&amp;" "&amp;IF($G2269="Banking","Banking",IFERROR(INDEX(Mapping!$E$17:$E$28,MATCH($J2269,Mapping!$D$17:$D$28,0)),"(unmapped)")))))</f>
        <v/>
      </c>
    </row>
    <row r="2270" spans="11:11" x14ac:dyDescent="0.3">
      <c r="K2270" t="str">
        <f>IF($D2270="","",IFERROR(INDEX(Mapping!$H$3:$H$32,MATCH($B2270,Mapping!$G$3:$G$32,0)),IF(LEFT($F2270,3)="P2P",IFERROR(INDEX(Mapping!$E$3:$E$6,MATCH($G2270,Mapping!$D$3:$D$6,0)),IFERROR(INDEX(Mapping!$B$3:$B$13,MATCH($J2270,Mapping!$A$3:$A$13,0)),"(unmapped)")),IFERROR(INDEX(Mapping!$B$17:$B$22,MATCH($F2270,Mapping!$A$17:$A$22,0)),$F2270)&amp;" "&amp;IF($G2270="Banking","Banking",IFERROR(INDEX(Mapping!$E$17:$E$28,MATCH($J2270,Mapping!$D$17:$D$28,0)),"(unmapped)")))))</f>
        <v/>
      </c>
    </row>
    <row r="2271" spans="11:11" x14ac:dyDescent="0.3">
      <c r="K2271" t="str">
        <f>IF($D2271="","",IFERROR(INDEX(Mapping!$H$3:$H$32,MATCH($B2271,Mapping!$G$3:$G$32,0)),IF(LEFT($F2271,3)="P2P",IFERROR(INDEX(Mapping!$E$3:$E$6,MATCH($G2271,Mapping!$D$3:$D$6,0)),IFERROR(INDEX(Mapping!$B$3:$B$13,MATCH($J2271,Mapping!$A$3:$A$13,0)),"(unmapped)")),IFERROR(INDEX(Mapping!$B$17:$B$22,MATCH($F2271,Mapping!$A$17:$A$22,0)),$F2271)&amp;" "&amp;IF($G2271="Banking","Banking",IFERROR(INDEX(Mapping!$E$17:$E$28,MATCH($J2271,Mapping!$D$17:$D$28,0)),"(unmapped)")))))</f>
        <v/>
      </c>
    </row>
    <row r="2272" spans="11:11" x14ac:dyDescent="0.3">
      <c r="K2272" t="str">
        <f>IF($D2272="","",IFERROR(INDEX(Mapping!$H$3:$H$32,MATCH($B2272,Mapping!$G$3:$G$32,0)),IF(LEFT($F2272,3)="P2P",IFERROR(INDEX(Mapping!$E$3:$E$6,MATCH($G2272,Mapping!$D$3:$D$6,0)),IFERROR(INDEX(Mapping!$B$3:$B$13,MATCH($J2272,Mapping!$A$3:$A$13,0)),"(unmapped)")),IFERROR(INDEX(Mapping!$B$17:$B$22,MATCH($F2272,Mapping!$A$17:$A$22,0)),$F2272)&amp;" "&amp;IF($G2272="Banking","Banking",IFERROR(INDEX(Mapping!$E$17:$E$28,MATCH($J2272,Mapping!$D$17:$D$28,0)),"(unmapped)")))))</f>
        <v/>
      </c>
    </row>
    <row r="2273" spans="11:11" x14ac:dyDescent="0.3">
      <c r="K2273" t="str">
        <f>IF($D2273="","",IFERROR(INDEX(Mapping!$H$3:$H$32,MATCH($B2273,Mapping!$G$3:$G$32,0)),IF(LEFT($F2273,3)="P2P",IFERROR(INDEX(Mapping!$E$3:$E$6,MATCH($G2273,Mapping!$D$3:$D$6,0)),IFERROR(INDEX(Mapping!$B$3:$B$13,MATCH($J2273,Mapping!$A$3:$A$13,0)),"(unmapped)")),IFERROR(INDEX(Mapping!$B$17:$B$22,MATCH($F2273,Mapping!$A$17:$A$22,0)),$F2273)&amp;" "&amp;IF($G2273="Banking","Banking",IFERROR(INDEX(Mapping!$E$17:$E$28,MATCH($J2273,Mapping!$D$17:$D$28,0)),"(unmapped)")))))</f>
        <v/>
      </c>
    </row>
    <row r="2274" spans="11:11" x14ac:dyDescent="0.3">
      <c r="K2274" t="str">
        <f>IF($D2274="","",IFERROR(INDEX(Mapping!$H$3:$H$32,MATCH($B2274,Mapping!$G$3:$G$32,0)),IF(LEFT($F2274,3)="P2P",IFERROR(INDEX(Mapping!$E$3:$E$6,MATCH($G2274,Mapping!$D$3:$D$6,0)),IFERROR(INDEX(Mapping!$B$3:$B$13,MATCH($J2274,Mapping!$A$3:$A$13,0)),"(unmapped)")),IFERROR(INDEX(Mapping!$B$17:$B$22,MATCH($F2274,Mapping!$A$17:$A$22,0)),$F2274)&amp;" "&amp;IF($G2274="Banking","Banking",IFERROR(INDEX(Mapping!$E$17:$E$28,MATCH($J2274,Mapping!$D$17:$D$28,0)),"(unmapped)")))))</f>
        <v/>
      </c>
    </row>
    <row r="2275" spans="11:11" x14ac:dyDescent="0.3">
      <c r="K2275" t="str">
        <f>IF($D2275="","",IFERROR(INDEX(Mapping!$H$3:$H$32,MATCH($B2275,Mapping!$G$3:$G$32,0)),IF(LEFT($F2275,3)="P2P",IFERROR(INDEX(Mapping!$E$3:$E$6,MATCH($G2275,Mapping!$D$3:$D$6,0)),IFERROR(INDEX(Mapping!$B$3:$B$13,MATCH($J2275,Mapping!$A$3:$A$13,0)),"(unmapped)")),IFERROR(INDEX(Mapping!$B$17:$B$22,MATCH($F2275,Mapping!$A$17:$A$22,0)),$F2275)&amp;" "&amp;IF($G2275="Banking","Banking",IFERROR(INDEX(Mapping!$E$17:$E$28,MATCH($J2275,Mapping!$D$17:$D$28,0)),"(unmapped)")))))</f>
        <v/>
      </c>
    </row>
    <row r="2276" spans="11:11" x14ac:dyDescent="0.3">
      <c r="K2276" t="str">
        <f>IF($D2276="","",IFERROR(INDEX(Mapping!$H$3:$H$32,MATCH($B2276,Mapping!$G$3:$G$32,0)),IF(LEFT($F2276,3)="P2P",IFERROR(INDEX(Mapping!$E$3:$E$6,MATCH($G2276,Mapping!$D$3:$D$6,0)),IFERROR(INDEX(Mapping!$B$3:$B$13,MATCH($J2276,Mapping!$A$3:$A$13,0)),"(unmapped)")),IFERROR(INDEX(Mapping!$B$17:$B$22,MATCH($F2276,Mapping!$A$17:$A$22,0)),$F2276)&amp;" "&amp;IF($G2276="Banking","Banking",IFERROR(INDEX(Mapping!$E$17:$E$28,MATCH($J2276,Mapping!$D$17:$D$28,0)),"(unmapped)")))))</f>
        <v/>
      </c>
    </row>
    <row r="2277" spans="11:11" x14ac:dyDescent="0.3">
      <c r="K2277" t="str">
        <f>IF($D2277="","",IFERROR(INDEX(Mapping!$H$3:$H$32,MATCH($B2277,Mapping!$G$3:$G$32,0)),IF(LEFT($F2277,3)="P2P",IFERROR(INDEX(Mapping!$E$3:$E$6,MATCH($G2277,Mapping!$D$3:$D$6,0)),IFERROR(INDEX(Mapping!$B$3:$B$13,MATCH($J2277,Mapping!$A$3:$A$13,0)),"(unmapped)")),IFERROR(INDEX(Mapping!$B$17:$B$22,MATCH($F2277,Mapping!$A$17:$A$22,0)),$F2277)&amp;" "&amp;IF($G2277="Banking","Banking",IFERROR(INDEX(Mapping!$E$17:$E$28,MATCH($J2277,Mapping!$D$17:$D$28,0)),"(unmapped)")))))</f>
        <v/>
      </c>
    </row>
    <row r="2278" spans="11:11" x14ac:dyDescent="0.3">
      <c r="K2278" t="str">
        <f>IF($D2278="","",IFERROR(INDEX(Mapping!$H$3:$H$32,MATCH($B2278,Mapping!$G$3:$G$32,0)),IF(LEFT($F2278,3)="P2P",IFERROR(INDEX(Mapping!$E$3:$E$6,MATCH($G2278,Mapping!$D$3:$D$6,0)),IFERROR(INDEX(Mapping!$B$3:$B$13,MATCH($J2278,Mapping!$A$3:$A$13,0)),"(unmapped)")),IFERROR(INDEX(Mapping!$B$17:$B$22,MATCH($F2278,Mapping!$A$17:$A$22,0)),$F2278)&amp;" "&amp;IF($G2278="Banking","Banking",IFERROR(INDEX(Mapping!$E$17:$E$28,MATCH($J2278,Mapping!$D$17:$D$28,0)),"(unmapped)")))))</f>
        <v/>
      </c>
    </row>
    <row r="2279" spans="11:11" x14ac:dyDescent="0.3">
      <c r="K2279" t="str">
        <f>IF($D2279="","",IFERROR(INDEX(Mapping!$H$3:$H$32,MATCH($B2279,Mapping!$G$3:$G$32,0)),IF(LEFT($F2279,3)="P2P",IFERROR(INDEX(Mapping!$E$3:$E$6,MATCH($G2279,Mapping!$D$3:$D$6,0)),IFERROR(INDEX(Mapping!$B$3:$B$13,MATCH($J2279,Mapping!$A$3:$A$13,0)),"(unmapped)")),IFERROR(INDEX(Mapping!$B$17:$B$22,MATCH($F2279,Mapping!$A$17:$A$22,0)),$F2279)&amp;" "&amp;IF($G2279="Banking","Banking",IFERROR(INDEX(Mapping!$E$17:$E$28,MATCH($J2279,Mapping!$D$17:$D$28,0)),"(unmapped)")))))</f>
        <v/>
      </c>
    </row>
    <row r="2280" spans="11:11" x14ac:dyDescent="0.3">
      <c r="K2280" t="str">
        <f>IF($D2280="","",IFERROR(INDEX(Mapping!$H$3:$H$32,MATCH($B2280,Mapping!$G$3:$G$32,0)),IF(LEFT($F2280,3)="P2P",IFERROR(INDEX(Mapping!$E$3:$E$6,MATCH($G2280,Mapping!$D$3:$D$6,0)),IFERROR(INDEX(Mapping!$B$3:$B$13,MATCH($J2280,Mapping!$A$3:$A$13,0)),"(unmapped)")),IFERROR(INDEX(Mapping!$B$17:$B$22,MATCH($F2280,Mapping!$A$17:$A$22,0)),$F2280)&amp;" "&amp;IF($G2280="Banking","Banking",IFERROR(INDEX(Mapping!$E$17:$E$28,MATCH($J2280,Mapping!$D$17:$D$28,0)),"(unmapped)")))))</f>
        <v/>
      </c>
    </row>
    <row r="2281" spans="11:11" x14ac:dyDescent="0.3">
      <c r="K2281" t="str">
        <f>IF($D2281="","",IFERROR(INDEX(Mapping!$H$3:$H$32,MATCH($B2281,Mapping!$G$3:$G$32,0)),IF(LEFT($F2281,3)="P2P",IFERROR(INDEX(Mapping!$E$3:$E$6,MATCH($G2281,Mapping!$D$3:$D$6,0)),IFERROR(INDEX(Mapping!$B$3:$B$13,MATCH($J2281,Mapping!$A$3:$A$13,0)),"(unmapped)")),IFERROR(INDEX(Mapping!$B$17:$B$22,MATCH($F2281,Mapping!$A$17:$A$22,0)),$F2281)&amp;" "&amp;IF($G2281="Banking","Banking",IFERROR(INDEX(Mapping!$E$17:$E$28,MATCH($J2281,Mapping!$D$17:$D$28,0)),"(unmapped)")))))</f>
        <v/>
      </c>
    </row>
    <row r="2282" spans="11:11" x14ac:dyDescent="0.3">
      <c r="K2282" t="str">
        <f>IF($D2282="","",IFERROR(INDEX(Mapping!$H$3:$H$32,MATCH($B2282,Mapping!$G$3:$G$32,0)),IF(LEFT($F2282,3)="P2P",IFERROR(INDEX(Mapping!$E$3:$E$6,MATCH($G2282,Mapping!$D$3:$D$6,0)),IFERROR(INDEX(Mapping!$B$3:$B$13,MATCH($J2282,Mapping!$A$3:$A$13,0)),"(unmapped)")),IFERROR(INDEX(Mapping!$B$17:$B$22,MATCH($F2282,Mapping!$A$17:$A$22,0)),$F2282)&amp;" "&amp;IF($G2282="Banking","Banking",IFERROR(INDEX(Mapping!$E$17:$E$28,MATCH($J2282,Mapping!$D$17:$D$28,0)),"(unmapped)")))))</f>
        <v/>
      </c>
    </row>
    <row r="2283" spans="11:11" x14ac:dyDescent="0.3">
      <c r="K2283" t="str">
        <f>IF($D2283="","",IFERROR(INDEX(Mapping!$H$3:$H$32,MATCH($B2283,Mapping!$G$3:$G$32,0)),IF(LEFT($F2283,3)="P2P",IFERROR(INDEX(Mapping!$E$3:$E$6,MATCH($G2283,Mapping!$D$3:$D$6,0)),IFERROR(INDEX(Mapping!$B$3:$B$13,MATCH($J2283,Mapping!$A$3:$A$13,0)),"(unmapped)")),IFERROR(INDEX(Mapping!$B$17:$B$22,MATCH($F2283,Mapping!$A$17:$A$22,0)),$F2283)&amp;" "&amp;IF($G2283="Banking","Banking",IFERROR(INDEX(Mapping!$E$17:$E$28,MATCH($J2283,Mapping!$D$17:$D$28,0)),"(unmapped)")))))</f>
        <v/>
      </c>
    </row>
    <row r="2284" spans="11:11" x14ac:dyDescent="0.3">
      <c r="K2284" t="str">
        <f>IF($D2284="","",IFERROR(INDEX(Mapping!$H$3:$H$32,MATCH($B2284,Mapping!$G$3:$G$32,0)),IF(LEFT($F2284,3)="P2P",IFERROR(INDEX(Mapping!$E$3:$E$6,MATCH($G2284,Mapping!$D$3:$D$6,0)),IFERROR(INDEX(Mapping!$B$3:$B$13,MATCH($J2284,Mapping!$A$3:$A$13,0)),"(unmapped)")),IFERROR(INDEX(Mapping!$B$17:$B$22,MATCH($F2284,Mapping!$A$17:$A$22,0)),$F2284)&amp;" "&amp;IF($G2284="Banking","Banking",IFERROR(INDEX(Mapping!$E$17:$E$28,MATCH($J2284,Mapping!$D$17:$D$28,0)),"(unmapped)")))))</f>
        <v/>
      </c>
    </row>
    <row r="2285" spans="11:11" x14ac:dyDescent="0.3">
      <c r="K2285" t="str">
        <f>IF($D2285="","",IFERROR(INDEX(Mapping!$H$3:$H$32,MATCH($B2285,Mapping!$G$3:$G$32,0)),IF(LEFT($F2285,3)="P2P",IFERROR(INDEX(Mapping!$E$3:$E$6,MATCH($G2285,Mapping!$D$3:$D$6,0)),IFERROR(INDEX(Mapping!$B$3:$B$13,MATCH($J2285,Mapping!$A$3:$A$13,0)),"(unmapped)")),IFERROR(INDEX(Mapping!$B$17:$B$22,MATCH($F2285,Mapping!$A$17:$A$22,0)),$F2285)&amp;" "&amp;IF($G2285="Banking","Banking",IFERROR(INDEX(Mapping!$E$17:$E$28,MATCH($J2285,Mapping!$D$17:$D$28,0)),"(unmapped)")))))</f>
        <v/>
      </c>
    </row>
    <row r="2286" spans="11:11" x14ac:dyDescent="0.3">
      <c r="K2286" t="str">
        <f>IF($D2286="","",IFERROR(INDEX(Mapping!$H$3:$H$32,MATCH($B2286,Mapping!$G$3:$G$32,0)),IF(LEFT($F2286,3)="P2P",IFERROR(INDEX(Mapping!$E$3:$E$6,MATCH($G2286,Mapping!$D$3:$D$6,0)),IFERROR(INDEX(Mapping!$B$3:$B$13,MATCH($J2286,Mapping!$A$3:$A$13,0)),"(unmapped)")),IFERROR(INDEX(Mapping!$B$17:$B$22,MATCH($F2286,Mapping!$A$17:$A$22,0)),$F2286)&amp;" "&amp;IF($G2286="Banking","Banking",IFERROR(INDEX(Mapping!$E$17:$E$28,MATCH($J2286,Mapping!$D$17:$D$28,0)),"(unmapped)")))))</f>
        <v/>
      </c>
    </row>
    <row r="2287" spans="11:11" x14ac:dyDescent="0.3">
      <c r="K2287" t="str">
        <f>IF($D2287="","",IFERROR(INDEX(Mapping!$H$3:$H$32,MATCH($B2287,Mapping!$G$3:$G$32,0)),IF(LEFT($F2287,3)="P2P",IFERROR(INDEX(Mapping!$E$3:$E$6,MATCH($G2287,Mapping!$D$3:$D$6,0)),IFERROR(INDEX(Mapping!$B$3:$B$13,MATCH($J2287,Mapping!$A$3:$A$13,0)),"(unmapped)")),IFERROR(INDEX(Mapping!$B$17:$B$22,MATCH($F2287,Mapping!$A$17:$A$22,0)),$F2287)&amp;" "&amp;IF($G2287="Banking","Banking",IFERROR(INDEX(Mapping!$E$17:$E$28,MATCH($J2287,Mapping!$D$17:$D$28,0)),"(unmapped)")))))</f>
        <v/>
      </c>
    </row>
    <row r="2288" spans="11:11" x14ac:dyDescent="0.3">
      <c r="K2288" t="str">
        <f>IF($D2288="","",IFERROR(INDEX(Mapping!$H$3:$H$32,MATCH($B2288,Mapping!$G$3:$G$32,0)),IF(LEFT($F2288,3)="P2P",IFERROR(INDEX(Mapping!$E$3:$E$6,MATCH($G2288,Mapping!$D$3:$D$6,0)),IFERROR(INDEX(Mapping!$B$3:$B$13,MATCH($J2288,Mapping!$A$3:$A$13,0)),"(unmapped)")),IFERROR(INDEX(Mapping!$B$17:$B$22,MATCH($F2288,Mapping!$A$17:$A$22,0)),$F2288)&amp;" "&amp;IF($G2288="Banking","Banking",IFERROR(INDEX(Mapping!$E$17:$E$28,MATCH($J2288,Mapping!$D$17:$D$28,0)),"(unmapped)")))))</f>
        <v/>
      </c>
    </row>
    <row r="2289" spans="11:11" x14ac:dyDescent="0.3">
      <c r="K2289" t="str">
        <f>IF($D2289="","",IFERROR(INDEX(Mapping!$H$3:$H$32,MATCH($B2289,Mapping!$G$3:$G$32,0)),IF(LEFT($F2289,3)="P2P",IFERROR(INDEX(Mapping!$E$3:$E$6,MATCH($G2289,Mapping!$D$3:$D$6,0)),IFERROR(INDEX(Mapping!$B$3:$B$13,MATCH($J2289,Mapping!$A$3:$A$13,0)),"(unmapped)")),IFERROR(INDEX(Mapping!$B$17:$B$22,MATCH($F2289,Mapping!$A$17:$A$22,0)),$F2289)&amp;" "&amp;IF($G2289="Banking","Banking",IFERROR(INDEX(Mapping!$E$17:$E$28,MATCH($J2289,Mapping!$D$17:$D$28,0)),"(unmapped)")))))</f>
        <v/>
      </c>
    </row>
    <row r="2290" spans="11:11" x14ac:dyDescent="0.3">
      <c r="K2290" t="str">
        <f>IF($D2290="","",IFERROR(INDEX(Mapping!$H$3:$H$32,MATCH($B2290,Mapping!$G$3:$G$32,0)),IF(LEFT($F2290,3)="P2P",IFERROR(INDEX(Mapping!$E$3:$E$6,MATCH($G2290,Mapping!$D$3:$D$6,0)),IFERROR(INDEX(Mapping!$B$3:$B$13,MATCH($J2290,Mapping!$A$3:$A$13,0)),"(unmapped)")),IFERROR(INDEX(Mapping!$B$17:$B$22,MATCH($F2290,Mapping!$A$17:$A$22,0)),$F2290)&amp;" "&amp;IF($G2290="Banking","Banking",IFERROR(INDEX(Mapping!$E$17:$E$28,MATCH($J2290,Mapping!$D$17:$D$28,0)),"(unmapped)")))))</f>
        <v/>
      </c>
    </row>
    <row r="2291" spans="11:11" x14ac:dyDescent="0.3">
      <c r="K2291" t="str">
        <f>IF($D2291="","",IFERROR(INDEX(Mapping!$H$3:$H$32,MATCH($B2291,Mapping!$G$3:$G$32,0)),IF(LEFT($F2291,3)="P2P",IFERROR(INDEX(Mapping!$E$3:$E$6,MATCH($G2291,Mapping!$D$3:$D$6,0)),IFERROR(INDEX(Mapping!$B$3:$B$13,MATCH($J2291,Mapping!$A$3:$A$13,0)),"(unmapped)")),IFERROR(INDEX(Mapping!$B$17:$B$22,MATCH($F2291,Mapping!$A$17:$A$22,0)),$F2291)&amp;" "&amp;IF($G2291="Banking","Banking",IFERROR(INDEX(Mapping!$E$17:$E$28,MATCH($J2291,Mapping!$D$17:$D$28,0)),"(unmapped)")))))</f>
        <v/>
      </c>
    </row>
    <row r="2292" spans="11:11" x14ac:dyDescent="0.3">
      <c r="K2292" t="str">
        <f>IF($D2292="","",IFERROR(INDEX(Mapping!$H$3:$H$32,MATCH($B2292,Mapping!$G$3:$G$32,0)),IF(LEFT($F2292,3)="P2P",IFERROR(INDEX(Mapping!$E$3:$E$6,MATCH($G2292,Mapping!$D$3:$D$6,0)),IFERROR(INDEX(Mapping!$B$3:$B$13,MATCH($J2292,Mapping!$A$3:$A$13,0)),"(unmapped)")),IFERROR(INDEX(Mapping!$B$17:$B$22,MATCH($F2292,Mapping!$A$17:$A$22,0)),$F2292)&amp;" "&amp;IF($G2292="Banking","Banking",IFERROR(INDEX(Mapping!$E$17:$E$28,MATCH($J2292,Mapping!$D$17:$D$28,0)),"(unmapped)")))))</f>
        <v/>
      </c>
    </row>
    <row r="2293" spans="11:11" x14ac:dyDescent="0.3">
      <c r="K2293" t="str">
        <f>IF($D2293="","",IFERROR(INDEX(Mapping!$H$3:$H$32,MATCH($B2293,Mapping!$G$3:$G$32,0)),IF(LEFT($F2293,3)="P2P",IFERROR(INDEX(Mapping!$E$3:$E$6,MATCH($G2293,Mapping!$D$3:$D$6,0)),IFERROR(INDEX(Mapping!$B$3:$B$13,MATCH($J2293,Mapping!$A$3:$A$13,0)),"(unmapped)")),IFERROR(INDEX(Mapping!$B$17:$B$22,MATCH($F2293,Mapping!$A$17:$A$22,0)),$F2293)&amp;" "&amp;IF($G2293="Banking","Banking",IFERROR(INDEX(Mapping!$E$17:$E$28,MATCH($J2293,Mapping!$D$17:$D$28,0)),"(unmapped)")))))</f>
        <v/>
      </c>
    </row>
    <row r="2294" spans="11:11" x14ac:dyDescent="0.3">
      <c r="K2294" t="str">
        <f>IF($D2294="","",IFERROR(INDEX(Mapping!$H$3:$H$32,MATCH($B2294,Mapping!$G$3:$G$32,0)),IF(LEFT($F2294,3)="P2P",IFERROR(INDEX(Mapping!$E$3:$E$6,MATCH($G2294,Mapping!$D$3:$D$6,0)),IFERROR(INDEX(Mapping!$B$3:$B$13,MATCH($J2294,Mapping!$A$3:$A$13,0)),"(unmapped)")),IFERROR(INDEX(Mapping!$B$17:$B$22,MATCH($F2294,Mapping!$A$17:$A$22,0)),$F2294)&amp;" "&amp;IF($G2294="Banking","Banking",IFERROR(INDEX(Mapping!$E$17:$E$28,MATCH($J2294,Mapping!$D$17:$D$28,0)),"(unmapped)")))))</f>
        <v/>
      </c>
    </row>
    <row r="2295" spans="11:11" x14ac:dyDescent="0.3">
      <c r="K2295" t="str">
        <f>IF($D2295="","",IFERROR(INDEX(Mapping!$H$3:$H$32,MATCH($B2295,Mapping!$G$3:$G$32,0)),IF(LEFT($F2295,3)="P2P",IFERROR(INDEX(Mapping!$E$3:$E$6,MATCH($G2295,Mapping!$D$3:$D$6,0)),IFERROR(INDEX(Mapping!$B$3:$B$13,MATCH($J2295,Mapping!$A$3:$A$13,0)),"(unmapped)")),IFERROR(INDEX(Mapping!$B$17:$B$22,MATCH($F2295,Mapping!$A$17:$A$22,0)),$F2295)&amp;" "&amp;IF($G2295="Banking","Banking",IFERROR(INDEX(Mapping!$E$17:$E$28,MATCH($J2295,Mapping!$D$17:$D$28,0)),"(unmapped)")))))</f>
        <v/>
      </c>
    </row>
    <row r="2296" spans="11:11" x14ac:dyDescent="0.3">
      <c r="K2296" t="str">
        <f>IF($D2296="","",IFERROR(INDEX(Mapping!$H$3:$H$32,MATCH($B2296,Mapping!$G$3:$G$32,0)),IF(LEFT($F2296,3)="P2P",IFERROR(INDEX(Mapping!$E$3:$E$6,MATCH($G2296,Mapping!$D$3:$D$6,0)),IFERROR(INDEX(Mapping!$B$3:$B$13,MATCH($J2296,Mapping!$A$3:$A$13,0)),"(unmapped)")),IFERROR(INDEX(Mapping!$B$17:$B$22,MATCH($F2296,Mapping!$A$17:$A$22,0)),$F2296)&amp;" "&amp;IF($G2296="Banking","Banking",IFERROR(INDEX(Mapping!$E$17:$E$28,MATCH($J2296,Mapping!$D$17:$D$28,0)),"(unmapped)")))))</f>
        <v/>
      </c>
    </row>
    <row r="2297" spans="11:11" x14ac:dyDescent="0.3">
      <c r="K2297" t="str">
        <f>IF($D2297="","",IFERROR(INDEX(Mapping!$H$3:$H$32,MATCH($B2297,Mapping!$G$3:$G$32,0)),IF(LEFT($F2297,3)="P2P",IFERROR(INDEX(Mapping!$E$3:$E$6,MATCH($G2297,Mapping!$D$3:$D$6,0)),IFERROR(INDEX(Mapping!$B$3:$B$13,MATCH($J2297,Mapping!$A$3:$A$13,0)),"(unmapped)")),IFERROR(INDEX(Mapping!$B$17:$B$22,MATCH($F2297,Mapping!$A$17:$A$22,0)),$F2297)&amp;" "&amp;IF($G2297="Banking","Banking",IFERROR(INDEX(Mapping!$E$17:$E$28,MATCH($J2297,Mapping!$D$17:$D$28,0)),"(unmapped)")))))</f>
        <v/>
      </c>
    </row>
    <row r="2298" spans="11:11" x14ac:dyDescent="0.3">
      <c r="K2298" t="str">
        <f>IF($D2298="","",IFERROR(INDEX(Mapping!$H$3:$H$32,MATCH($B2298,Mapping!$G$3:$G$32,0)),IF(LEFT($F2298,3)="P2P",IFERROR(INDEX(Mapping!$E$3:$E$6,MATCH($G2298,Mapping!$D$3:$D$6,0)),IFERROR(INDEX(Mapping!$B$3:$B$13,MATCH($J2298,Mapping!$A$3:$A$13,0)),"(unmapped)")),IFERROR(INDEX(Mapping!$B$17:$B$22,MATCH($F2298,Mapping!$A$17:$A$22,0)),$F2298)&amp;" "&amp;IF($G2298="Banking","Banking",IFERROR(INDEX(Mapping!$E$17:$E$28,MATCH($J2298,Mapping!$D$17:$D$28,0)),"(unmapped)")))))</f>
        <v/>
      </c>
    </row>
    <row r="2299" spans="11:11" x14ac:dyDescent="0.3">
      <c r="K2299" t="str">
        <f>IF($D2299="","",IFERROR(INDEX(Mapping!$H$3:$H$32,MATCH($B2299,Mapping!$G$3:$G$32,0)),IF(LEFT($F2299,3)="P2P",IFERROR(INDEX(Mapping!$E$3:$E$6,MATCH($G2299,Mapping!$D$3:$D$6,0)),IFERROR(INDEX(Mapping!$B$3:$B$13,MATCH($J2299,Mapping!$A$3:$A$13,0)),"(unmapped)")),IFERROR(INDEX(Mapping!$B$17:$B$22,MATCH($F2299,Mapping!$A$17:$A$22,0)),$F2299)&amp;" "&amp;IF($G2299="Banking","Banking",IFERROR(INDEX(Mapping!$E$17:$E$28,MATCH($J2299,Mapping!$D$17:$D$28,0)),"(unmapped)")))))</f>
        <v/>
      </c>
    </row>
    <row r="2300" spans="11:11" x14ac:dyDescent="0.3">
      <c r="K2300" t="str">
        <f>IF($D2300="","",IFERROR(INDEX(Mapping!$H$3:$H$32,MATCH($B2300,Mapping!$G$3:$G$32,0)),IF(LEFT($F2300,3)="P2P",IFERROR(INDEX(Mapping!$E$3:$E$6,MATCH($G2300,Mapping!$D$3:$D$6,0)),IFERROR(INDEX(Mapping!$B$3:$B$13,MATCH($J2300,Mapping!$A$3:$A$13,0)),"(unmapped)")),IFERROR(INDEX(Mapping!$B$17:$B$22,MATCH($F2300,Mapping!$A$17:$A$22,0)),$F2300)&amp;" "&amp;IF($G2300="Banking","Banking",IFERROR(INDEX(Mapping!$E$17:$E$28,MATCH($J2300,Mapping!$D$17:$D$28,0)),"(unmapped)")))))</f>
        <v/>
      </c>
    </row>
    <row r="2301" spans="11:11" x14ac:dyDescent="0.3">
      <c r="K2301" t="str">
        <f>IF($D2301="","",IFERROR(INDEX(Mapping!$H$3:$H$32,MATCH($B2301,Mapping!$G$3:$G$32,0)),IF(LEFT($F2301,3)="P2P",IFERROR(INDEX(Mapping!$E$3:$E$6,MATCH($G2301,Mapping!$D$3:$D$6,0)),IFERROR(INDEX(Mapping!$B$3:$B$13,MATCH($J2301,Mapping!$A$3:$A$13,0)),"(unmapped)")),IFERROR(INDEX(Mapping!$B$17:$B$22,MATCH($F2301,Mapping!$A$17:$A$22,0)),$F2301)&amp;" "&amp;IF($G2301="Banking","Banking",IFERROR(INDEX(Mapping!$E$17:$E$28,MATCH($J2301,Mapping!$D$17:$D$28,0)),"(unmapped)")))))</f>
        <v/>
      </c>
    </row>
    <row r="2302" spans="11:11" x14ac:dyDescent="0.3">
      <c r="K2302" t="str">
        <f>IF($D2302="","",IFERROR(INDEX(Mapping!$H$3:$H$32,MATCH($B2302,Mapping!$G$3:$G$32,0)),IF(LEFT($F2302,3)="P2P",IFERROR(INDEX(Mapping!$E$3:$E$6,MATCH($G2302,Mapping!$D$3:$D$6,0)),IFERROR(INDEX(Mapping!$B$3:$B$13,MATCH($J2302,Mapping!$A$3:$A$13,0)),"(unmapped)")),IFERROR(INDEX(Mapping!$B$17:$B$22,MATCH($F2302,Mapping!$A$17:$A$22,0)),$F2302)&amp;" "&amp;IF($G2302="Banking","Banking",IFERROR(INDEX(Mapping!$E$17:$E$28,MATCH($J2302,Mapping!$D$17:$D$28,0)),"(unmapped)")))))</f>
        <v/>
      </c>
    </row>
    <row r="2303" spans="11:11" x14ac:dyDescent="0.3">
      <c r="K2303" t="str">
        <f>IF($D2303="","",IFERROR(INDEX(Mapping!$H$3:$H$32,MATCH($B2303,Mapping!$G$3:$G$32,0)),IF(LEFT($F2303,3)="P2P",IFERROR(INDEX(Mapping!$E$3:$E$6,MATCH($G2303,Mapping!$D$3:$D$6,0)),IFERROR(INDEX(Mapping!$B$3:$B$13,MATCH($J2303,Mapping!$A$3:$A$13,0)),"(unmapped)")),IFERROR(INDEX(Mapping!$B$17:$B$22,MATCH($F2303,Mapping!$A$17:$A$22,0)),$F2303)&amp;" "&amp;IF($G2303="Banking","Banking",IFERROR(INDEX(Mapping!$E$17:$E$28,MATCH($J2303,Mapping!$D$17:$D$28,0)),"(unmapped)")))))</f>
        <v/>
      </c>
    </row>
    <row r="2304" spans="11:11" x14ac:dyDescent="0.3">
      <c r="K2304" t="str">
        <f>IF($D2304="","",IFERROR(INDEX(Mapping!$H$3:$H$32,MATCH($B2304,Mapping!$G$3:$G$32,0)),IF(LEFT($F2304,3)="P2P",IFERROR(INDEX(Mapping!$E$3:$E$6,MATCH($G2304,Mapping!$D$3:$D$6,0)),IFERROR(INDEX(Mapping!$B$3:$B$13,MATCH($J2304,Mapping!$A$3:$A$13,0)),"(unmapped)")),IFERROR(INDEX(Mapping!$B$17:$B$22,MATCH($F2304,Mapping!$A$17:$A$22,0)),$F2304)&amp;" "&amp;IF($G2304="Banking","Banking",IFERROR(INDEX(Mapping!$E$17:$E$28,MATCH($J2304,Mapping!$D$17:$D$28,0)),"(unmapped)")))))</f>
        <v/>
      </c>
    </row>
    <row r="2305" spans="11:11" x14ac:dyDescent="0.3">
      <c r="K2305" t="str">
        <f>IF($D2305="","",IFERROR(INDEX(Mapping!$H$3:$H$32,MATCH($B2305,Mapping!$G$3:$G$32,0)),IF(LEFT($F2305,3)="P2P",IFERROR(INDEX(Mapping!$E$3:$E$6,MATCH($G2305,Mapping!$D$3:$D$6,0)),IFERROR(INDEX(Mapping!$B$3:$B$13,MATCH($J2305,Mapping!$A$3:$A$13,0)),"(unmapped)")),IFERROR(INDEX(Mapping!$B$17:$B$22,MATCH($F2305,Mapping!$A$17:$A$22,0)),$F2305)&amp;" "&amp;IF($G2305="Banking","Banking",IFERROR(INDEX(Mapping!$E$17:$E$28,MATCH($J2305,Mapping!$D$17:$D$28,0)),"(unmapped)")))))</f>
        <v/>
      </c>
    </row>
    <row r="2306" spans="11:11" x14ac:dyDescent="0.3">
      <c r="K2306" t="str">
        <f>IF($D2306="","",IFERROR(INDEX(Mapping!$H$3:$H$32,MATCH($B2306,Mapping!$G$3:$G$32,0)),IF(LEFT($F2306,3)="P2P",IFERROR(INDEX(Mapping!$E$3:$E$6,MATCH($G2306,Mapping!$D$3:$D$6,0)),IFERROR(INDEX(Mapping!$B$3:$B$13,MATCH($J2306,Mapping!$A$3:$A$13,0)),"(unmapped)")),IFERROR(INDEX(Mapping!$B$17:$B$22,MATCH($F2306,Mapping!$A$17:$A$22,0)),$F2306)&amp;" "&amp;IF($G2306="Banking","Banking",IFERROR(INDEX(Mapping!$E$17:$E$28,MATCH($J2306,Mapping!$D$17:$D$28,0)),"(unmapped)")))))</f>
        <v/>
      </c>
    </row>
    <row r="2307" spans="11:11" x14ac:dyDescent="0.3">
      <c r="K2307" t="str">
        <f>IF($D2307="","",IFERROR(INDEX(Mapping!$H$3:$H$32,MATCH($B2307,Mapping!$G$3:$G$32,0)),IF(LEFT($F2307,3)="P2P",IFERROR(INDEX(Mapping!$E$3:$E$6,MATCH($G2307,Mapping!$D$3:$D$6,0)),IFERROR(INDEX(Mapping!$B$3:$B$13,MATCH($J2307,Mapping!$A$3:$A$13,0)),"(unmapped)")),IFERROR(INDEX(Mapping!$B$17:$B$22,MATCH($F2307,Mapping!$A$17:$A$22,0)),$F2307)&amp;" "&amp;IF($G2307="Banking","Banking",IFERROR(INDEX(Mapping!$E$17:$E$28,MATCH($J2307,Mapping!$D$17:$D$28,0)),"(unmapped)")))))</f>
        <v/>
      </c>
    </row>
    <row r="2308" spans="11:11" x14ac:dyDescent="0.3">
      <c r="K2308" t="str">
        <f>IF($D2308="","",IFERROR(INDEX(Mapping!$H$3:$H$32,MATCH($B2308,Mapping!$G$3:$G$32,0)),IF(LEFT($F2308,3)="P2P",IFERROR(INDEX(Mapping!$E$3:$E$6,MATCH($G2308,Mapping!$D$3:$D$6,0)),IFERROR(INDEX(Mapping!$B$3:$B$13,MATCH($J2308,Mapping!$A$3:$A$13,0)),"(unmapped)")),IFERROR(INDEX(Mapping!$B$17:$B$22,MATCH($F2308,Mapping!$A$17:$A$22,0)),$F2308)&amp;" "&amp;IF($G2308="Banking","Banking",IFERROR(INDEX(Mapping!$E$17:$E$28,MATCH($J2308,Mapping!$D$17:$D$28,0)),"(unmapped)")))))</f>
        <v/>
      </c>
    </row>
    <row r="2309" spans="11:11" x14ac:dyDescent="0.3">
      <c r="K2309" t="str">
        <f>IF($D2309="","",IFERROR(INDEX(Mapping!$H$3:$H$32,MATCH($B2309,Mapping!$G$3:$G$32,0)),IF(LEFT($F2309,3)="P2P",IFERROR(INDEX(Mapping!$E$3:$E$6,MATCH($G2309,Mapping!$D$3:$D$6,0)),IFERROR(INDEX(Mapping!$B$3:$B$13,MATCH($J2309,Mapping!$A$3:$A$13,0)),"(unmapped)")),IFERROR(INDEX(Mapping!$B$17:$B$22,MATCH($F2309,Mapping!$A$17:$A$22,0)),$F2309)&amp;" "&amp;IF($G2309="Banking","Banking",IFERROR(INDEX(Mapping!$E$17:$E$28,MATCH($J2309,Mapping!$D$17:$D$28,0)),"(unmapped)")))))</f>
        <v/>
      </c>
    </row>
    <row r="2310" spans="11:11" x14ac:dyDescent="0.3">
      <c r="K2310" t="str">
        <f>IF($D2310="","",IFERROR(INDEX(Mapping!$H$3:$H$32,MATCH($B2310,Mapping!$G$3:$G$32,0)),IF(LEFT($F2310,3)="P2P",IFERROR(INDEX(Mapping!$E$3:$E$6,MATCH($G2310,Mapping!$D$3:$D$6,0)),IFERROR(INDEX(Mapping!$B$3:$B$13,MATCH($J2310,Mapping!$A$3:$A$13,0)),"(unmapped)")),IFERROR(INDEX(Mapping!$B$17:$B$22,MATCH($F2310,Mapping!$A$17:$A$22,0)),$F2310)&amp;" "&amp;IF($G2310="Banking","Banking",IFERROR(INDEX(Mapping!$E$17:$E$28,MATCH($J2310,Mapping!$D$17:$D$28,0)),"(unmapped)")))))</f>
        <v/>
      </c>
    </row>
    <row r="2311" spans="11:11" x14ac:dyDescent="0.3">
      <c r="K2311" t="str">
        <f>IF($D2311="","",IFERROR(INDEX(Mapping!$H$3:$H$32,MATCH($B2311,Mapping!$G$3:$G$32,0)),IF(LEFT($F2311,3)="P2P",IFERROR(INDEX(Mapping!$E$3:$E$6,MATCH($G2311,Mapping!$D$3:$D$6,0)),IFERROR(INDEX(Mapping!$B$3:$B$13,MATCH($J2311,Mapping!$A$3:$A$13,0)),"(unmapped)")),IFERROR(INDEX(Mapping!$B$17:$B$22,MATCH($F2311,Mapping!$A$17:$A$22,0)),$F2311)&amp;" "&amp;IF($G2311="Banking","Banking",IFERROR(INDEX(Mapping!$E$17:$E$28,MATCH($J2311,Mapping!$D$17:$D$28,0)),"(unmapped)")))))</f>
        <v/>
      </c>
    </row>
    <row r="2312" spans="11:11" x14ac:dyDescent="0.3">
      <c r="K2312" t="str">
        <f>IF($D2312="","",IFERROR(INDEX(Mapping!$H$3:$H$32,MATCH($B2312,Mapping!$G$3:$G$32,0)),IF(LEFT($F2312,3)="P2P",IFERROR(INDEX(Mapping!$E$3:$E$6,MATCH($G2312,Mapping!$D$3:$D$6,0)),IFERROR(INDEX(Mapping!$B$3:$B$13,MATCH($J2312,Mapping!$A$3:$A$13,0)),"(unmapped)")),IFERROR(INDEX(Mapping!$B$17:$B$22,MATCH($F2312,Mapping!$A$17:$A$22,0)),$F2312)&amp;" "&amp;IF($G2312="Banking","Banking",IFERROR(INDEX(Mapping!$E$17:$E$28,MATCH($J2312,Mapping!$D$17:$D$28,0)),"(unmapped)")))))</f>
        <v/>
      </c>
    </row>
    <row r="2313" spans="11:11" x14ac:dyDescent="0.3">
      <c r="K2313" t="str">
        <f>IF($D2313="","",IFERROR(INDEX(Mapping!$H$3:$H$32,MATCH($B2313,Mapping!$G$3:$G$32,0)),IF(LEFT($F2313,3)="P2P",IFERROR(INDEX(Mapping!$E$3:$E$6,MATCH($G2313,Mapping!$D$3:$D$6,0)),IFERROR(INDEX(Mapping!$B$3:$B$13,MATCH($J2313,Mapping!$A$3:$A$13,0)),"(unmapped)")),IFERROR(INDEX(Mapping!$B$17:$B$22,MATCH($F2313,Mapping!$A$17:$A$22,0)),$F2313)&amp;" "&amp;IF($G2313="Banking","Banking",IFERROR(INDEX(Mapping!$E$17:$E$28,MATCH($J2313,Mapping!$D$17:$D$28,0)),"(unmapped)")))))</f>
        <v/>
      </c>
    </row>
    <row r="2314" spans="11:11" x14ac:dyDescent="0.3">
      <c r="K2314" t="str">
        <f>IF($D2314="","",IFERROR(INDEX(Mapping!$H$3:$H$32,MATCH($B2314,Mapping!$G$3:$G$32,0)),IF(LEFT($F2314,3)="P2P",IFERROR(INDEX(Mapping!$E$3:$E$6,MATCH($G2314,Mapping!$D$3:$D$6,0)),IFERROR(INDEX(Mapping!$B$3:$B$13,MATCH($J2314,Mapping!$A$3:$A$13,0)),"(unmapped)")),IFERROR(INDEX(Mapping!$B$17:$B$22,MATCH($F2314,Mapping!$A$17:$A$22,0)),$F2314)&amp;" "&amp;IF($G2314="Banking","Banking",IFERROR(INDEX(Mapping!$E$17:$E$28,MATCH($J2314,Mapping!$D$17:$D$28,0)),"(unmapped)")))))</f>
        <v/>
      </c>
    </row>
    <row r="2315" spans="11:11" x14ac:dyDescent="0.3">
      <c r="K2315" t="str">
        <f>IF($D2315="","",IFERROR(INDEX(Mapping!$H$3:$H$32,MATCH($B2315,Mapping!$G$3:$G$32,0)),IF(LEFT($F2315,3)="P2P",IFERROR(INDEX(Mapping!$E$3:$E$6,MATCH($G2315,Mapping!$D$3:$D$6,0)),IFERROR(INDEX(Mapping!$B$3:$B$13,MATCH($J2315,Mapping!$A$3:$A$13,0)),"(unmapped)")),IFERROR(INDEX(Mapping!$B$17:$B$22,MATCH($F2315,Mapping!$A$17:$A$22,0)),$F2315)&amp;" "&amp;IF($G2315="Banking","Banking",IFERROR(INDEX(Mapping!$E$17:$E$28,MATCH($J2315,Mapping!$D$17:$D$28,0)),"(unmapped)")))))</f>
        <v/>
      </c>
    </row>
    <row r="2316" spans="11:11" x14ac:dyDescent="0.3">
      <c r="K2316" t="str">
        <f>IF($D2316="","",IFERROR(INDEX(Mapping!$H$3:$H$32,MATCH($B2316,Mapping!$G$3:$G$32,0)),IF(LEFT($F2316,3)="P2P",IFERROR(INDEX(Mapping!$E$3:$E$6,MATCH($G2316,Mapping!$D$3:$D$6,0)),IFERROR(INDEX(Mapping!$B$3:$B$13,MATCH($J2316,Mapping!$A$3:$A$13,0)),"(unmapped)")),IFERROR(INDEX(Mapping!$B$17:$B$22,MATCH($F2316,Mapping!$A$17:$A$22,0)),$F2316)&amp;" "&amp;IF($G2316="Banking","Banking",IFERROR(INDEX(Mapping!$E$17:$E$28,MATCH($J2316,Mapping!$D$17:$D$28,0)),"(unmapped)")))))</f>
        <v/>
      </c>
    </row>
    <row r="2317" spans="11:11" x14ac:dyDescent="0.3">
      <c r="K2317" t="str">
        <f>IF($D2317="","",IFERROR(INDEX(Mapping!$H$3:$H$32,MATCH($B2317,Mapping!$G$3:$G$32,0)),IF(LEFT($F2317,3)="P2P",IFERROR(INDEX(Mapping!$E$3:$E$6,MATCH($G2317,Mapping!$D$3:$D$6,0)),IFERROR(INDEX(Mapping!$B$3:$B$13,MATCH($J2317,Mapping!$A$3:$A$13,0)),"(unmapped)")),IFERROR(INDEX(Mapping!$B$17:$B$22,MATCH($F2317,Mapping!$A$17:$A$22,0)),$F2317)&amp;" "&amp;IF($G2317="Banking","Banking",IFERROR(INDEX(Mapping!$E$17:$E$28,MATCH($J2317,Mapping!$D$17:$D$28,0)),"(unmapped)")))))</f>
        <v/>
      </c>
    </row>
    <row r="2318" spans="11:11" x14ac:dyDescent="0.3">
      <c r="K2318" t="str">
        <f>IF($D2318="","",IFERROR(INDEX(Mapping!$H$3:$H$32,MATCH($B2318,Mapping!$G$3:$G$32,0)),IF(LEFT($F2318,3)="P2P",IFERROR(INDEX(Mapping!$E$3:$E$6,MATCH($G2318,Mapping!$D$3:$D$6,0)),IFERROR(INDEX(Mapping!$B$3:$B$13,MATCH($J2318,Mapping!$A$3:$A$13,0)),"(unmapped)")),IFERROR(INDEX(Mapping!$B$17:$B$22,MATCH($F2318,Mapping!$A$17:$A$22,0)),$F2318)&amp;" "&amp;IF($G2318="Banking","Banking",IFERROR(INDEX(Mapping!$E$17:$E$28,MATCH($J2318,Mapping!$D$17:$D$28,0)),"(unmapped)")))))</f>
        <v/>
      </c>
    </row>
    <row r="2319" spans="11:11" x14ac:dyDescent="0.3">
      <c r="K2319" t="str">
        <f>IF($D2319="","",IFERROR(INDEX(Mapping!$H$3:$H$32,MATCH($B2319,Mapping!$G$3:$G$32,0)),IF(LEFT($F2319,3)="P2P",IFERROR(INDEX(Mapping!$E$3:$E$6,MATCH($G2319,Mapping!$D$3:$D$6,0)),IFERROR(INDEX(Mapping!$B$3:$B$13,MATCH($J2319,Mapping!$A$3:$A$13,0)),"(unmapped)")),IFERROR(INDEX(Mapping!$B$17:$B$22,MATCH($F2319,Mapping!$A$17:$A$22,0)),$F2319)&amp;" "&amp;IF($G2319="Banking","Banking",IFERROR(INDEX(Mapping!$E$17:$E$28,MATCH($J2319,Mapping!$D$17:$D$28,0)),"(unmapped)")))))</f>
        <v/>
      </c>
    </row>
    <row r="2320" spans="11:11" x14ac:dyDescent="0.3">
      <c r="K2320" t="str">
        <f>IF($D2320="","",IFERROR(INDEX(Mapping!$H$3:$H$32,MATCH($B2320,Mapping!$G$3:$G$32,0)),IF(LEFT($F2320,3)="P2P",IFERROR(INDEX(Mapping!$E$3:$E$6,MATCH($G2320,Mapping!$D$3:$D$6,0)),IFERROR(INDEX(Mapping!$B$3:$B$13,MATCH($J2320,Mapping!$A$3:$A$13,0)),"(unmapped)")),IFERROR(INDEX(Mapping!$B$17:$B$22,MATCH($F2320,Mapping!$A$17:$A$22,0)),$F2320)&amp;" "&amp;IF($G2320="Banking","Banking",IFERROR(INDEX(Mapping!$E$17:$E$28,MATCH($J2320,Mapping!$D$17:$D$28,0)),"(unmapped)")))))</f>
        <v/>
      </c>
    </row>
    <row r="2321" spans="11:11" x14ac:dyDescent="0.3">
      <c r="K2321" t="str">
        <f>IF($D2321="","",IFERROR(INDEX(Mapping!$H$3:$H$32,MATCH($B2321,Mapping!$G$3:$G$32,0)),IF(LEFT($F2321,3)="P2P",IFERROR(INDEX(Mapping!$E$3:$E$6,MATCH($G2321,Mapping!$D$3:$D$6,0)),IFERROR(INDEX(Mapping!$B$3:$B$13,MATCH($J2321,Mapping!$A$3:$A$13,0)),"(unmapped)")),IFERROR(INDEX(Mapping!$B$17:$B$22,MATCH($F2321,Mapping!$A$17:$A$22,0)),$F2321)&amp;" "&amp;IF($G2321="Banking","Banking",IFERROR(INDEX(Mapping!$E$17:$E$28,MATCH($J2321,Mapping!$D$17:$D$28,0)),"(unmapped)")))))</f>
        <v/>
      </c>
    </row>
    <row r="2322" spans="11:11" x14ac:dyDescent="0.3">
      <c r="K2322" t="str">
        <f>IF($D2322="","",IFERROR(INDEX(Mapping!$H$3:$H$32,MATCH($B2322,Mapping!$G$3:$G$32,0)),IF(LEFT($F2322,3)="P2P",IFERROR(INDEX(Mapping!$E$3:$E$6,MATCH($G2322,Mapping!$D$3:$D$6,0)),IFERROR(INDEX(Mapping!$B$3:$B$13,MATCH($J2322,Mapping!$A$3:$A$13,0)),"(unmapped)")),IFERROR(INDEX(Mapping!$B$17:$B$22,MATCH($F2322,Mapping!$A$17:$A$22,0)),$F2322)&amp;" "&amp;IF($G2322="Banking","Banking",IFERROR(INDEX(Mapping!$E$17:$E$28,MATCH($J2322,Mapping!$D$17:$D$28,0)),"(unmapped)")))))</f>
        <v/>
      </c>
    </row>
    <row r="2323" spans="11:11" x14ac:dyDescent="0.3">
      <c r="K2323" t="str">
        <f>IF($D2323="","",IFERROR(INDEX(Mapping!$H$3:$H$32,MATCH($B2323,Mapping!$G$3:$G$32,0)),IF(LEFT($F2323,3)="P2P",IFERROR(INDEX(Mapping!$E$3:$E$6,MATCH($G2323,Mapping!$D$3:$D$6,0)),IFERROR(INDEX(Mapping!$B$3:$B$13,MATCH($J2323,Mapping!$A$3:$A$13,0)),"(unmapped)")),IFERROR(INDEX(Mapping!$B$17:$B$22,MATCH($F2323,Mapping!$A$17:$A$22,0)),$F2323)&amp;" "&amp;IF($G2323="Banking","Banking",IFERROR(INDEX(Mapping!$E$17:$E$28,MATCH($J2323,Mapping!$D$17:$D$28,0)),"(unmapped)")))))</f>
        <v/>
      </c>
    </row>
    <row r="2324" spans="11:11" x14ac:dyDescent="0.3">
      <c r="K2324" t="str">
        <f>IF($D2324="","",IFERROR(INDEX(Mapping!$H$3:$H$32,MATCH($B2324,Mapping!$G$3:$G$32,0)),IF(LEFT($F2324,3)="P2P",IFERROR(INDEX(Mapping!$E$3:$E$6,MATCH($G2324,Mapping!$D$3:$D$6,0)),IFERROR(INDEX(Mapping!$B$3:$B$13,MATCH($J2324,Mapping!$A$3:$A$13,0)),"(unmapped)")),IFERROR(INDEX(Mapping!$B$17:$B$22,MATCH($F2324,Mapping!$A$17:$A$22,0)),$F2324)&amp;" "&amp;IF($G2324="Banking","Banking",IFERROR(INDEX(Mapping!$E$17:$E$28,MATCH($J2324,Mapping!$D$17:$D$28,0)),"(unmapped)")))))</f>
        <v/>
      </c>
    </row>
    <row r="2325" spans="11:11" x14ac:dyDescent="0.3">
      <c r="K2325" t="str">
        <f>IF($D2325="","",IFERROR(INDEX(Mapping!$H$3:$H$32,MATCH($B2325,Mapping!$G$3:$G$32,0)),IF(LEFT($F2325,3)="P2P",IFERROR(INDEX(Mapping!$E$3:$E$6,MATCH($G2325,Mapping!$D$3:$D$6,0)),IFERROR(INDEX(Mapping!$B$3:$B$13,MATCH($J2325,Mapping!$A$3:$A$13,0)),"(unmapped)")),IFERROR(INDEX(Mapping!$B$17:$B$22,MATCH($F2325,Mapping!$A$17:$A$22,0)),$F2325)&amp;" "&amp;IF($G2325="Banking","Banking",IFERROR(INDEX(Mapping!$E$17:$E$28,MATCH($J2325,Mapping!$D$17:$D$28,0)),"(unmapped)")))))</f>
        <v/>
      </c>
    </row>
    <row r="2326" spans="11:11" x14ac:dyDescent="0.3">
      <c r="K2326" t="str">
        <f>IF($D2326="","",IFERROR(INDEX(Mapping!$H$3:$H$32,MATCH($B2326,Mapping!$G$3:$G$32,0)),IF(LEFT($F2326,3)="P2P",IFERROR(INDEX(Mapping!$E$3:$E$6,MATCH($G2326,Mapping!$D$3:$D$6,0)),IFERROR(INDEX(Mapping!$B$3:$B$13,MATCH($J2326,Mapping!$A$3:$A$13,0)),"(unmapped)")),IFERROR(INDEX(Mapping!$B$17:$B$22,MATCH($F2326,Mapping!$A$17:$A$22,0)),$F2326)&amp;" "&amp;IF($G2326="Banking","Banking",IFERROR(INDEX(Mapping!$E$17:$E$28,MATCH($J2326,Mapping!$D$17:$D$28,0)),"(unmapped)")))))</f>
        <v/>
      </c>
    </row>
    <row r="2327" spans="11:11" x14ac:dyDescent="0.3">
      <c r="K2327" t="str">
        <f>IF($D2327="","",IFERROR(INDEX(Mapping!$H$3:$H$32,MATCH($B2327,Mapping!$G$3:$G$32,0)),IF(LEFT($F2327,3)="P2P",IFERROR(INDEX(Mapping!$E$3:$E$6,MATCH($G2327,Mapping!$D$3:$D$6,0)),IFERROR(INDEX(Mapping!$B$3:$B$13,MATCH($J2327,Mapping!$A$3:$A$13,0)),"(unmapped)")),IFERROR(INDEX(Mapping!$B$17:$B$22,MATCH($F2327,Mapping!$A$17:$A$22,0)),$F2327)&amp;" "&amp;IF($G2327="Banking","Banking",IFERROR(INDEX(Mapping!$E$17:$E$28,MATCH($J2327,Mapping!$D$17:$D$28,0)),"(unmapped)")))))</f>
        <v/>
      </c>
    </row>
    <row r="2328" spans="11:11" x14ac:dyDescent="0.3">
      <c r="K2328" t="str">
        <f>IF($D2328="","",IFERROR(INDEX(Mapping!$H$3:$H$32,MATCH($B2328,Mapping!$G$3:$G$32,0)),IF(LEFT($F2328,3)="P2P",IFERROR(INDEX(Mapping!$E$3:$E$6,MATCH($G2328,Mapping!$D$3:$D$6,0)),IFERROR(INDEX(Mapping!$B$3:$B$13,MATCH($J2328,Mapping!$A$3:$A$13,0)),"(unmapped)")),IFERROR(INDEX(Mapping!$B$17:$B$22,MATCH($F2328,Mapping!$A$17:$A$22,0)),$F2328)&amp;" "&amp;IF($G2328="Banking","Banking",IFERROR(INDEX(Mapping!$E$17:$E$28,MATCH($J2328,Mapping!$D$17:$D$28,0)),"(unmapped)")))))</f>
        <v/>
      </c>
    </row>
    <row r="2329" spans="11:11" x14ac:dyDescent="0.3">
      <c r="K2329" t="str">
        <f>IF($D2329="","",IFERROR(INDEX(Mapping!$H$3:$H$32,MATCH($B2329,Mapping!$G$3:$G$32,0)),IF(LEFT($F2329,3)="P2P",IFERROR(INDEX(Mapping!$E$3:$E$6,MATCH($G2329,Mapping!$D$3:$D$6,0)),IFERROR(INDEX(Mapping!$B$3:$B$13,MATCH($J2329,Mapping!$A$3:$A$13,0)),"(unmapped)")),IFERROR(INDEX(Mapping!$B$17:$B$22,MATCH($F2329,Mapping!$A$17:$A$22,0)),$F2329)&amp;" "&amp;IF($G2329="Banking","Banking",IFERROR(INDEX(Mapping!$E$17:$E$28,MATCH($J2329,Mapping!$D$17:$D$28,0)),"(unmapped)")))))</f>
        <v/>
      </c>
    </row>
    <row r="2330" spans="11:11" x14ac:dyDescent="0.3">
      <c r="K2330" t="str">
        <f>IF($D2330="","",IFERROR(INDEX(Mapping!$H$3:$H$32,MATCH($B2330,Mapping!$G$3:$G$32,0)),IF(LEFT($F2330,3)="P2P",IFERROR(INDEX(Mapping!$E$3:$E$6,MATCH($G2330,Mapping!$D$3:$D$6,0)),IFERROR(INDEX(Mapping!$B$3:$B$13,MATCH($J2330,Mapping!$A$3:$A$13,0)),"(unmapped)")),IFERROR(INDEX(Mapping!$B$17:$B$22,MATCH($F2330,Mapping!$A$17:$A$22,0)),$F2330)&amp;" "&amp;IF($G2330="Banking","Banking",IFERROR(INDEX(Mapping!$E$17:$E$28,MATCH($J2330,Mapping!$D$17:$D$28,0)),"(unmapped)")))))</f>
        <v/>
      </c>
    </row>
    <row r="2331" spans="11:11" x14ac:dyDescent="0.3">
      <c r="K2331" t="str">
        <f>IF($D2331="","",IFERROR(INDEX(Mapping!$H$3:$H$32,MATCH($B2331,Mapping!$G$3:$G$32,0)),IF(LEFT($F2331,3)="P2P",IFERROR(INDEX(Mapping!$E$3:$E$6,MATCH($G2331,Mapping!$D$3:$D$6,0)),IFERROR(INDEX(Mapping!$B$3:$B$13,MATCH($J2331,Mapping!$A$3:$A$13,0)),"(unmapped)")),IFERROR(INDEX(Mapping!$B$17:$B$22,MATCH($F2331,Mapping!$A$17:$A$22,0)),$F2331)&amp;" "&amp;IF($G2331="Banking","Banking",IFERROR(INDEX(Mapping!$E$17:$E$28,MATCH($J2331,Mapping!$D$17:$D$28,0)),"(unmapped)")))))</f>
        <v/>
      </c>
    </row>
    <row r="2332" spans="11:11" x14ac:dyDescent="0.3">
      <c r="K2332" t="str">
        <f>IF($D2332="","",IFERROR(INDEX(Mapping!$H$3:$H$32,MATCH($B2332,Mapping!$G$3:$G$32,0)),IF(LEFT($F2332,3)="P2P",IFERROR(INDEX(Mapping!$E$3:$E$6,MATCH($G2332,Mapping!$D$3:$D$6,0)),IFERROR(INDEX(Mapping!$B$3:$B$13,MATCH($J2332,Mapping!$A$3:$A$13,0)),"(unmapped)")),IFERROR(INDEX(Mapping!$B$17:$B$22,MATCH($F2332,Mapping!$A$17:$A$22,0)),$F2332)&amp;" "&amp;IF($G2332="Banking","Banking",IFERROR(INDEX(Mapping!$E$17:$E$28,MATCH($J2332,Mapping!$D$17:$D$28,0)),"(unmapped)")))))</f>
        <v/>
      </c>
    </row>
    <row r="2333" spans="11:11" x14ac:dyDescent="0.3">
      <c r="K2333" t="str">
        <f>IF($D2333="","",IFERROR(INDEX(Mapping!$H$3:$H$32,MATCH($B2333,Mapping!$G$3:$G$32,0)),IF(LEFT($F2333,3)="P2P",IFERROR(INDEX(Mapping!$E$3:$E$6,MATCH($G2333,Mapping!$D$3:$D$6,0)),IFERROR(INDEX(Mapping!$B$3:$B$13,MATCH($J2333,Mapping!$A$3:$A$13,0)),"(unmapped)")),IFERROR(INDEX(Mapping!$B$17:$B$22,MATCH($F2333,Mapping!$A$17:$A$22,0)),$F2333)&amp;" "&amp;IF($G2333="Banking","Banking",IFERROR(INDEX(Mapping!$E$17:$E$28,MATCH($J2333,Mapping!$D$17:$D$28,0)),"(unmapped)")))))</f>
        <v/>
      </c>
    </row>
    <row r="2334" spans="11:11" x14ac:dyDescent="0.3">
      <c r="K2334" t="str">
        <f>IF($D2334="","",IFERROR(INDEX(Mapping!$H$3:$H$32,MATCH($B2334,Mapping!$G$3:$G$32,0)),IF(LEFT($F2334,3)="P2P",IFERROR(INDEX(Mapping!$E$3:$E$6,MATCH($G2334,Mapping!$D$3:$D$6,0)),IFERROR(INDEX(Mapping!$B$3:$B$13,MATCH($J2334,Mapping!$A$3:$A$13,0)),"(unmapped)")),IFERROR(INDEX(Mapping!$B$17:$B$22,MATCH($F2334,Mapping!$A$17:$A$22,0)),$F2334)&amp;" "&amp;IF($G2334="Banking","Banking",IFERROR(INDEX(Mapping!$E$17:$E$28,MATCH($J2334,Mapping!$D$17:$D$28,0)),"(unmapped)")))))</f>
        <v/>
      </c>
    </row>
    <row r="2335" spans="11:11" x14ac:dyDescent="0.3">
      <c r="K2335" t="str">
        <f>IF($D2335="","",IFERROR(INDEX(Mapping!$H$3:$H$32,MATCH($B2335,Mapping!$G$3:$G$32,0)),IF(LEFT($F2335,3)="P2P",IFERROR(INDEX(Mapping!$E$3:$E$6,MATCH($G2335,Mapping!$D$3:$D$6,0)),IFERROR(INDEX(Mapping!$B$3:$B$13,MATCH($J2335,Mapping!$A$3:$A$13,0)),"(unmapped)")),IFERROR(INDEX(Mapping!$B$17:$B$22,MATCH($F2335,Mapping!$A$17:$A$22,0)),$F2335)&amp;" "&amp;IF($G2335="Banking","Banking",IFERROR(INDEX(Mapping!$E$17:$E$28,MATCH($J2335,Mapping!$D$17:$D$28,0)),"(unmapped)")))))</f>
        <v/>
      </c>
    </row>
    <row r="2336" spans="11:11" x14ac:dyDescent="0.3">
      <c r="K2336" t="str">
        <f>IF($D2336="","",IFERROR(INDEX(Mapping!$H$3:$H$32,MATCH($B2336,Mapping!$G$3:$G$32,0)),IF(LEFT($F2336,3)="P2P",IFERROR(INDEX(Mapping!$E$3:$E$6,MATCH($G2336,Mapping!$D$3:$D$6,0)),IFERROR(INDEX(Mapping!$B$3:$B$13,MATCH($J2336,Mapping!$A$3:$A$13,0)),"(unmapped)")),IFERROR(INDEX(Mapping!$B$17:$B$22,MATCH($F2336,Mapping!$A$17:$A$22,0)),$F2336)&amp;" "&amp;IF($G2336="Banking","Banking",IFERROR(INDEX(Mapping!$E$17:$E$28,MATCH($J2336,Mapping!$D$17:$D$28,0)),"(unmapped)")))))</f>
        <v/>
      </c>
    </row>
    <row r="2337" spans="11:11" x14ac:dyDescent="0.3">
      <c r="K2337" t="str">
        <f>IF($D2337="","",IFERROR(INDEX(Mapping!$H$3:$H$32,MATCH($B2337,Mapping!$G$3:$G$32,0)),IF(LEFT($F2337,3)="P2P",IFERROR(INDEX(Mapping!$E$3:$E$6,MATCH($G2337,Mapping!$D$3:$D$6,0)),IFERROR(INDEX(Mapping!$B$3:$B$13,MATCH($J2337,Mapping!$A$3:$A$13,0)),"(unmapped)")),IFERROR(INDEX(Mapping!$B$17:$B$22,MATCH($F2337,Mapping!$A$17:$A$22,0)),$F2337)&amp;" "&amp;IF($G2337="Banking","Banking",IFERROR(INDEX(Mapping!$E$17:$E$28,MATCH($J2337,Mapping!$D$17:$D$28,0)),"(unmapped)")))))</f>
        <v/>
      </c>
    </row>
    <row r="2338" spans="11:11" x14ac:dyDescent="0.3">
      <c r="K2338" t="str">
        <f>IF($D2338="","",IFERROR(INDEX(Mapping!$H$3:$H$32,MATCH($B2338,Mapping!$G$3:$G$32,0)),IF(LEFT($F2338,3)="P2P",IFERROR(INDEX(Mapping!$E$3:$E$6,MATCH($G2338,Mapping!$D$3:$D$6,0)),IFERROR(INDEX(Mapping!$B$3:$B$13,MATCH($J2338,Mapping!$A$3:$A$13,0)),"(unmapped)")),IFERROR(INDEX(Mapping!$B$17:$B$22,MATCH($F2338,Mapping!$A$17:$A$22,0)),$F2338)&amp;" "&amp;IF($G2338="Banking","Banking",IFERROR(INDEX(Mapping!$E$17:$E$28,MATCH($J2338,Mapping!$D$17:$D$28,0)),"(unmapped)")))))</f>
        <v/>
      </c>
    </row>
    <row r="2339" spans="11:11" x14ac:dyDescent="0.3">
      <c r="K2339" t="str">
        <f>IF($D2339="","",IFERROR(INDEX(Mapping!$H$3:$H$32,MATCH($B2339,Mapping!$G$3:$G$32,0)),IF(LEFT($F2339,3)="P2P",IFERROR(INDEX(Mapping!$E$3:$E$6,MATCH($G2339,Mapping!$D$3:$D$6,0)),IFERROR(INDEX(Mapping!$B$3:$B$13,MATCH($J2339,Mapping!$A$3:$A$13,0)),"(unmapped)")),IFERROR(INDEX(Mapping!$B$17:$B$22,MATCH($F2339,Mapping!$A$17:$A$22,0)),$F2339)&amp;" "&amp;IF($G2339="Banking","Banking",IFERROR(INDEX(Mapping!$E$17:$E$28,MATCH($J2339,Mapping!$D$17:$D$28,0)),"(unmapped)")))))</f>
        <v/>
      </c>
    </row>
    <row r="2340" spans="11:11" x14ac:dyDescent="0.3">
      <c r="K2340" t="str">
        <f>IF($D2340="","",IFERROR(INDEX(Mapping!$H$3:$H$32,MATCH($B2340,Mapping!$G$3:$G$32,0)),IF(LEFT($F2340,3)="P2P",IFERROR(INDEX(Mapping!$E$3:$E$6,MATCH($G2340,Mapping!$D$3:$D$6,0)),IFERROR(INDEX(Mapping!$B$3:$B$13,MATCH($J2340,Mapping!$A$3:$A$13,0)),"(unmapped)")),IFERROR(INDEX(Mapping!$B$17:$B$22,MATCH($F2340,Mapping!$A$17:$A$22,0)),$F2340)&amp;" "&amp;IF($G2340="Banking","Banking",IFERROR(INDEX(Mapping!$E$17:$E$28,MATCH($J2340,Mapping!$D$17:$D$28,0)),"(unmapped)")))))</f>
        <v/>
      </c>
    </row>
    <row r="2341" spans="11:11" x14ac:dyDescent="0.3">
      <c r="K2341" t="str">
        <f>IF($D2341="","",IFERROR(INDEX(Mapping!$H$3:$H$32,MATCH($B2341,Mapping!$G$3:$G$32,0)),IF(LEFT($F2341,3)="P2P",IFERROR(INDEX(Mapping!$E$3:$E$6,MATCH($G2341,Mapping!$D$3:$D$6,0)),IFERROR(INDEX(Mapping!$B$3:$B$13,MATCH($J2341,Mapping!$A$3:$A$13,0)),"(unmapped)")),IFERROR(INDEX(Mapping!$B$17:$B$22,MATCH($F2341,Mapping!$A$17:$A$22,0)),$F2341)&amp;" "&amp;IF($G2341="Banking","Banking",IFERROR(INDEX(Mapping!$E$17:$E$28,MATCH($J2341,Mapping!$D$17:$D$28,0)),"(unmapped)")))))</f>
        <v/>
      </c>
    </row>
    <row r="2342" spans="11:11" x14ac:dyDescent="0.3">
      <c r="K2342" t="str">
        <f>IF($D2342="","",IFERROR(INDEX(Mapping!$H$3:$H$32,MATCH($B2342,Mapping!$G$3:$G$32,0)),IF(LEFT($F2342,3)="P2P",IFERROR(INDEX(Mapping!$E$3:$E$6,MATCH($G2342,Mapping!$D$3:$D$6,0)),IFERROR(INDEX(Mapping!$B$3:$B$13,MATCH($J2342,Mapping!$A$3:$A$13,0)),"(unmapped)")),IFERROR(INDEX(Mapping!$B$17:$B$22,MATCH($F2342,Mapping!$A$17:$A$22,0)),$F2342)&amp;" "&amp;IF($G2342="Banking","Banking",IFERROR(INDEX(Mapping!$E$17:$E$28,MATCH($J2342,Mapping!$D$17:$D$28,0)),"(unmapped)")))))</f>
        <v/>
      </c>
    </row>
    <row r="2343" spans="11:11" x14ac:dyDescent="0.3">
      <c r="K2343" t="str">
        <f>IF($D2343="","",IFERROR(INDEX(Mapping!$H$3:$H$32,MATCH($B2343,Mapping!$G$3:$G$32,0)),IF(LEFT($F2343,3)="P2P",IFERROR(INDEX(Mapping!$E$3:$E$6,MATCH($G2343,Mapping!$D$3:$D$6,0)),IFERROR(INDEX(Mapping!$B$3:$B$13,MATCH($J2343,Mapping!$A$3:$A$13,0)),"(unmapped)")),IFERROR(INDEX(Mapping!$B$17:$B$22,MATCH($F2343,Mapping!$A$17:$A$22,0)),$F2343)&amp;" "&amp;IF($G2343="Banking","Banking",IFERROR(INDEX(Mapping!$E$17:$E$28,MATCH($J2343,Mapping!$D$17:$D$28,0)),"(unmapped)")))))</f>
        <v/>
      </c>
    </row>
    <row r="2344" spans="11:11" x14ac:dyDescent="0.3">
      <c r="K2344" t="str">
        <f>IF($D2344="","",IFERROR(INDEX(Mapping!$H$3:$H$32,MATCH($B2344,Mapping!$G$3:$G$32,0)),IF(LEFT($F2344,3)="P2P",IFERROR(INDEX(Mapping!$E$3:$E$6,MATCH($G2344,Mapping!$D$3:$D$6,0)),IFERROR(INDEX(Mapping!$B$3:$B$13,MATCH($J2344,Mapping!$A$3:$A$13,0)),"(unmapped)")),IFERROR(INDEX(Mapping!$B$17:$B$22,MATCH($F2344,Mapping!$A$17:$A$22,0)),$F2344)&amp;" "&amp;IF($G2344="Banking","Banking",IFERROR(INDEX(Mapping!$E$17:$E$28,MATCH($J2344,Mapping!$D$17:$D$28,0)),"(unmapped)")))))</f>
        <v/>
      </c>
    </row>
    <row r="2345" spans="11:11" x14ac:dyDescent="0.3">
      <c r="K2345" t="str">
        <f>IF($D2345="","",IFERROR(INDEX(Mapping!$H$3:$H$32,MATCH($B2345,Mapping!$G$3:$G$32,0)),IF(LEFT($F2345,3)="P2P",IFERROR(INDEX(Mapping!$E$3:$E$6,MATCH($G2345,Mapping!$D$3:$D$6,0)),IFERROR(INDEX(Mapping!$B$3:$B$13,MATCH($J2345,Mapping!$A$3:$A$13,0)),"(unmapped)")),IFERROR(INDEX(Mapping!$B$17:$B$22,MATCH($F2345,Mapping!$A$17:$A$22,0)),$F2345)&amp;" "&amp;IF($G2345="Banking","Banking",IFERROR(INDEX(Mapping!$E$17:$E$28,MATCH($J2345,Mapping!$D$17:$D$28,0)),"(unmapped)")))))</f>
        <v/>
      </c>
    </row>
    <row r="2346" spans="11:11" x14ac:dyDescent="0.3">
      <c r="K2346" t="str">
        <f>IF($D2346="","",IFERROR(INDEX(Mapping!$H$3:$H$32,MATCH($B2346,Mapping!$G$3:$G$32,0)),IF(LEFT($F2346,3)="P2P",IFERROR(INDEX(Mapping!$E$3:$E$6,MATCH($G2346,Mapping!$D$3:$D$6,0)),IFERROR(INDEX(Mapping!$B$3:$B$13,MATCH($J2346,Mapping!$A$3:$A$13,0)),"(unmapped)")),IFERROR(INDEX(Mapping!$B$17:$B$22,MATCH($F2346,Mapping!$A$17:$A$22,0)),$F2346)&amp;" "&amp;IF($G2346="Banking","Banking",IFERROR(INDEX(Mapping!$E$17:$E$28,MATCH($J2346,Mapping!$D$17:$D$28,0)),"(unmapped)")))))</f>
        <v/>
      </c>
    </row>
    <row r="2347" spans="11:11" x14ac:dyDescent="0.3">
      <c r="K2347" t="str">
        <f>IF($D2347="","",IFERROR(INDEX(Mapping!$H$3:$H$32,MATCH($B2347,Mapping!$G$3:$G$32,0)),IF(LEFT($F2347,3)="P2P",IFERROR(INDEX(Mapping!$E$3:$E$6,MATCH($G2347,Mapping!$D$3:$D$6,0)),IFERROR(INDEX(Mapping!$B$3:$B$13,MATCH($J2347,Mapping!$A$3:$A$13,0)),"(unmapped)")),IFERROR(INDEX(Mapping!$B$17:$B$22,MATCH($F2347,Mapping!$A$17:$A$22,0)),$F2347)&amp;" "&amp;IF($G2347="Banking","Banking",IFERROR(INDEX(Mapping!$E$17:$E$28,MATCH($J2347,Mapping!$D$17:$D$28,0)),"(unmapped)")))))</f>
        <v/>
      </c>
    </row>
    <row r="2348" spans="11:11" x14ac:dyDescent="0.3">
      <c r="K2348" t="str">
        <f>IF($D2348="","",IFERROR(INDEX(Mapping!$H$3:$H$32,MATCH($B2348,Mapping!$G$3:$G$32,0)),IF(LEFT($F2348,3)="P2P",IFERROR(INDEX(Mapping!$E$3:$E$6,MATCH($G2348,Mapping!$D$3:$D$6,0)),IFERROR(INDEX(Mapping!$B$3:$B$13,MATCH($J2348,Mapping!$A$3:$A$13,0)),"(unmapped)")),IFERROR(INDEX(Mapping!$B$17:$B$22,MATCH($F2348,Mapping!$A$17:$A$22,0)),$F2348)&amp;" "&amp;IF($G2348="Banking","Banking",IFERROR(INDEX(Mapping!$E$17:$E$28,MATCH($J2348,Mapping!$D$17:$D$28,0)),"(unmapped)")))))</f>
        <v/>
      </c>
    </row>
    <row r="2349" spans="11:11" x14ac:dyDescent="0.3">
      <c r="K2349" t="str">
        <f>IF($D2349="","",IFERROR(INDEX(Mapping!$H$3:$H$32,MATCH($B2349,Mapping!$G$3:$G$32,0)),IF(LEFT($F2349,3)="P2P",IFERROR(INDEX(Mapping!$E$3:$E$6,MATCH($G2349,Mapping!$D$3:$D$6,0)),IFERROR(INDEX(Mapping!$B$3:$B$13,MATCH($J2349,Mapping!$A$3:$A$13,0)),"(unmapped)")),IFERROR(INDEX(Mapping!$B$17:$B$22,MATCH($F2349,Mapping!$A$17:$A$22,0)),$F2349)&amp;" "&amp;IF($G2349="Banking","Banking",IFERROR(INDEX(Mapping!$E$17:$E$28,MATCH($J2349,Mapping!$D$17:$D$28,0)),"(unmapped)")))))</f>
        <v/>
      </c>
    </row>
    <row r="2350" spans="11:11" x14ac:dyDescent="0.3">
      <c r="K2350" t="str">
        <f>IF($D2350="","",IFERROR(INDEX(Mapping!$H$3:$H$32,MATCH($B2350,Mapping!$G$3:$G$32,0)),IF(LEFT($F2350,3)="P2P",IFERROR(INDEX(Mapping!$E$3:$E$6,MATCH($G2350,Mapping!$D$3:$D$6,0)),IFERROR(INDEX(Mapping!$B$3:$B$13,MATCH($J2350,Mapping!$A$3:$A$13,0)),"(unmapped)")),IFERROR(INDEX(Mapping!$B$17:$B$22,MATCH($F2350,Mapping!$A$17:$A$22,0)),$F2350)&amp;" "&amp;IF($G2350="Banking","Banking",IFERROR(INDEX(Mapping!$E$17:$E$28,MATCH($J2350,Mapping!$D$17:$D$28,0)),"(unmapped)")))))</f>
        <v/>
      </c>
    </row>
    <row r="2351" spans="11:11" x14ac:dyDescent="0.3">
      <c r="K2351" t="str">
        <f>IF($D2351="","",IFERROR(INDEX(Mapping!$H$3:$H$32,MATCH($B2351,Mapping!$G$3:$G$32,0)),IF(LEFT($F2351,3)="P2P",IFERROR(INDEX(Mapping!$E$3:$E$6,MATCH($G2351,Mapping!$D$3:$D$6,0)),IFERROR(INDEX(Mapping!$B$3:$B$13,MATCH($J2351,Mapping!$A$3:$A$13,0)),"(unmapped)")),IFERROR(INDEX(Mapping!$B$17:$B$22,MATCH($F2351,Mapping!$A$17:$A$22,0)),$F2351)&amp;" "&amp;IF($G2351="Banking","Banking",IFERROR(INDEX(Mapping!$E$17:$E$28,MATCH($J2351,Mapping!$D$17:$D$28,0)),"(unmapped)")))))</f>
        <v/>
      </c>
    </row>
    <row r="2352" spans="11:11" x14ac:dyDescent="0.3">
      <c r="K2352" t="str">
        <f>IF($D2352="","",IFERROR(INDEX(Mapping!$H$3:$H$32,MATCH($B2352,Mapping!$G$3:$G$32,0)),IF(LEFT($F2352,3)="P2P",IFERROR(INDEX(Mapping!$E$3:$E$6,MATCH($G2352,Mapping!$D$3:$D$6,0)),IFERROR(INDEX(Mapping!$B$3:$B$13,MATCH($J2352,Mapping!$A$3:$A$13,0)),"(unmapped)")),IFERROR(INDEX(Mapping!$B$17:$B$22,MATCH($F2352,Mapping!$A$17:$A$22,0)),$F2352)&amp;" "&amp;IF($G2352="Banking","Banking",IFERROR(INDEX(Mapping!$E$17:$E$28,MATCH($J2352,Mapping!$D$17:$D$28,0)),"(unmapped)")))))</f>
        <v/>
      </c>
    </row>
    <row r="2353" spans="11:11" x14ac:dyDescent="0.3">
      <c r="K2353" t="str">
        <f>IF($D2353="","",IFERROR(INDEX(Mapping!$H$3:$H$32,MATCH($B2353,Mapping!$G$3:$G$32,0)),IF(LEFT($F2353,3)="P2P",IFERROR(INDEX(Mapping!$E$3:$E$6,MATCH($G2353,Mapping!$D$3:$D$6,0)),IFERROR(INDEX(Mapping!$B$3:$B$13,MATCH($J2353,Mapping!$A$3:$A$13,0)),"(unmapped)")),IFERROR(INDEX(Mapping!$B$17:$B$22,MATCH($F2353,Mapping!$A$17:$A$22,0)),$F2353)&amp;" "&amp;IF($G2353="Banking","Banking",IFERROR(INDEX(Mapping!$E$17:$E$28,MATCH($J2353,Mapping!$D$17:$D$28,0)),"(unmapped)")))))</f>
        <v/>
      </c>
    </row>
    <row r="2354" spans="11:11" x14ac:dyDescent="0.3">
      <c r="K2354" t="str">
        <f>IF($D2354="","",IFERROR(INDEX(Mapping!$H$3:$H$32,MATCH($B2354,Mapping!$G$3:$G$32,0)),IF(LEFT($F2354,3)="P2P",IFERROR(INDEX(Mapping!$E$3:$E$6,MATCH($G2354,Mapping!$D$3:$D$6,0)),IFERROR(INDEX(Mapping!$B$3:$B$13,MATCH($J2354,Mapping!$A$3:$A$13,0)),"(unmapped)")),IFERROR(INDEX(Mapping!$B$17:$B$22,MATCH($F2354,Mapping!$A$17:$A$22,0)),$F2354)&amp;" "&amp;IF($G2354="Banking","Banking",IFERROR(INDEX(Mapping!$E$17:$E$28,MATCH($J2354,Mapping!$D$17:$D$28,0)),"(unmapped)")))))</f>
        <v/>
      </c>
    </row>
    <row r="2355" spans="11:11" x14ac:dyDescent="0.3">
      <c r="K2355" t="str">
        <f>IF($D2355="","",IFERROR(INDEX(Mapping!$H$3:$H$32,MATCH($B2355,Mapping!$G$3:$G$32,0)),IF(LEFT($F2355,3)="P2P",IFERROR(INDEX(Mapping!$E$3:$E$6,MATCH($G2355,Mapping!$D$3:$D$6,0)),IFERROR(INDEX(Mapping!$B$3:$B$13,MATCH($J2355,Mapping!$A$3:$A$13,0)),"(unmapped)")),IFERROR(INDEX(Mapping!$B$17:$B$22,MATCH($F2355,Mapping!$A$17:$A$22,0)),$F2355)&amp;" "&amp;IF($G2355="Banking","Banking",IFERROR(INDEX(Mapping!$E$17:$E$28,MATCH($J2355,Mapping!$D$17:$D$28,0)),"(unmapped)")))))</f>
        <v/>
      </c>
    </row>
    <row r="2356" spans="11:11" x14ac:dyDescent="0.3">
      <c r="K2356" t="str">
        <f>IF($D2356="","",IFERROR(INDEX(Mapping!$H$3:$H$32,MATCH($B2356,Mapping!$G$3:$G$32,0)),IF(LEFT($F2356,3)="P2P",IFERROR(INDEX(Mapping!$E$3:$E$6,MATCH($G2356,Mapping!$D$3:$D$6,0)),IFERROR(INDEX(Mapping!$B$3:$B$13,MATCH($J2356,Mapping!$A$3:$A$13,0)),"(unmapped)")),IFERROR(INDEX(Mapping!$B$17:$B$22,MATCH($F2356,Mapping!$A$17:$A$22,0)),$F2356)&amp;" "&amp;IF($G2356="Banking","Banking",IFERROR(INDEX(Mapping!$E$17:$E$28,MATCH($J2356,Mapping!$D$17:$D$28,0)),"(unmapped)")))))</f>
        <v/>
      </c>
    </row>
    <row r="2357" spans="11:11" x14ac:dyDescent="0.3">
      <c r="K2357" t="str">
        <f>IF($D2357="","",IFERROR(INDEX(Mapping!$H$3:$H$32,MATCH($B2357,Mapping!$G$3:$G$32,0)),IF(LEFT($F2357,3)="P2P",IFERROR(INDEX(Mapping!$E$3:$E$6,MATCH($G2357,Mapping!$D$3:$D$6,0)),IFERROR(INDEX(Mapping!$B$3:$B$13,MATCH($J2357,Mapping!$A$3:$A$13,0)),"(unmapped)")),IFERROR(INDEX(Mapping!$B$17:$B$22,MATCH($F2357,Mapping!$A$17:$A$22,0)),$F2357)&amp;" "&amp;IF($G2357="Banking","Banking",IFERROR(INDEX(Mapping!$E$17:$E$28,MATCH($J2357,Mapping!$D$17:$D$28,0)),"(unmapped)")))))</f>
        <v/>
      </c>
    </row>
    <row r="2358" spans="11:11" x14ac:dyDescent="0.3">
      <c r="K2358" t="str">
        <f>IF($D2358="","",IFERROR(INDEX(Mapping!$H$3:$H$32,MATCH($B2358,Mapping!$G$3:$G$32,0)),IF(LEFT($F2358,3)="P2P",IFERROR(INDEX(Mapping!$E$3:$E$6,MATCH($G2358,Mapping!$D$3:$D$6,0)),IFERROR(INDEX(Mapping!$B$3:$B$13,MATCH($J2358,Mapping!$A$3:$A$13,0)),"(unmapped)")),IFERROR(INDEX(Mapping!$B$17:$B$22,MATCH($F2358,Mapping!$A$17:$A$22,0)),$F2358)&amp;" "&amp;IF($G2358="Banking","Banking",IFERROR(INDEX(Mapping!$E$17:$E$28,MATCH($J2358,Mapping!$D$17:$D$28,0)),"(unmapped)")))))</f>
        <v/>
      </c>
    </row>
    <row r="2359" spans="11:11" x14ac:dyDescent="0.3">
      <c r="K2359" t="str">
        <f>IF($D2359="","",IFERROR(INDEX(Mapping!$H$3:$H$32,MATCH($B2359,Mapping!$G$3:$G$32,0)),IF(LEFT($F2359,3)="P2P",IFERROR(INDEX(Mapping!$E$3:$E$6,MATCH($G2359,Mapping!$D$3:$D$6,0)),IFERROR(INDEX(Mapping!$B$3:$B$13,MATCH($J2359,Mapping!$A$3:$A$13,0)),"(unmapped)")),IFERROR(INDEX(Mapping!$B$17:$B$22,MATCH($F2359,Mapping!$A$17:$A$22,0)),$F2359)&amp;" "&amp;IF($G2359="Banking","Banking",IFERROR(INDEX(Mapping!$E$17:$E$28,MATCH($J2359,Mapping!$D$17:$D$28,0)),"(unmapped)")))))</f>
        <v/>
      </c>
    </row>
    <row r="2360" spans="11:11" x14ac:dyDescent="0.3">
      <c r="K2360" t="str">
        <f>IF($D2360="","",IFERROR(INDEX(Mapping!$H$3:$H$32,MATCH($B2360,Mapping!$G$3:$G$32,0)),IF(LEFT($F2360,3)="P2P",IFERROR(INDEX(Mapping!$E$3:$E$6,MATCH($G2360,Mapping!$D$3:$D$6,0)),IFERROR(INDEX(Mapping!$B$3:$B$13,MATCH($J2360,Mapping!$A$3:$A$13,0)),"(unmapped)")),IFERROR(INDEX(Mapping!$B$17:$B$22,MATCH($F2360,Mapping!$A$17:$A$22,0)),$F2360)&amp;" "&amp;IF($G2360="Banking","Banking",IFERROR(INDEX(Mapping!$E$17:$E$28,MATCH($J2360,Mapping!$D$17:$D$28,0)),"(unmapped)")))))</f>
        <v/>
      </c>
    </row>
    <row r="2361" spans="11:11" x14ac:dyDescent="0.3">
      <c r="K2361" t="str">
        <f>IF($D2361="","",IFERROR(INDEX(Mapping!$H$3:$H$32,MATCH($B2361,Mapping!$G$3:$G$32,0)),IF(LEFT($F2361,3)="P2P",IFERROR(INDEX(Mapping!$E$3:$E$6,MATCH($G2361,Mapping!$D$3:$D$6,0)),IFERROR(INDEX(Mapping!$B$3:$B$13,MATCH($J2361,Mapping!$A$3:$A$13,0)),"(unmapped)")),IFERROR(INDEX(Mapping!$B$17:$B$22,MATCH($F2361,Mapping!$A$17:$A$22,0)),$F2361)&amp;" "&amp;IF($G2361="Banking","Banking",IFERROR(INDEX(Mapping!$E$17:$E$28,MATCH($J2361,Mapping!$D$17:$D$28,0)),"(unmapped)")))))</f>
        <v/>
      </c>
    </row>
    <row r="2362" spans="11:11" x14ac:dyDescent="0.3">
      <c r="K2362" t="str">
        <f>IF($D2362="","",IFERROR(INDEX(Mapping!$H$3:$H$32,MATCH($B2362,Mapping!$G$3:$G$32,0)),IF(LEFT($F2362,3)="P2P",IFERROR(INDEX(Mapping!$E$3:$E$6,MATCH($G2362,Mapping!$D$3:$D$6,0)),IFERROR(INDEX(Mapping!$B$3:$B$13,MATCH($J2362,Mapping!$A$3:$A$13,0)),"(unmapped)")),IFERROR(INDEX(Mapping!$B$17:$B$22,MATCH($F2362,Mapping!$A$17:$A$22,0)),$F2362)&amp;" "&amp;IF($G2362="Banking","Banking",IFERROR(INDEX(Mapping!$E$17:$E$28,MATCH($J2362,Mapping!$D$17:$D$28,0)),"(unmapped)")))))</f>
        <v/>
      </c>
    </row>
    <row r="2363" spans="11:11" x14ac:dyDescent="0.3">
      <c r="K2363" t="str">
        <f>IF($D2363="","",IFERROR(INDEX(Mapping!$H$3:$H$32,MATCH($B2363,Mapping!$G$3:$G$32,0)),IF(LEFT($F2363,3)="P2P",IFERROR(INDEX(Mapping!$E$3:$E$6,MATCH($G2363,Mapping!$D$3:$D$6,0)),IFERROR(INDEX(Mapping!$B$3:$B$13,MATCH($J2363,Mapping!$A$3:$A$13,0)),"(unmapped)")),IFERROR(INDEX(Mapping!$B$17:$B$22,MATCH($F2363,Mapping!$A$17:$A$22,0)),$F2363)&amp;" "&amp;IF($G2363="Banking","Banking",IFERROR(INDEX(Mapping!$E$17:$E$28,MATCH($J2363,Mapping!$D$17:$D$28,0)),"(unmapped)")))))</f>
        <v/>
      </c>
    </row>
    <row r="2364" spans="11:11" x14ac:dyDescent="0.3">
      <c r="K2364" t="str">
        <f>IF($D2364="","",IFERROR(INDEX(Mapping!$H$3:$H$32,MATCH($B2364,Mapping!$G$3:$G$32,0)),IF(LEFT($F2364,3)="P2P",IFERROR(INDEX(Mapping!$E$3:$E$6,MATCH($G2364,Mapping!$D$3:$D$6,0)),IFERROR(INDEX(Mapping!$B$3:$B$13,MATCH($J2364,Mapping!$A$3:$A$13,0)),"(unmapped)")),IFERROR(INDEX(Mapping!$B$17:$B$22,MATCH($F2364,Mapping!$A$17:$A$22,0)),$F2364)&amp;" "&amp;IF($G2364="Banking","Banking",IFERROR(INDEX(Mapping!$E$17:$E$28,MATCH($J2364,Mapping!$D$17:$D$28,0)),"(unmapped)")))))</f>
        <v/>
      </c>
    </row>
    <row r="2365" spans="11:11" x14ac:dyDescent="0.3">
      <c r="K2365" t="str">
        <f>IF($D2365="","",IFERROR(INDEX(Mapping!$H$3:$H$32,MATCH($B2365,Mapping!$G$3:$G$32,0)),IF(LEFT($F2365,3)="P2P",IFERROR(INDEX(Mapping!$E$3:$E$6,MATCH($G2365,Mapping!$D$3:$D$6,0)),IFERROR(INDEX(Mapping!$B$3:$B$13,MATCH($J2365,Mapping!$A$3:$A$13,0)),"(unmapped)")),IFERROR(INDEX(Mapping!$B$17:$B$22,MATCH($F2365,Mapping!$A$17:$A$22,0)),$F2365)&amp;" "&amp;IF($G2365="Banking","Banking",IFERROR(INDEX(Mapping!$E$17:$E$28,MATCH($J2365,Mapping!$D$17:$D$28,0)),"(unmapped)")))))</f>
        <v/>
      </c>
    </row>
    <row r="2366" spans="11:11" x14ac:dyDescent="0.3">
      <c r="K2366" t="str">
        <f>IF($D2366="","",IFERROR(INDEX(Mapping!$H$3:$H$32,MATCH($B2366,Mapping!$G$3:$G$32,0)),IF(LEFT($F2366,3)="P2P",IFERROR(INDEX(Mapping!$E$3:$E$6,MATCH($G2366,Mapping!$D$3:$D$6,0)),IFERROR(INDEX(Mapping!$B$3:$B$13,MATCH($J2366,Mapping!$A$3:$A$13,0)),"(unmapped)")),IFERROR(INDEX(Mapping!$B$17:$B$22,MATCH($F2366,Mapping!$A$17:$A$22,0)),$F2366)&amp;" "&amp;IF($G2366="Banking","Banking",IFERROR(INDEX(Mapping!$E$17:$E$28,MATCH($J2366,Mapping!$D$17:$D$28,0)),"(unmapped)")))))</f>
        <v/>
      </c>
    </row>
    <row r="2367" spans="11:11" x14ac:dyDescent="0.3">
      <c r="K2367" t="str">
        <f>IF($D2367="","",IFERROR(INDEX(Mapping!$H$3:$H$32,MATCH($B2367,Mapping!$G$3:$G$32,0)),IF(LEFT($F2367,3)="P2P",IFERROR(INDEX(Mapping!$E$3:$E$6,MATCH($G2367,Mapping!$D$3:$D$6,0)),IFERROR(INDEX(Mapping!$B$3:$B$13,MATCH($J2367,Mapping!$A$3:$A$13,0)),"(unmapped)")),IFERROR(INDEX(Mapping!$B$17:$B$22,MATCH($F2367,Mapping!$A$17:$A$22,0)),$F2367)&amp;" "&amp;IF($G2367="Banking","Banking",IFERROR(INDEX(Mapping!$E$17:$E$28,MATCH($J2367,Mapping!$D$17:$D$28,0)),"(unmapped)")))))</f>
        <v/>
      </c>
    </row>
    <row r="2368" spans="11:11" x14ac:dyDescent="0.3">
      <c r="K2368" t="str">
        <f>IF($D2368="","",IFERROR(INDEX(Mapping!$H$3:$H$32,MATCH($B2368,Mapping!$G$3:$G$32,0)),IF(LEFT($F2368,3)="P2P",IFERROR(INDEX(Mapping!$E$3:$E$6,MATCH($G2368,Mapping!$D$3:$D$6,0)),IFERROR(INDEX(Mapping!$B$3:$B$13,MATCH($J2368,Mapping!$A$3:$A$13,0)),"(unmapped)")),IFERROR(INDEX(Mapping!$B$17:$B$22,MATCH($F2368,Mapping!$A$17:$A$22,0)),$F2368)&amp;" "&amp;IF($G2368="Banking","Banking",IFERROR(INDEX(Mapping!$E$17:$E$28,MATCH($J2368,Mapping!$D$17:$D$28,0)),"(unmapped)")))))</f>
        <v/>
      </c>
    </row>
    <row r="2369" spans="11:11" x14ac:dyDescent="0.3">
      <c r="K2369" t="str">
        <f>IF($D2369="","",IFERROR(INDEX(Mapping!$H$3:$H$32,MATCH($B2369,Mapping!$G$3:$G$32,0)),IF(LEFT($F2369,3)="P2P",IFERROR(INDEX(Mapping!$E$3:$E$6,MATCH($G2369,Mapping!$D$3:$D$6,0)),IFERROR(INDEX(Mapping!$B$3:$B$13,MATCH($J2369,Mapping!$A$3:$A$13,0)),"(unmapped)")),IFERROR(INDEX(Mapping!$B$17:$B$22,MATCH($F2369,Mapping!$A$17:$A$22,0)),$F2369)&amp;" "&amp;IF($G2369="Banking","Banking",IFERROR(INDEX(Mapping!$E$17:$E$28,MATCH($J2369,Mapping!$D$17:$D$28,0)),"(unmapped)")))))</f>
        <v/>
      </c>
    </row>
    <row r="2370" spans="11:11" x14ac:dyDescent="0.3">
      <c r="K2370" t="str">
        <f>IF($D2370="","",IFERROR(INDEX(Mapping!$H$3:$H$32,MATCH($B2370,Mapping!$G$3:$G$32,0)),IF(LEFT($F2370,3)="P2P",IFERROR(INDEX(Mapping!$E$3:$E$6,MATCH($G2370,Mapping!$D$3:$D$6,0)),IFERROR(INDEX(Mapping!$B$3:$B$13,MATCH($J2370,Mapping!$A$3:$A$13,0)),"(unmapped)")),IFERROR(INDEX(Mapping!$B$17:$B$22,MATCH($F2370,Mapping!$A$17:$A$22,0)),$F2370)&amp;" "&amp;IF($G2370="Banking","Banking",IFERROR(INDEX(Mapping!$E$17:$E$28,MATCH($J2370,Mapping!$D$17:$D$28,0)),"(unmapped)")))))</f>
        <v/>
      </c>
    </row>
    <row r="2371" spans="11:11" x14ac:dyDescent="0.3">
      <c r="K2371" t="str">
        <f>IF($D2371="","",IFERROR(INDEX(Mapping!$H$3:$H$32,MATCH($B2371,Mapping!$G$3:$G$32,0)),IF(LEFT($F2371,3)="P2P",IFERROR(INDEX(Mapping!$E$3:$E$6,MATCH($G2371,Mapping!$D$3:$D$6,0)),IFERROR(INDEX(Mapping!$B$3:$B$13,MATCH($J2371,Mapping!$A$3:$A$13,0)),"(unmapped)")),IFERROR(INDEX(Mapping!$B$17:$B$22,MATCH($F2371,Mapping!$A$17:$A$22,0)),$F2371)&amp;" "&amp;IF($G2371="Banking","Banking",IFERROR(INDEX(Mapping!$E$17:$E$28,MATCH($J2371,Mapping!$D$17:$D$28,0)),"(unmapped)")))))</f>
        <v/>
      </c>
    </row>
    <row r="2372" spans="11:11" x14ac:dyDescent="0.3">
      <c r="K2372" t="str">
        <f>IF($D2372="","",IFERROR(INDEX(Mapping!$H$3:$H$32,MATCH($B2372,Mapping!$G$3:$G$32,0)),IF(LEFT($F2372,3)="P2P",IFERROR(INDEX(Mapping!$E$3:$E$6,MATCH($G2372,Mapping!$D$3:$D$6,0)),IFERROR(INDEX(Mapping!$B$3:$B$13,MATCH($J2372,Mapping!$A$3:$A$13,0)),"(unmapped)")),IFERROR(INDEX(Mapping!$B$17:$B$22,MATCH($F2372,Mapping!$A$17:$A$22,0)),$F2372)&amp;" "&amp;IF($G2372="Banking","Banking",IFERROR(INDEX(Mapping!$E$17:$E$28,MATCH($J2372,Mapping!$D$17:$D$28,0)),"(unmapped)")))))</f>
        <v/>
      </c>
    </row>
    <row r="2373" spans="11:11" x14ac:dyDescent="0.3">
      <c r="K2373" t="str">
        <f>IF($D2373="","",IFERROR(INDEX(Mapping!$H$3:$H$32,MATCH($B2373,Mapping!$G$3:$G$32,0)),IF(LEFT($F2373,3)="P2P",IFERROR(INDEX(Mapping!$E$3:$E$6,MATCH($G2373,Mapping!$D$3:$D$6,0)),IFERROR(INDEX(Mapping!$B$3:$B$13,MATCH($J2373,Mapping!$A$3:$A$13,0)),"(unmapped)")),IFERROR(INDEX(Mapping!$B$17:$B$22,MATCH($F2373,Mapping!$A$17:$A$22,0)),$F2373)&amp;" "&amp;IF($G2373="Banking","Banking",IFERROR(INDEX(Mapping!$E$17:$E$28,MATCH($J2373,Mapping!$D$17:$D$28,0)),"(unmapped)")))))</f>
        <v/>
      </c>
    </row>
    <row r="2374" spans="11:11" x14ac:dyDescent="0.3">
      <c r="K2374" t="str">
        <f>IF($D2374="","",IFERROR(INDEX(Mapping!$H$3:$H$32,MATCH($B2374,Mapping!$G$3:$G$32,0)),IF(LEFT($F2374,3)="P2P",IFERROR(INDEX(Mapping!$E$3:$E$6,MATCH($G2374,Mapping!$D$3:$D$6,0)),IFERROR(INDEX(Mapping!$B$3:$B$13,MATCH($J2374,Mapping!$A$3:$A$13,0)),"(unmapped)")),IFERROR(INDEX(Mapping!$B$17:$B$22,MATCH($F2374,Mapping!$A$17:$A$22,0)),$F2374)&amp;" "&amp;IF($G2374="Banking","Banking",IFERROR(INDEX(Mapping!$E$17:$E$28,MATCH($J2374,Mapping!$D$17:$D$28,0)),"(unmapped)")))))</f>
        <v/>
      </c>
    </row>
    <row r="2375" spans="11:11" x14ac:dyDescent="0.3">
      <c r="K2375" t="str">
        <f>IF($D2375="","",IFERROR(INDEX(Mapping!$H$3:$H$32,MATCH($B2375,Mapping!$G$3:$G$32,0)),IF(LEFT($F2375,3)="P2P",IFERROR(INDEX(Mapping!$E$3:$E$6,MATCH($G2375,Mapping!$D$3:$D$6,0)),IFERROR(INDEX(Mapping!$B$3:$B$13,MATCH($J2375,Mapping!$A$3:$A$13,0)),"(unmapped)")),IFERROR(INDEX(Mapping!$B$17:$B$22,MATCH($F2375,Mapping!$A$17:$A$22,0)),$F2375)&amp;" "&amp;IF($G2375="Banking","Banking",IFERROR(INDEX(Mapping!$E$17:$E$28,MATCH($J2375,Mapping!$D$17:$D$28,0)),"(unmapped)")))))</f>
        <v/>
      </c>
    </row>
    <row r="2376" spans="11:11" x14ac:dyDescent="0.3">
      <c r="K2376" t="str">
        <f>IF($D2376="","",IFERROR(INDEX(Mapping!$H$3:$H$32,MATCH($B2376,Mapping!$G$3:$G$32,0)),IF(LEFT($F2376,3)="P2P",IFERROR(INDEX(Mapping!$E$3:$E$6,MATCH($G2376,Mapping!$D$3:$D$6,0)),IFERROR(INDEX(Mapping!$B$3:$B$13,MATCH($J2376,Mapping!$A$3:$A$13,0)),"(unmapped)")),IFERROR(INDEX(Mapping!$B$17:$B$22,MATCH($F2376,Mapping!$A$17:$A$22,0)),$F2376)&amp;" "&amp;IF($G2376="Banking","Banking",IFERROR(INDEX(Mapping!$E$17:$E$28,MATCH($J2376,Mapping!$D$17:$D$28,0)),"(unmapped)")))))</f>
        <v/>
      </c>
    </row>
    <row r="2377" spans="11:11" x14ac:dyDescent="0.3">
      <c r="K2377" t="str">
        <f>IF($D2377="","",IFERROR(INDEX(Mapping!$H$3:$H$32,MATCH($B2377,Mapping!$G$3:$G$32,0)),IF(LEFT($F2377,3)="P2P",IFERROR(INDEX(Mapping!$E$3:$E$6,MATCH($G2377,Mapping!$D$3:$D$6,0)),IFERROR(INDEX(Mapping!$B$3:$B$13,MATCH($J2377,Mapping!$A$3:$A$13,0)),"(unmapped)")),IFERROR(INDEX(Mapping!$B$17:$B$22,MATCH($F2377,Mapping!$A$17:$A$22,0)),$F2377)&amp;" "&amp;IF($G2377="Banking","Banking",IFERROR(INDEX(Mapping!$E$17:$E$28,MATCH($J2377,Mapping!$D$17:$D$28,0)),"(unmapped)")))))</f>
        <v/>
      </c>
    </row>
    <row r="2378" spans="11:11" x14ac:dyDescent="0.3">
      <c r="K2378" t="str">
        <f>IF($D2378="","",IFERROR(INDEX(Mapping!$H$3:$H$32,MATCH($B2378,Mapping!$G$3:$G$32,0)),IF(LEFT($F2378,3)="P2P",IFERROR(INDEX(Mapping!$E$3:$E$6,MATCH($G2378,Mapping!$D$3:$D$6,0)),IFERROR(INDEX(Mapping!$B$3:$B$13,MATCH($J2378,Mapping!$A$3:$A$13,0)),"(unmapped)")),IFERROR(INDEX(Mapping!$B$17:$B$22,MATCH($F2378,Mapping!$A$17:$A$22,0)),$F2378)&amp;" "&amp;IF($G2378="Banking","Banking",IFERROR(INDEX(Mapping!$E$17:$E$28,MATCH($J2378,Mapping!$D$17:$D$28,0)),"(unmapped)")))))</f>
        <v/>
      </c>
    </row>
    <row r="2379" spans="11:11" x14ac:dyDescent="0.3">
      <c r="K2379" t="str">
        <f>IF($D2379="","",IFERROR(INDEX(Mapping!$H$3:$H$32,MATCH($B2379,Mapping!$G$3:$G$32,0)),IF(LEFT($F2379,3)="P2P",IFERROR(INDEX(Mapping!$E$3:$E$6,MATCH($G2379,Mapping!$D$3:$D$6,0)),IFERROR(INDEX(Mapping!$B$3:$B$13,MATCH($J2379,Mapping!$A$3:$A$13,0)),"(unmapped)")),IFERROR(INDEX(Mapping!$B$17:$B$22,MATCH($F2379,Mapping!$A$17:$A$22,0)),$F2379)&amp;" "&amp;IF($G2379="Banking","Banking",IFERROR(INDEX(Mapping!$E$17:$E$28,MATCH($J2379,Mapping!$D$17:$D$28,0)),"(unmapped)")))))</f>
        <v/>
      </c>
    </row>
    <row r="2380" spans="11:11" x14ac:dyDescent="0.3">
      <c r="K2380" t="str">
        <f>IF($D2380="","",IFERROR(INDEX(Mapping!$H$3:$H$32,MATCH($B2380,Mapping!$G$3:$G$32,0)),IF(LEFT($F2380,3)="P2P",IFERROR(INDEX(Mapping!$E$3:$E$6,MATCH($G2380,Mapping!$D$3:$D$6,0)),IFERROR(INDEX(Mapping!$B$3:$B$13,MATCH($J2380,Mapping!$A$3:$A$13,0)),"(unmapped)")),IFERROR(INDEX(Mapping!$B$17:$B$22,MATCH($F2380,Mapping!$A$17:$A$22,0)),$F2380)&amp;" "&amp;IF($G2380="Banking","Banking",IFERROR(INDEX(Mapping!$E$17:$E$28,MATCH($J2380,Mapping!$D$17:$D$28,0)),"(unmapped)")))))</f>
        <v/>
      </c>
    </row>
    <row r="2381" spans="11:11" x14ac:dyDescent="0.3">
      <c r="K2381" t="str">
        <f>IF($D2381="","",IFERROR(INDEX(Mapping!$H$3:$H$32,MATCH($B2381,Mapping!$G$3:$G$32,0)),IF(LEFT($F2381,3)="P2P",IFERROR(INDEX(Mapping!$E$3:$E$6,MATCH($G2381,Mapping!$D$3:$D$6,0)),IFERROR(INDEX(Mapping!$B$3:$B$13,MATCH($J2381,Mapping!$A$3:$A$13,0)),"(unmapped)")),IFERROR(INDEX(Mapping!$B$17:$B$22,MATCH($F2381,Mapping!$A$17:$A$22,0)),$F2381)&amp;" "&amp;IF($G2381="Banking","Banking",IFERROR(INDEX(Mapping!$E$17:$E$28,MATCH($J2381,Mapping!$D$17:$D$28,0)),"(unmapped)")))))</f>
        <v/>
      </c>
    </row>
    <row r="2382" spans="11:11" x14ac:dyDescent="0.3">
      <c r="K2382" t="str">
        <f>IF($D2382="","",IFERROR(INDEX(Mapping!$H$3:$H$32,MATCH($B2382,Mapping!$G$3:$G$32,0)),IF(LEFT($F2382,3)="P2P",IFERROR(INDEX(Mapping!$E$3:$E$6,MATCH($G2382,Mapping!$D$3:$D$6,0)),IFERROR(INDEX(Mapping!$B$3:$B$13,MATCH($J2382,Mapping!$A$3:$A$13,0)),"(unmapped)")),IFERROR(INDEX(Mapping!$B$17:$B$22,MATCH($F2382,Mapping!$A$17:$A$22,0)),$F2382)&amp;" "&amp;IF($G2382="Banking","Banking",IFERROR(INDEX(Mapping!$E$17:$E$28,MATCH($J2382,Mapping!$D$17:$D$28,0)),"(unmapped)")))))</f>
        <v/>
      </c>
    </row>
    <row r="2383" spans="11:11" x14ac:dyDescent="0.3">
      <c r="K2383" t="str">
        <f>IF($D2383="","",IFERROR(INDEX(Mapping!$H$3:$H$32,MATCH($B2383,Mapping!$G$3:$G$32,0)),IF(LEFT($F2383,3)="P2P",IFERROR(INDEX(Mapping!$E$3:$E$6,MATCH($G2383,Mapping!$D$3:$D$6,0)),IFERROR(INDEX(Mapping!$B$3:$B$13,MATCH($J2383,Mapping!$A$3:$A$13,0)),"(unmapped)")),IFERROR(INDEX(Mapping!$B$17:$B$22,MATCH($F2383,Mapping!$A$17:$A$22,0)),$F2383)&amp;" "&amp;IF($G2383="Banking","Banking",IFERROR(INDEX(Mapping!$E$17:$E$28,MATCH($J2383,Mapping!$D$17:$D$28,0)),"(unmapped)")))))</f>
        <v/>
      </c>
    </row>
    <row r="2384" spans="11:11" x14ac:dyDescent="0.3">
      <c r="K2384" t="str">
        <f>IF($D2384="","",IFERROR(INDEX(Mapping!$H$3:$H$32,MATCH($B2384,Mapping!$G$3:$G$32,0)),IF(LEFT($F2384,3)="P2P",IFERROR(INDEX(Mapping!$E$3:$E$6,MATCH($G2384,Mapping!$D$3:$D$6,0)),IFERROR(INDEX(Mapping!$B$3:$B$13,MATCH($J2384,Mapping!$A$3:$A$13,0)),"(unmapped)")),IFERROR(INDEX(Mapping!$B$17:$B$22,MATCH($F2384,Mapping!$A$17:$A$22,0)),$F2384)&amp;" "&amp;IF($G2384="Banking","Banking",IFERROR(INDEX(Mapping!$E$17:$E$28,MATCH($J2384,Mapping!$D$17:$D$28,0)),"(unmapped)")))))</f>
        <v/>
      </c>
    </row>
    <row r="2385" spans="11:11" x14ac:dyDescent="0.3">
      <c r="K2385" t="str">
        <f>IF($D2385="","",IFERROR(INDEX(Mapping!$H$3:$H$32,MATCH($B2385,Mapping!$G$3:$G$32,0)),IF(LEFT($F2385,3)="P2P",IFERROR(INDEX(Mapping!$E$3:$E$6,MATCH($G2385,Mapping!$D$3:$D$6,0)),IFERROR(INDEX(Mapping!$B$3:$B$13,MATCH($J2385,Mapping!$A$3:$A$13,0)),"(unmapped)")),IFERROR(INDEX(Mapping!$B$17:$B$22,MATCH($F2385,Mapping!$A$17:$A$22,0)),$F2385)&amp;" "&amp;IF($G2385="Banking","Banking",IFERROR(INDEX(Mapping!$E$17:$E$28,MATCH($J2385,Mapping!$D$17:$D$28,0)),"(unmapped)")))))</f>
        <v/>
      </c>
    </row>
    <row r="2386" spans="11:11" x14ac:dyDescent="0.3">
      <c r="K2386" t="str">
        <f>IF($D2386="","",IFERROR(INDEX(Mapping!$H$3:$H$32,MATCH($B2386,Mapping!$G$3:$G$32,0)),IF(LEFT($F2386,3)="P2P",IFERROR(INDEX(Mapping!$E$3:$E$6,MATCH($G2386,Mapping!$D$3:$D$6,0)),IFERROR(INDEX(Mapping!$B$3:$B$13,MATCH($J2386,Mapping!$A$3:$A$13,0)),"(unmapped)")),IFERROR(INDEX(Mapping!$B$17:$B$22,MATCH($F2386,Mapping!$A$17:$A$22,0)),$F2386)&amp;" "&amp;IF($G2386="Banking","Banking",IFERROR(INDEX(Mapping!$E$17:$E$28,MATCH($J2386,Mapping!$D$17:$D$28,0)),"(unmapped)")))))</f>
        <v/>
      </c>
    </row>
    <row r="2387" spans="11:11" x14ac:dyDescent="0.3">
      <c r="K2387" t="str">
        <f>IF($D2387="","",IFERROR(INDEX(Mapping!$H$3:$H$32,MATCH($B2387,Mapping!$G$3:$G$32,0)),IF(LEFT($F2387,3)="P2P",IFERROR(INDEX(Mapping!$E$3:$E$6,MATCH($G2387,Mapping!$D$3:$D$6,0)),IFERROR(INDEX(Mapping!$B$3:$B$13,MATCH($J2387,Mapping!$A$3:$A$13,0)),"(unmapped)")),IFERROR(INDEX(Mapping!$B$17:$B$22,MATCH($F2387,Mapping!$A$17:$A$22,0)),$F2387)&amp;" "&amp;IF($G2387="Banking","Banking",IFERROR(INDEX(Mapping!$E$17:$E$28,MATCH($J2387,Mapping!$D$17:$D$28,0)),"(unmapped)")))))</f>
        <v/>
      </c>
    </row>
    <row r="2388" spans="11:11" x14ac:dyDescent="0.3">
      <c r="K2388" t="str">
        <f>IF($D2388="","",IFERROR(INDEX(Mapping!$H$3:$H$32,MATCH($B2388,Mapping!$G$3:$G$32,0)),IF(LEFT($F2388,3)="P2P",IFERROR(INDEX(Mapping!$E$3:$E$6,MATCH($G2388,Mapping!$D$3:$D$6,0)),IFERROR(INDEX(Mapping!$B$3:$B$13,MATCH($J2388,Mapping!$A$3:$A$13,0)),"(unmapped)")),IFERROR(INDEX(Mapping!$B$17:$B$22,MATCH($F2388,Mapping!$A$17:$A$22,0)),$F2388)&amp;" "&amp;IF($G2388="Banking","Banking",IFERROR(INDEX(Mapping!$E$17:$E$28,MATCH($J2388,Mapping!$D$17:$D$28,0)),"(unmapped)")))))</f>
        <v/>
      </c>
    </row>
    <row r="2389" spans="11:11" x14ac:dyDescent="0.3">
      <c r="K2389" t="str">
        <f>IF($D2389="","",IFERROR(INDEX(Mapping!$H$3:$H$32,MATCH($B2389,Mapping!$G$3:$G$32,0)),IF(LEFT($F2389,3)="P2P",IFERROR(INDEX(Mapping!$E$3:$E$6,MATCH($G2389,Mapping!$D$3:$D$6,0)),IFERROR(INDEX(Mapping!$B$3:$B$13,MATCH($J2389,Mapping!$A$3:$A$13,0)),"(unmapped)")),IFERROR(INDEX(Mapping!$B$17:$B$22,MATCH($F2389,Mapping!$A$17:$A$22,0)),$F2389)&amp;" "&amp;IF($G2389="Banking","Banking",IFERROR(INDEX(Mapping!$E$17:$E$28,MATCH($J2389,Mapping!$D$17:$D$28,0)),"(unmapped)")))))</f>
        <v/>
      </c>
    </row>
    <row r="2390" spans="11:11" x14ac:dyDescent="0.3">
      <c r="K2390" t="str">
        <f>IF($D2390="","",IFERROR(INDEX(Mapping!$H$3:$H$32,MATCH($B2390,Mapping!$G$3:$G$32,0)),IF(LEFT($F2390,3)="P2P",IFERROR(INDEX(Mapping!$E$3:$E$6,MATCH($G2390,Mapping!$D$3:$D$6,0)),IFERROR(INDEX(Mapping!$B$3:$B$13,MATCH($J2390,Mapping!$A$3:$A$13,0)),"(unmapped)")),IFERROR(INDEX(Mapping!$B$17:$B$22,MATCH($F2390,Mapping!$A$17:$A$22,0)),$F2390)&amp;" "&amp;IF($G2390="Banking","Banking",IFERROR(INDEX(Mapping!$E$17:$E$28,MATCH($J2390,Mapping!$D$17:$D$28,0)),"(unmapped)")))))</f>
        <v/>
      </c>
    </row>
    <row r="2391" spans="11:11" x14ac:dyDescent="0.3">
      <c r="K2391" t="str">
        <f>IF($D2391="","",IFERROR(INDEX(Mapping!$H$3:$H$32,MATCH($B2391,Mapping!$G$3:$G$32,0)),IF(LEFT($F2391,3)="P2P",IFERROR(INDEX(Mapping!$E$3:$E$6,MATCH($G2391,Mapping!$D$3:$D$6,0)),IFERROR(INDEX(Mapping!$B$3:$B$13,MATCH($J2391,Mapping!$A$3:$A$13,0)),"(unmapped)")),IFERROR(INDEX(Mapping!$B$17:$B$22,MATCH($F2391,Mapping!$A$17:$A$22,0)),$F2391)&amp;" "&amp;IF($G2391="Banking","Banking",IFERROR(INDEX(Mapping!$E$17:$E$28,MATCH($J2391,Mapping!$D$17:$D$28,0)),"(unmapped)")))))</f>
        <v/>
      </c>
    </row>
    <row r="2392" spans="11:11" x14ac:dyDescent="0.3">
      <c r="K2392" t="str">
        <f>IF($D2392="","",IFERROR(INDEX(Mapping!$H$3:$H$32,MATCH($B2392,Mapping!$G$3:$G$32,0)),IF(LEFT($F2392,3)="P2P",IFERROR(INDEX(Mapping!$E$3:$E$6,MATCH($G2392,Mapping!$D$3:$D$6,0)),IFERROR(INDEX(Mapping!$B$3:$B$13,MATCH($J2392,Mapping!$A$3:$A$13,0)),"(unmapped)")),IFERROR(INDEX(Mapping!$B$17:$B$22,MATCH($F2392,Mapping!$A$17:$A$22,0)),$F2392)&amp;" "&amp;IF($G2392="Banking","Banking",IFERROR(INDEX(Mapping!$E$17:$E$28,MATCH($J2392,Mapping!$D$17:$D$28,0)),"(unmapped)")))))</f>
        <v/>
      </c>
    </row>
    <row r="2393" spans="11:11" x14ac:dyDescent="0.3">
      <c r="K2393" t="str">
        <f>IF($D2393="","",IFERROR(INDEX(Mapping!$H$3:$H$32,MATCH($B2393,Mapping!$G$3:$G$32,0)),IF(LEFT($F2393,3)="P2P",IFERROR(INDEX(Mapping!$E$3:$E$6,MATCH($G2393,Mapping!$D$3:$D$6,0)),IFERROR(INDEX(Mapping!$B$3:$B$13,MATCH($J2393,Mapping!$A$3:$A$13,0)),"(unmapped)")),IFERROR(INDEX(Mapping!$B$17:$B$22,MATCH($F2393,Mapping!$A$17:$A$22,0)),$F2393)&amp;" "&amp;IF($G2393="Banking","Banking",IFERROR(INDEX(Mapping!$E$17:$E$28,MATCH($J2393,Mapping!$D$17:$D$28,0)),"(unmapped)")))))</f>
        <v/>
      </c>
    </row>
    <row r="2394" spans="11:11" x14ac:dyDescent="0.3">
      <c r="K2394" t="str">
        <f>IF($D2394="","",IFERROR(INDEX(Mapping!$H$3:$H$32,MATCH($B2394,Mapping!$G$3:$G$32,0)),IF(LEFT($F2394,3)="P2P",IFERROR(INDEX(Mapping!$E$3:$E$6,MATCH($G2394,Mapping!$D$3:$D$6,0)),IFERROR(INDEX(Mapping!$B$3:$B$13,MATCH($J2394,Mapping!$A$3:$A$13,0)),"(unmapped)")),IFERROR(INDEX(Mapping!$B$17:$B$22,MATCH($F2394,Mapping!$A$17:$A$22,0)),$F2394)&amp;" "&amp;IF($G2394="Banking","Banking",IFERROR(INDEX(Mapping!$E$17:$E$28,MATCH($J2394,Mapping!$D$17:$D$28,0)),"(unmapped)")))))</f>
        <v/>
      </c>
    </row>
    <row r="2395" spans="11:11" x14ac:dyDescent="0.3">
      <c r="K2395" t="str">
        <f>IF($D2395="","",IFERROR(INDEX(Mapping!$H$3:$H$32,MATCH($B2395,Mapping!$G$3:$G$32,0)),IF(LEFT($F2395,3)="P2P",IFERROR(INDEX(Mapping!$E$3:$E$6,MATCH($G2395,Mapping!$D$3:$D$6,0)),IFERROR(INDEX(Mapping!$B$3:$B$13,MATCH($J2395,Mapping!$A$3:$A$13,0)),"(unmapped)")),IFERROR(INDEX(Mapping!$B$17:$B$22,MATCH($F2395,Mapping!$A$17:$A$22,0)),$F2395)&amp;" "&amp;IF($G2395="Banking","Banking",IFERROR(INDEX(Mapping!$E$17:$E$28,MATCH($J2395,Mapping!$D$17:$D$28,0)),"(unmapped)")))))</f>
        <v/>
      </c>
    </row>
    <row r="2396" spans="11:11" x14ac:dyDescent="0.3">
      <c r="K2396" t="str">
        <f>IF($D2396="","",IFERROR(INDEX(Mapping!$H$3:$H$32,MATCH($B2396,Mapping!$G$3:$G$32,0)),IF(LEFT($F2396,3)="P2P",IFERROR(INDEX(Mapping!$E$3:$E$6,MATCH($G2396,Mapping!$D$3:$D$6,0)),IFERROR(INDEX(Mapping!$B$3:$B$13,MATCH($J2396,Mapping!$A$3:$A$13,0)),"(unmapped)")),IFERROR(INDEX(Mapping!$B$17:$B$22,MATCH($F2396,Mapping!$A$17:$A$22,0)),$F2396)&amp;" "&amp;IF($G2396="Banking","Banking",IFERROR(INDEX(Mapping!$E$17:$E$28,MATCH($J2396,Mapping!$D$17:$D$28,0)),"(unmapped)")))))</f>
        <v/>
      </c>
    </row>
    <row r="2397" spans="11:11" x14ac:dyDescent="0.3">
      <c r="K2397" t="str">
        <f>IF($D2397="","",IFERROR(INDEX(Mapping!$H$3:$H$32,MATCH($B2397,Mapping!$G$3:$G$32,0)),IF(LEFT($F2397,3)="P2P",IFERROR(INDEX(Mapping!$E$3:$E$6,MATCH($G2397,Mapping!$D$3:$D$6,0)),IFERROR(INDEX(Mapping!$B$3:$B$13,MATCH($J2397,Mapping!$A$3:$A$13,0)),"(unmapped)")),IFERROR(INDEX(Mapping!$B$17:$B$22,MATCH($F2397,Mapping!$A$17:$A$22,0)),$F2397)&amp;" "&amp;IF($G2397="Banking","Banking",IFERROR(INDEX(Mapping!$E$17:$E$28,MATCH($J2397,Mapping!$D$17:$D$28,0)),"(unmapped)")))))</f>
        <v/>
      </c>
    </row>
    <row r="2398" spans="11:11" x14ac:dyDescent="0.3">
      <c r="K2398" t="str">
        <f>IF($D2398="","",IFERROR(INDEX(Mapping!$H$3:$H$32,MATCH($B2398,Mapping!$G$3:$G$32,0)),IF(LEFT($F2398,3)="P2P",IFERROR(INDEX(Mapping!$E$3:$E$6,MATCH($G2398,Mapping!$D$3:$D$6,0)),IFERROR(INDEX(Mapping!$B$3:$B$13,MATCH($J2398,Mapping!$A$3:$A$13,0)),"(unmapped)")),IFERROR(INDEX(Mapping!$B$17:$B$22,MATCH($F2398,Mapping!$A$17:$A$22,0)),$F2398)&amp;" "&amp;IF($G2398="Banking","Banking",IFERROR(INDEX(Mapping!$E$17:$E$28,MATCH($J2398,Mapping!$D$17:$D$28,0)),"(unmapped)")))))</f>
        <v/>
      </c>
    </row>
    <row r="2399" spans="11:11" x14ac:dyDescent="0.3">
      <c r="K2399" t="str">
        <f>IF($D2399="","",IFERROR(INDEX(Mapping!$H$3:$H$32,MATCH($B2399,Mapping!$G$3:$G$32,0)),IF(LEFT($F2399,3)="P2P",IFERROR(INDEX(Mapping!$E$3:$E$6,MATCH($G2399,Mapping!$D$3:$D$6,0)),IFERROR(INDEX(Mapping!$B$3:$B$13,MATCH($J2399,Mapping!$A$3:$A$13,0)),"(unmapped)")),IFERROR(INDEX(Mapping!$B$17:$B$22,MATCH($F2399,Mapping!$A$17:$A$22,0)),$F2399)&amp;" "&amp;IF($G2399="Banking","Banking",IFERROR(INDEX(Mapping!$E$17:$E$28,MATCH($J2399,Mapping!$D$17:$D$28,0)),"(unmapped)")))))</f>
        <v/>
      </c>
    </row>
    <row r="2400" spans="11:11" x14ac:dyDescent="0.3">
      <c r="K2400" t="str">
        <f>IF($D2400="","",IFERROR(INDEX(Mapping!$H$3:$H$32,MATCH($B2400,Mapping!$G$3:$G$32,0)),IF(LEFT($F2400,3)="P2P",IFERROR(INDEX(Mapping!$E$3:$E$6,MATCH($G2400,Mapping!$D$3:$D$6,0)),IFERROR(INDEX(Mapping!$B$3:$B$13,MATCH($J2400,Mapping!$A$3:$A$13,0)),"(unmapped)")),IFERROR(INDEX(Mapping!$B$17:$B$22,MATCH($F2400,Mapping!$A$17:$A$22,0)),$F2400)&amp;" "&amp;IF($G2400="Banking","Banking",IFERROR(INDEX(Mapping!$E$17:$E$28,MATCH($J2400,Mapping!$D$17:$D$28,0)),"(unmapped)")))))</f>
        <v/>
      </c>
    </row>
    <row r="2401" spans="11:11" x14ac:dyDescent="0.3">
      <c r="K2401" t="str">
        <f>IF($D2401="","",IFERROR(INDEX(Mapping!$H$3:$H$32,MATCH($B2401,Mapping!$G$3:$G$32,0)),IF(LEFT($F2401,3)="P2P",IFERROR(INDEX(Mapping!$E$3:$E$6,MATCH($G2401,Mapping!$D$3:$D$6,0)),IFERROR(INDEX(Mapping!$B$3:$B$13,MATCH($J2401,Mapping!$A$3:$A$13,0)),"(unmapped)")),IFERROR(INDEX(Mapping!$B$17:$B$22,MATCH($F2401,Mapping!$A$17:$A$22,0)),$F2401)&amp;" "&amp;IF($G2401="Banking","Banking",IFERROR(INDEX(Mapping!$E$17:$E$28,MATCH($J2401,Mapping!$D$17:$D$28,0)),"(unmapped)")))))</f>
        <v/>
      </c>
    </row>
    <row r="2402" spans="11:11" x14ac:dyDescent="0.3">
      <c r="K2402" t="str">
        <f>IF($D2402="","",IFERROR(INDEX(Mapping!$H$3:$H$32,MATCH($B2402,Mapping!$G$3:$G$32,0)),IF(LEFT($F2402,3)="P2P",IFERROR(INDEX(Mapping!$E$3:$E$6,MATCH($G2402,Mapping!$D$3:$D$6,0)),IFERROR(INDEX(Mapping!$B$3:$B$13,MATCH($J2402,Mapping!$A$3:$A$13,0)),"(unmapped)")),IFERROR(INDEX(Mapping!$B$17:$B$22,MATCH($F2402,Mapping!$A$17:$A$22,0)),$F2402)&amp;" "&amp;IF($G2402="Banking","Banking",IFERROR(INDEX(Mapping!$E$17:$E$28,MATCH($J2402,Mapping!$D$17:$D$28,0)),"(unmapped)")))))</f>
        <v/>
      </c>
    </row>
    <row r="2403" spans="11:11" x14ac:dyDescent="0.3">
      <c r="K2403" t="str">
        <f>IF($D2403="","",IFERROR(INDEX(Mapping!$H$3:$H$32,MATCH($B2403,Mapping!$G$3:$G$32,0)),IF(LEFT($F2403,3)="P2P",IFERROR(INDEX(Mapping!$E$3:$E$6,MATCH($G2403,Mapping!$D$3:$D$6,0)),IFERROR(INDEX(Mapping!$B$3:$B$13,MATCH($J2403,Mapping!$A$3:$A$13,0)),"(unmapped)")),IFERROR(INDEX(Mapping!$B$17:$B$22,MATCH($F2403,Mapping!$A$17:$A$22,0)),$F2403)&amp;" "&amp;IF($G2403="Banking","Banking",IFERROR(INDEX(Mapping!$E$17:$E$28,MATCH($J2403,Mapping!$D$17:$D$28,0)),"(unmapped)")))))</f>
        <v/>
      </c>
    </row>
    <row r="2404" spans="11:11" x14ac:dyDescent="0.3">
      <c r="K2404" t="str">
        <f>IF($D2404="","",IFERROR(INDEX(Mapping!$H$3:$H$32,MATCH($B2404,Mapping!$G$3:$G$32,0)),IF(LEFT($F2404,3)="P2P",IFERROR(INDEX(Mapping!$E$3:$E$6,MATCH($G2404,Mapping!$D$3:$D$6,0)),IFERROR(INDEX(Mapping!$B$3:$B$13,MATCH($J2404,Mapping!$A$3:$A$13,0)),"(unmapped)")),IFERROR(INDEX(Mapping!$B$17:$B$22,MATCH($F2404,Mapping!$A$17:$A$22,0)),$F2404)&amp;" "&amp;IF($G2404="Banking","Banking",IFERROR(INDEX(Mapping!$E$17:$E$28,MATCH($J2404,Mapping!$D$17:$D$28,0)),"(unmapped)")))))</f>
        <v/>
      </c>
    </row>
    <row r="2405" spans="11:11" x14ac:dyDescent="0.3">
      <c r="K2405" t="str">
        <f>IF($D2405="","",IFERROR(INDEX(Mapping!$H$3:$H$32,MATCH($B2405,Mapping!$G$3:$G$32,0)),IF(LEFT($F2405,3)="P2P",IFERROR(INDEX(Mapping!$E$3:$E$6,MATCH($G2405,Mapping!$D$3:$D$6,0)),IFERROR(INDEX(Mapping!$B$3:$B$13,MATCH($J2405,Mapping!$A$3:$A$13,0)),"(unmapped)")),IFERROR(INDEX(Mapping!$B$17:$B$22,MATCH($F2405,Mapping!$A$17:$A$22,0)),$F2405)&amp;" "&amp;IF($G2405="Banking","Banking",IFERROR(INDEX(Mapping!$E$17:$E$28,MATCH($J2405,Mapping!$D$17:$D$28,0)),"(unmapped)")))))</f>
        <v/>
      </c>
    </row>
    <row r="2406" spans="11:11" x14ac:dyDescent="0.3">
      <c r="K2406" t="str">
        <f>IF($D2406="","",IFERROR(INDEX(Mapping!$H$3:$H$32,MATCH($B2406,Mapping!$G$3:$G$32,0)),IF(LEFT($F2406,3)="P2P",IFERROR(INDEX(Mapping!$E$3:$E$6,MATCH($G2406,Mapping!$D$3:$D$6,0)),IFERROR(INDEX(Mapping!$B$3:$B$13,MATCH($J2406,Mapping!$A$3:$A$13,0)),"(unmapped)")),IFERROR(INDEX(Mapping!$B$17:$B$22,MATCH($F2406,Mapping!$A$17:$A$22,0)),$F2406)&amp;" "&amp;IF($G2406="Banking","Banking",IFERROR(INDEX(Mapping!$E$17:$E$28,MATCH($J2406,Mapping!$D$17:$D$28,0)),"(unmapped)")))))</f>
        <v/>
      </c>
    </row>
    <row r="2407" spans="11:11" x14ac:dyDescent="0.3">
      <c r="K2407" t="str">
        <f>IF($D2407="","",IFERROR(INDEX(Mapping!$H$3:$H$32,MATCH($B2407,Mapping!$G$3:$G$32,0)),IF(LEFT($F2407,3)="P2P",IFERROR(INDEX(Mapping!$E$3:$E$6,MATCH($G2407,Mapping!$D$3:$D$6,0)),IFERROR(INDEX(Mapping!$B$3:$B$13,MATCH($J2407,Mapping!$A$3:$A$13,0)),"(unmapped)")),IFERROR(INDEX(Mapping!$B$17:$B$22,MATCH($F2407,Mapping!$A$17:$A$22,0)),$F2407)&amp;" "&amp;IF($G2407="Banking","Banking",IFERROR(INDEX(Mapping!$E$17:$E$28,MATCH($J2407,Mapping!$D$17:$D$28,0)),"(unmapped)")))))</f>
        <v/>
      </c>
    </row>
    <row r="2408" spans="11:11" x14ac:dyDescent="0.3">
      <c r="K2408" t="str">
        <f>IF($D2408="","",IFERROR(INDEX(Mapping!$H$3:$H$32,MATCH($B2408,Mapping!$G$3:$G$32,0)),IF(LEFT($F2408,3)="P2P",IFERROR(INDEX(Mapping!$E$3:$E$6,MATCH($G2408,Mapping!$D$3:$D$6,0)),IFERROR(INDEX(Mapping!$B$3:$B$13,MATCH($J2408,Mapping!$A$3:$A$13,0)),"(unmapped)")),IFERROR(INDEX(Mapping!$B$17:$B$22,MATCH($F2408,Mapping!$A$17:$A$22,0)),$F2408)&amp;" "&amp;IF($G2408="Banking","Banking",IFERROR(INDEX(Mapping!$E$17:$E$28,MATCH($J2408,Mapping!$D$17:$D$28,0)),"(unmapped)")))))</f>
        <v/>
      </c>
    </row>
    <row r="2409" spans="11:11" x14ac:dyDescent="0.3">
      <c r="K2409" t="str">
        <f>IF($D2409="","",IFERROR(INDEX(Mapping!$H$3:$H$32,MATCH($B2409,Mapping!$G$3:$G$32,0)),IF(LEFT($F2409,3)="P2P",IFERROR(INDEX(Mapping!$E$3:$E$6,MATCH($G2409,Mapping!$D$3:$D$6,0)),IFERROR(INDEX(Mapping!$B$3:$B$13,MATCH($J2409,Mapping!$A$3:$A$13,0)),"(unmapped)")),IFERROR(INDEX(Mapping!$B$17:$B$22,MATCH($F2409,Mapping!$A$17:$A$22,0)),$F2409)&amp;" "&amp;IF($G2409="Banking","Banking",IFERROR(INDEX(Mapping!$E$17:$E$28,MATCH($J2409,Mapping!$D$17:$D$28,0)),"(unmapped)")))))</f>
        <v/>
      </c>
    </row>
    <row r="2410" spans="11:11" x14ac:dyDescent="0.3">
      <c r="K2410" t="str">
        <f>IF($D2410="","",IFERROR(INDEX(Mapping!$H$3:$H$32,MATCH($B2410,Mapping!$G$3:$G$32,0)),IF(LEFT($F2410,3)="P2P",IFERROR(INDEX(Mapping!$E$3:$E$6,MATCH($G2410,Mapping!$D$3:$D$6,0)),IFERROR(INDEX(Mapping!$B$3:$B$13,MATCH($J2410,Mapping!$A$3:$A$13,0)),"(unmapped)")),IFERROR(INDEX(Mapping!$B$17:$B$22,MATCH($F2410,Mapping!$A$17:$A$22,0)),$F2410)&amp;" "&amp;IF($G2410="Banking","Banking",IFERROR(INDEX(Mapping!$E$17:$E$28,MATCH($J2410,Mapping!$D$17:$D$28,0)),"(unmapped)")))))</f>
        <v/>
      </c>
    </row>
    <row r="2411" spans="11:11" x14ac:dyDescent="0.3">
      <c r="K2411" t="str">
        <f>IF($D2411="","",IFERROR(INDEX(Mapping!$H$3:$H$32,MATCH($B2411,Mapping!$G$3:$G$32,0)),IF(LEFT($F2411,3)="P2P",IFERROR(INDEX(Mapping!$E$3:$E$6,MATCH($G2411,Mapping!$D$3:$D$6,0)),IFERROR(INDEX(Mapping!$B$3:$B$13,MATCH($J2411,Mapping!$A$3:$A$13,0)),"(unmapped)")),IFERROR(INDEX(Mapping!$B$17:$B$22,MATCH($F2411,Mapping!$A$17:$A$22,0)),$F2411)&amp;" "&amp;IF($G2411="Banking","Banking",IFERROR(INDEX(Mapping!$E$17:$E$28,MATCH($J2411,Mapping!$D$17:$D$28,0)),"(unmapped)")))))</f>
        <v/>
      </c>
    </row>
    <row r="2412" spans="11:11" x14ac:dyDescent="0.3">
      <c r="K2412" t="str">
        <f>IF($D2412="","",IFERROR(INDEX(Mapping!$H$3:$H$32,MATCH($B2412,Mapping!$G$3:$G$32,0)),IF(LEFT($F2412,3)="P2P",IFERROR(INDEX(Mapping!$E$3:$E$6,MATCH($G2412,Mapping!$D$3:$D$6,0)),IFERROR(INDEX(Mapping!$B$3:$B$13,MATCH($J2412,Mapping!$A$3:$A$13,0)),"(unmapped)")),IFERROR(INDEX(Mapping!$B$17:$B$22,MATCH($F2412,Mapping!$A$17:$A$22,0)),$F2412)&amp;" "&amp;IF($G2412="Banking","Banking",IFERROR(INDEX(Mapping!$E$17:$E$28,MATCH($J2412,Mapping!$D$17:$D$28,0)),"(unmapped)")))))</f>
        <v/>
      </c>
    </row>
    <row r="2413" spans="11:11" x14ac:dyDescent="0.3">
      <c r="K2413" t="str">
        <f>IF($D2413="","",IFERROR(INDEX(Mapping!$H$3:$H$32,MATCH($B2413,Mapping!$G$3:$G$32,0)),IF(LEFT($F2413,3)="P2P",IFERROR(INDEX(Mapping!$E$3:$E$6,MATCH($G2413,Mapping!$D$3:$D$6,0)),IFERROR(INDEX(Mapping!$B$3:$B$13,MATCH($J2413,Mapping!$A$3:$A$13,0)),"(unmapped)")),IFERROR(INDEX(Mapping!$B$17:$B$22,MATCH($F2413,Mapping!$A$17:$A$22,0)),$F2413)&amp;" "&amp;IF($G2413="Banking","Banking",IFERROR(INDEX(Mapping!$E$17:$E$28,MATCH($J2413,Mapping!$D$17:$D$28,0)),"(unmapped)")))))</f>
        <v/>
      </c>
    </row>
    <row r="2414" spans="11:11" x14ac:dyDescent="0.3">
      <c r="K2414" t="str">
        <f>IF($D2414="","",IFERROR(INDEX(Mapping!$H$3:$H$32,MATCH($B2414,Mapping!$G$3:$G$32,0)),IF(LEFT($F2414,3)="P2P",IFERROR(INDEX(Mapping!$E$3:$E$6,MATCH($G2414,Mapping!$D$3:$D$6,0)),IFERROR(INDEX(Mapping!$B$3:$B$13,MATCH($J2414,Mapping!$A$3:$A$13,0)),"(unmapped)")),IFERROR(INDEX(Mapping!$B$17:$B$22,MATCH($F2414,Mapping!$A$17:$A$22,0)),$F2414)&amp;" "&amp;IF($G2414="Banking","Banking",IFERROR(INDEX(Mapping!$E$17:$E$28,MATCH($J2414,Mapping!$D$17:$D$28,0)),"(unmapped)")))))</f>
        <v/>
      </c>
    </row>
    <row r="2415" spans="11:11" x14ac:dyDescent="0.3">
      <c r="K2415" t="str">
        <f>IF($D2415="","",IFERROR(INDEX(Mapping!$H$3:$H$32,MATCH($B2415,Mapping!$G$3:$G$32,0)),IF(LEFT($F2415,3)="P2P",IFERROR(INDEX(Mapping!$E$3:$E$6,MATCH($G2415,Mapping!$D$3:$D$6,0)),IFERROR(INDEX(Mapping!$B$3:$B$13,MATCH($J2415,Mapping!$A$3:$A$13,0)),"(unmapped)")),IFERROR(INDEX(Mapping!$B$17:$B$22,MATCH($F2415,Mapping!$A$17:$A$22,0)),$F2415)&amp;" "&amp;IF($G2415="Banking","Banking",IFERROR(INDEX(Mapping!$E$17:$E$28,MATCH($J2415,Mapping!$D$17:$D$28,0)),"(unmapped)")))))</f>
        <v/>
      </c>
    </row>
    <row r="2416" spans="11:11" x14ac:dyDescent="0.3">
      <c r="K2416" t="str">
        <f>IF($D2416="","",IFERROR(INDEX(Mapping!$H$3:$H$32,MATCH($B2416,Mapping!$G$3:$G$32,0)),IF(LEFT($F2416,3)="P2P",IFERROR(INDEX(Mapping!$E$3:$E$6,MATCH($G2416,Mapping!$D$3:$D$6,0)),IFERROR(INDEX(Mapping!$B$3:$B$13,MATCH($J2416,Mapping!$A$3:$A$13,0)),"(unmapped)")),IFERROR(INDEX(Mapping!$B$17:$B$22,MATCH($F2416,Mapping!$A$17:$A$22,0)),$F2416)&amp;" "&amp;IF($G2416="Banking","Banking",IFERROR(INDEX(Mapping!$E$17:$E$28,MATCH($J2416,Mapping!$D$17:$D$28,0)),"(unmapped)")))))</f>
        <v/>
      </c>
    </row>
    <row r="2417" spans="11:11" x14ac:dyDescent="0.3">
      <c r="K2417" t="str">
        <f>IF($D2417="","",IFERROR(INDEX(Mapping!$H$3:$H$32,MATCH($B2417,Mapping!$G$3:$G$32,0)),IF(LEFT($F2417,3)="P2P",IFERROR(INDEX(Mapping!$E$3:$E$6,MATCH($G2417,Mapping!$D$3:$D$6,0)),IFERROR(INDEX(Mapping!$B$3:$B$13,MATCH($J2417,Mapping!$A$3:$A$13,0)),"(unmapped)")),IFERROR(INDEX(Mapping!$B$17:$B$22,MATCH($F2417,Mapping!$A$17:$A$22,0)),$F2417)&amp;" "&amp;IF($G2417="Banking","Banking",IFERROR(INDEX(Mapping!$E$17:$E$28,MATCH($J2417,Mapping!$D$17:$D$28,0)),"(unmapped)")))))</f>
        <v/>
      </c>
    </row>
    <row r="2418" spans="11:11" x14ac:dyDescent="0.3">
      <c r="K2418" t="str">
        <f>IF($D2418="","",IFERROR(INDEX(Mapping!$H$3:$H$32,MATCH($B2418,Mapping!$G$3:$G$32,0)),IF(LEFT($F2418,3)="P2P",IFERROR(INDEX(Mapping!$E$3:$E$6,MATCH($G2418,Mapping!$D$3:$D$6,0)),IFERROR(INDEX(Mapping!$B$3:$B$13,MATCH($J2418,Mapping!$A$3:$A$13,0)),"(unmapped)")),IFERROR(INDEX(Mapping!$B$17:$B$22,MATCH($F2418,Mapping!$A$17:$A$22,0)),$F2418)&amp;" "&amp;IF($G2418="Banking","Banking",IFERROR(INDEX(Mapping!$E$17:$E$28,MATCH($J2418,Mapping!$D$17:$D$28,0)),"(unmapped)")))))</f>
        <v/>
      </c>
    </row>
    <row r="2419" spans="11:11" x14ac:dyDescent="0.3">
      <c r="K2419" t="str">
        <f>IF($D2419="","",IFERROR(INDEX(Mapping!$H$3:$H$32,MATCH($B2419,Mapping!$G$3:$G$32,0)),IF(LEFT($F2419,3)="P2P",IFERROR(INDEX(Mapping!$E$3:$E$6,MATCH($G2419,Mapping!$D$3:$D$6,0)),IFERROR(INDEX(Mapping!$B$3:$B$13,MATCH($J2419,Mapping!$A$3:$A$13,0)),"(unmapped)")),IFERROR(INDEX(Mapping!$B$17:$B$22,MATCH($F2419,Mapping!$A$17:$A$22,0)),$F2419)&amp;" "&amp;IF($G2419="Banking","Banking",IFERROR(INDEX(Mapping!$E$17:$E$28,MATCH($J2419,Mapping!$D$17:$D$28,0)),"(unmapped)")))))</f>
        <v/>
      </c>
    </row>
    <row r="2420" spans="11:11" x14ac:dyDescent="0.3">
      <c r="K2420" t="str">
        <f>IF($D2420="","",IFERROR(INDEX(Mapping!$H$3:$H$32,MATCH($B2420,Mapping!$G$3:$G$32,0)),IF(LEFT($F2420,3)="P2P",IFERROR(INDEX(Mapping!$E$3:$E$6,MATCH($G2420,Mapping!$D$3:$D$6,0)),IFERROR(INDEX(Mapping!$B$3:$B$13,MATCH($J2420,Mapping!$A$3:$A$13,0)),"(unmapped)")),IFERROR(INDEX(Mapping!$B$17:$B$22,MATCH($F2420,Mapping!$A$17:$A$22,0)),$F2420)&amp;" "&amp;IF($G2420="Banking","Banking",IFERROR(INDEX(Mapping!$E$17:$E$28,MATCH($J2420,Mapping!$D$17:$D$28,0)),"(unmapped)")))))</f>
        <v/>
      </c>
    </row>
    <row r="2421" spans="11:11" x14ac:dyDescent="0.3">
      <c r="K2421" t="str">
        <f>IF($D2421="","",IFERROR(INDEX(Mapping!$H$3:$H$32,MATCH($B2421,Mapping!$G$3:$G$32,0)),IF(LEFT($F2421,3)="P2P",IFERROR(INDEX(Mapping!$E$3:$E$6,MATCH($G2421,Mapping!$D$3:$D$6,0)),IFERROR(INDEX(Mapping!$B$3:$B$13,MATCH($J2421,Mapping!$A$3:$A$13,0)),"(unmapped)")),IFERROR(INDEX(Mapping!$B$17:$B$22,MATCH($F2421,Mapping!$A$17:$A$22,0)),$F2421)&amp;" "&amp;IF($G2421="Banking","Banking",IFERROR(INDEX(Mapping!$E$17:$E$28,MATCH($J2421,Mapping!$D$17:$D$28,0)),"(unmapped)")))))</f>
        <v/>
      </c>
    </row>
    <row r="2422" spans="11:11" x14ac:dyDescent="0.3">
      <c r="K2422" t="str">
        <f>IF($D2422="","",IFERROR(INDEX(Mapping!$H$3:$H$32,MATCH($B2422,Mapping!$G$3:$G$32,0)),IF(LEFT($F2422,3)="P2P",IFERROR(INDEX(Mapping!$E$3:$E$6,MATCH($G2422,Mapping!$D$3:$D$6,0)),IFERROR(INDEX(Mapping!$B$3:$B$13,MATCH($J2422,Mapping!$A$3:$A$13,0)),"(unmapped)")),IFERROR(INDEX(Mapping!$B$17:$B$22,MATCH($F2422,Mapping!$A$17:$A$22,0)),$F2422)&amp;" "&amp;IF($G2422="Banking","Banking",IFERROR(INDEX(Mapping!$E$17:$E$28,MATCH($J2422,Mapping!$D$17:$D$28,0)),"(unmapped)")))))</f>
        <v/>
      </c>
    </row>
    <row r="2423" spans="11:11" x14ac:dyDescent="0.3">
      <c r="K2423" t="str">
        <f>IF($D2423="","",IFERROR(INDEX(Mapping!$H$3:$H$32,MATCH($B2423,Mapping!$G$3:$G$32,0)),IF(LEFT($F2423,3)="P2P",IFERROR(INDEX(Mapping!$E$3:$E$6,MATCH($G2423,Mapping!$D$3:$D$6,0)),IFERROR(INDEX(Mapping!$B$3:$B$13,MATCH($J2423,Mapping!$A$3:$A$13,0)),"(unmapped)")),IFERROR(INDEX(Mapping!$B$17:$B$22,MATCH($F2423,Mapping!$A$17:$A$22,0)),$F2423)&amp;" "&amp;IF($G2423="Banking","Banking",IFERROR(INDEX(Mapping!$E$17:$E$28,MATCH($J2423,Mapping!$D$17:$D$28,0)),"(unmapped)")))))</f>
        <v/>
      </c>
    </row>
    <row r="2424" spans="11:11" x14ac:dyDescent="0.3">
      <c r="K2424" t="str">
        <f>IF($D2424="","",IFERROR(INDEX(Mapping!$H$3:$H$32,MATCH($B2424,Mapping!$G$3:$G$32,0)),IF(LEFT($F2424,3)="P2P",IFERROR(INDEX(Mapping!$E$3:$E$6,MATCH($G2424,Mapping!$D$3:$D$6,0)),IFERROR(INDEX(Mapping!$B$3:$B$13,MATCH($J2424,Mapping!$A$3:$A$13,0)),"(unmapped)")),IFERROR(INDEX(Mapping!$B$17:$B$22,MATCH($F2424,Mapping!$A$17:$A$22,0)),$F2424)&amp;" "&amp;IF($G2424="Banking","Banking",IFERROR(INDEX(Mapping!$E$17:$E$28,MATCH($J2424,Mapping!$D$17:$D$28,0)),"(unmapped)")))))</f>
        <v/>
      </c>
    </row>
    <row r="2425" spans="11:11" x14ac:dyDescent="0.3">
      <c r="K2425" t="str">
        <f>IF($D2425="","",IFERROR(INDEX(Mapping!$H$3:$H$32,MATCH($B2425,Mapping!$G$3:$G$32,0)),IF(LEFT($F2425,3)="P2P",IFERROR(INDEX(Mapping!$E$3:$E$6,MATCH($G2425,Mapping!$D$3:$D$6,0)),IFERROR(INDEX(Mapping!$B$3:$B$13,MATCH($J2425,Mapping!$A$3:$A$13,0)),"(unmapped)")),IFERROR(INDEX(Mapping!$B$17:$B$22,MATCH($F2425,Mapping!$A$17:$A$22,0)),$F2425)&amp;" "&amp;IF($G2425="Banking","Banking",IFERROR(INDEX(Mapping!$E$17:$E$28,MATCH($J2425,Mapping!$D$17:$D$28,0)),"(unmapped)")))))</f>
        <v/>
      </c>
    </row>
    <row r="2426" spans="11:11" x14ac:dyDescent="0.3">
      <c r="K2426" t="str">
        <f>IF($D2426="","",IFERROR(INDEX(Mapping!$H$3:$H$32,MATCH($B2426,Mapping!$G$3:$G$32,0)),IF(LEFT($F2426,3)="P2P",IFERROR(INDEX(Mapping!$E$3:$E$6,MATCH($G2426,Mapping!$D$3:$D$6,0)),IFERROR(INDEX(Mapping!$B$3:$B$13,MATCH($J2426,Mapping!$A$3:$A$13,0)),"(unmapped)")),IFERROR(INDEX(Mapping!$B$17:$B$22,MATCH($F2426,Mapping!$A$17:$A$22,0)),$F2426)&amp;" "&amp;IF($G2426="Banking","Banking",IFERROR(INDEX(Mapping!$E$17:$E$28,MATCH($J2426,Mapping!$D$17:$D$28,0)),"(unmapped)")))))</f>
        <v/>
      </c>
    </row>
    <row r="2427" spans="11:11" x14ac:dyDescent="0.3">
      <c r="K2427" t="str">
        <f>IF($D2427="","",IFERROR(INDEX(Mapping!$H$3:$H$32,MATCH($B2427,Mapping!$G$3:$G$32,0)),IF(LEFT($F2427,3)="P2P",IFERROR(INDEX(Mapping!$E$3:$E$6,MATCH($G2427,Mapping!$D$3:$D$6,0)),IFERROR(INDEX(Mapping!$B$3:$B$13,MATCH($J2427,Mapping!$A$3:$A$13,0)),"(unmapped)")),IFERROR(INDEX(Mapping!$B$17:$B$22,MATCH($F2427,Mapping!$A$17:$A$22,0)),$F2427)&amp;" "&amp;IF($G2427="Banking","Banking",IFERROR(INDEX(Mapping!$E$17:$E$28,MATCH($J2427,Mapping!$D$17:$D$28,0)),"(unmapped)")))))</f>
        <v/>
      </c>
    </row>
    <row r="2428" spans="11:11" x14ac:dyDescent="0.3">
      <c r="K2428" t="str">
        <f>IF($D2428="","",IFERROR(INDEX(Mapping!$H$3:$H$32,MATCH($B2428,Mapping!$G$3:$G$32,0)),IF(LEFT($F2428,3)="P2P",IFERROR(INDEX(Mapping!$E$3:$E$6,MATCH($G2428,Mapping!$D$3:$D$6,0)),IFERROR(INDEX(Mapping!$B$3:$B$13,MATCH($J2428,Mapping!$A$3:$A$13,0)),"(unmapped)")),IFERROR(INDEX(Mapping!$B$17:$B$22,MATCH($F2428,Mapping!$A$17:$A$22,0)),$F2428)&amp;" "&amp;IF($G2428="Banking","Banking",IFERROR(INDEX(Mapping!$E$17:$E$28,MATCH($J2428,Mapping!$D$17:$D$28,0)),"(unmapped)")))))</f>
        <v/>
      </c>
    </row>
    <row r="2429" spans="11:11" x14ac:dyDescent="0.3">
      <c r="K2429" t="str">
        <f>IF($D2429="","",IFERROR(INDEX(Mapping!$H$3:$H$32,MATCH($B2429,Mapping!$G$3:$G$32,0)),IF(LEFT($F2429,3)="P2P",IFERROR(INDEX(Mapping!$E$3:$E$6,MATCH($G2429,Mapping!$D$3:$D$6,0)),IFERROR(INDEX(Mapping!$B$3:$B$13,MATCH($J2429,Mapping!$A$3:$A$13,0)),"(unmapped)")),IFERROR(INDEX(Mapping!$B$17:$B$22,MATCH($F2429,Mapping!$A$17:$A$22,0)),$F2429)&amp;" "&amp;IF($G2429="Banking","Banking",IFERROR(INDEX(Mapping!$E$17:$E$28,MATCH($J2429,Mapping!$D$17:$D$28,0)),"(unmapped)")))))</f>
        <v/>
      </c>
    </row>
    <row r="2430" spans="11:11" x14ac:dyDescent="0.3">
      <c r="K2430" t="str">
        <f>IF($D2430="","",IFERROR(INDEX(Mapping!$H$3:$H$32,MATCH($B2430,Mapping!$G$3:$G$32,0)),IF(LEFT($F2430,3)="P2P",IFERROR(INDEX(Mapping!$E$3:$E$6,MATCH($G2430,Mapping!$D$3:$D$6,0)),IFERROR(INDEX(Mapping!$B$3:$B$13,MATCH($J2430,Mapping!$A$3:$A$13,0)),"(unmapped)")),IFERROR(INDEX(Mapping!$B$17:$B$22,MATCH($F2430,Mapping!$A$17:$A$22,0)),$F2430)&amp;" "&amp;IF($G2430="Banking","Banking",IFERROR(INDEX(Mapping!$E$17:$E$28,MATCH($J2430,Mapping!$D$17:$D$28,0)),"(unmapped)")))))</f>
        <v/>
      </c>
    </row>
    <row r="2431" spans="11:11" x14ac:dyDescent="0.3">
      <c r="K2431" t="str">
        <f>IF($D2431="","",IFERROR(INDEX(Mapping!$H$3:$H$32,MATCH($B2431,Mapping!$G$3:$G$32,0)),IF(LEFT($F2431,3)="P2P",IFERROR(INDEX(Mapping!$E$3:$E$6,MATCH($G2431,Mapping!$D$3:$D$6,0)),IFERROR(INDEX(Mapping!$B$3:$B$13,MATCH($J2431,Mapping!$A$3:$A$13,0)),"(unmapped)")),IFERROR(INDEX(Mapping!$B$17:$B$22,MATCH($F2431,Mapping!$A$17:$A$22,0)),$F2431)&amp;" "&amp;IF($G2431="Banking","Banking",IFERROR(INDEX(Mapping!$E$17:$E$28,MATCH($J2431,Mapping!$D$17:$D$28,0)),"(unmapped)")))))</f>
        <v/>
      </c>
    </row>
    <row r="2432" spans="11:11" x14ac:dyDescent="0.3">
      <c r="K2432" t="str">
        <f>IF($D2432="","",IFERROR(INDEX(Mapping!$H$3:$H$32,MATCH($B2432,Mapping!$G$3:$G$32,0)),IF(LEFT($F2432,3)="P2P",IFERROR(INDEX(Mapping!$E$3:$E$6,MATCH($G2432,Mapping!$D$3:$D$6,0)),IFERROR(INDEX(Mapping!$B$3:$B$13,MATCH($J2432,Mapping!$A$3:$A$13,0)),"(unmapped)")),IFERROR(INDEX(Mapping!$B$17:$B$22,MATCH($F2432,Mapping!$A$17:$A$22,0)),$F2432)&amp;" "&amp;IF($G2432="Banking","Banking",IFERROR(INDEX(Mapping!$E$17:$E$28,MATCH($J2432,Mapping!$D$17:$D$28,0)),"(unmapped)")))))</f>
        <v/>
      </c>
    </row>
    <row r="2433" spans="11:11" x14ac:dyDescent="0.3">
      <c r="K2433" t="str">
        <f>IF($D2433="","",IFERROR(INDEX(Mapping!$H$3:$H$32,MATCH($B2433,Mapping!$G$3:$G$32,0)),IF(LEFT($F2433,3)="P2P",IFERROR(INDEX(Mapping!$E$3:$E$6,MATCH($G2433,Mapping!$D$3:$D$6,0)),IFERROR(INDEX(Mapping!$B$3:$B$13,MATCH($J2433,Mapping!$A$3:$A$13,0)),"(unmapped)")),IFERROR(INDEX(Mapping!$B$17:$B$22,MATCH($F2433,Mapping!$A$17:$A$22,0)),$F2433)&amp;" "&amp;IF($G2433="Banking","Banking",IFERROR(INDEX(Mapping!$E$17:$E$28,MATCH($J2433,Mapping!$D$17:$D$28,0)),"(unmapped)")))))</f>
        <v/>
      </c>
    </row>
    <row r="2434" spans="11:11" x14ac:dyDescent="0.3">
      <c r="K2434" t="str">
        <f>IF($D2434="","",IFERROR(INDEX(Mapping!$H$3:$H$32,MATCH($B2434,Mapping!$G$3:$G$32,0)),IF(LEFT($F2434,3)="P2P",IFERROR(INDEX(Mapping!$E$3:$E$6,MATCH($G2434,Mapping!$D$3:$D$6,0)),IFERROR(INDEX(Mapping!$B$3:$B$13,MATCH($J2434,Mapping!$A$3:$A$13,0)),"(unmapped)")),IFERROR(INDEX(Mapping!$B$17:$B$22,MATCH($F2434,Mapping!$A$17:$A$22,0)),$F2434)&amp;" "&amp;IF($G2434="Banking","Banking",IFERROR(INDEX(Mapping!$E$17:$E$28,MATCH($J2434,Mapping!$D$17:$D$28,0)),"(unmapped)")))))</f>
        <v/>
      </c>
    </row>
    <row r="2435" spans="11:11" x14ac:dyDescent="0.3">
      <c r="K2435" t="str">
        <f>IF($D2435="","",IFERROR(INDEX(Mapping!$H$3:$H$32,MATCH($B2435,Mapping!$G$3:$G$32,0)),IF(LEFT($F2435,3)="P2P",IFERROR(INDEX(Mapping!$E$3:$E$6,MATCH($G2435,Mapping!$D$3:$D$6,0)),IFERROR(INDEX(Mapping!$B$3:$B$13,MATCH($J2435,Mapping!$A$3:$A$13,0)),"(unmapped)")),IFERROR(INDEX(Mapping!$B$17:$B$22,MATCH($F2435,Mapping!$A$17:$A$22,0)),$F2435)&amp;" "&amp;IF($G2435="Banking","Banking",IFERROR(INDEX(Mapping!$E$17:$E$28,MATCH($J2435,Mapping!$D$17:$D$28,0)),"(unmapped)")))))</f>
        <v/>
      </c>
    </row>
    <row r="2436" spans="11:11" x14ac:dyDescent="0.3">
      <c r="K2436" t="str">
        <f>IF($D2436="","",IFERROR(INDEX(Mapping!$H$3:$H$32,MATCH($B2436,Mapping!$G$3:$G$32,0)),IF(LEFT($F2436,3)="P2P",IFERROR(INDEX(Mapping!$E$3:$E$6,MATCH($G2436,Mapping!$D$3:$D$6,0)),IFERROR(INDEX(Mapping!$B$3:$B$13,MATCH($J2436,Mapping!$A$3:$A$13,0)),"(unmapped)")),IFERROR(INDEX(Mapping!$B$17:$B$22,MATCH($F2436,Mapping!$A$17:$A$22,0)),$F2436)&amp;" "&amp;IF($G2436="Banking","Banking",IFERROR(INDEX(Mapping!$E$17:$E$28,MATCH($J2436,Mapping!$D$17:$D$28,0)),"(unmapped)")))))</f>
        <v/>
      </c>
    </row>
    <row r="2437" spans="11:11" x14ac:dyDescent="0.3">
      <c r="K2437" t="str">
        <f>IF($D2437="","",IFERROR(INDEX(Mapping!$H$3:$H$32,MATCH($B2437,Mapping!$G$3:$G$32,0)),IF(LEFT($F2437,3)="P2P",IFERROR(INDEX(Mapping!$E$3:$E$6,MATCH($G2437,Mapping!$D$3:$D$6,0)),IFERROR(INDEX(Mapping!$B$3:$B$13,MATCH($J2437,Mapping!$A$3:$A$13,0)),"(unmapped)")),IFERROR(INDEX(Mapping!$B$17:$B$22,MATCH($F2437,Mapping!$A$17:$A$22,0)),$F2437)&amp;" "&amp;IF($G2437="Banking","Banking",IFERROR(INDEX(Mapping!$E$17:$E$28,MATCH($J2437,Mapping!$D$17:$D$28,0)),"(unmapped)")))))</f>
        <v/>
      </c>
    </row>
    <row r="2438" spans="11:11" x14ac:dyDescent="0.3">
      <c r="K2438" t="str">
        <f>IF($D2438="","",IFERROR(INDEX(Mapping!$H$3:$H$32,MATCH($B2438,Mapping!$G$3:$G$32,0)),IF(LEFT($F2438,3)="P2P",IFERROR(INDEX(Mapping!$E$3:$E$6,MATCH($G2438,Mapping!$D$3:$D$6,0)),IFERROR(INDEX(Mapping!$B$3:$B$13,MATCH($J2438,Mapping!$A$3:$A$13,0)),"(unmapped)")),IFERROR(INDEX(Mapping!$B$17:$B$22,MATCH($F2438,Mapping!$A$17:$A$22,0)),$F2438)&amp;" "&amp;IF($G2438="Banking","Banking",IFERROR(INDEX(Mapping!$E$17:$E$28,MATCH($J2438,Mapping!$D$17:$D$28,0)),"(unmapped)")))))</f>
        <v/>
      </c>
    </row>
    <row r="2439" spans="11:11" x14ac:dyDescent="0.3">
      <c r="K2439" t="str">
        <f>IF($D2439="","",IFERROR(INDEX(Mapping!$H$3:$H$32,MATCH($B2439,Mapping!$G$3:$G$32,0)),IF(LEFT($F2439,3)="P2P",IFERROR(INDEX(Mapping!$E$3:$E$6,MATCH($G2439,Mapping!$D$3:$D$6,0)),IFERROR(INDEX(Mapping!$B$3:$B$13,MATCH($J2439,Mapping!$A$3:$A$13,0)),"(unmapped)")),IFERROR(INDEX(Mapping!$B$17:$B$22,MATCH($F2439,Mapping!$A$17:$A$22,0)),$F2439)&amp;" "&amp;IF($G2439="Banking","Banking",IFERROR(INDEX(Mapping!$E$17:$E$28,MATCH($J2439,Mapping!$D$17:$D$28,0)),"(unmapped)")))))</f>
        <v/>
      </c>
    </row>
    <row r="2440" spans="11:11" x14ac:dyDescent="0.3">
      <c r="K2440" t="str">
        <f>IF($D2440="","",IFERROR(INDEX(Mapping!$H$3:$H$32,MATCH($B2440,Mapping!$G$3:$G$32,0)),IF(LEFT($F2440,3)="P2P",IFERROR(INDEX(Mapping!$E$3:$E$6,MATCH($G2440,Mapping!$D$3:$D$6,0)),IFERROR(INDEX(Mapping!$B$3:$B$13,MATCH($J2440,Mapping!$A$3:$A$13,0)),"(unmapped)")),IFERROR(INDEX(Mapping!$B$17:$B$22,MATCH($F2440,Mapping!$A$17:$A$22,0)),$F2440)&amp;" "&amp;IF($G2440="Banking","Banking",IFERROR(INDEX(Mapping!$E$17:$E$28,MATCH($J2440,Mapping!$D$17:$D$28,0)),"(unmapped)")))))</f>
        <v/>
      </c>
    </row>
    <row r="2441" spans="11:11" x14ac:dyDescent="0.3">
      <c r="K2441" t="str">
        <f>IF($D2441="","",IFERROR(INDEX(Mapping!$H$3:$H$32,MATCH($B2441,Mapping!$G$3:$G$32,0)),IF(LEFT($F2441,3)="P2P",IFERROR(INDEX(Mapping!$E$3:$E$6,MATCH($G2441,Mapping!$D$3:$D$6,0)),IFERROR(INDEX(Mapping!$B$3:$B$13,MATCH($J2441,Mapping!$A$3:$A$13,0)),"(unmapped)")),IFERROR(INDEX(Mapping!$B$17:$B$22,MATCH($F2441,Mapping!$A$17:$A$22,0)),$F2441)&amp;" "&amp;IF($G2441="Banking","Banking",IFERROR(INDEX(Mapping!$E$17:$E$28,MATCH($J2441,Mapping!$D$17:$D$28,0)),"(unmapped)")))))</f>
        <v/>
      </c>
    </row>
    <row r="2442" spans="11:11" x14ac:dyDescent="0.3">
      <c r="K2442" t="str">
        <f>IF($D2442="","",IFERROR(INDEX(Mapping!$H$3:$H$32,MATCH($B2442,Mapping!$G$3:$G$32,0)),IF(LEFT($F2442,3)="P2P",IFERROR(INDEX(Mapping!$E$3:$E$6,MATCH($G2442,Mapping!$D$3:$D$6,0)),IFERROR(INDEX(Mapping!$B$3:$B$13,MATCH($J2442,Mapping!$A$3:$A$13,0)),"(unmapped)")),IFERROR(INDEX(Mapping!$B$17:$B$22,MATCH($F2442,Mapping!$A$17:$A$22,0)),$F2442)&amp;" "&amp;IF($G2442="Banking","Banking",IFERROR(INDEX(Mapping!$E$17:$E$28,MATCH($J2442,Mapping!$D$17:$D$28,0)),"(unmapped)")))))</f>
        <v/>
      </c>
    </row>
    <row r="2443" spans="11:11" x14ac:dyDescent="0.3">
      <c r="K2443" t="str">
        <f>IF($D2443="","",IFERROR(INDEX(Mapping!$H$3:$H$32,MATCH($B2443,Mapping!$G$3:$G$32,0)),IF(LEFT($F2443,3)="P2P",IFERROR(INDEX(Mapping!$E$3:$E$6,MATCH($G2443,Mapping!$D$3:$D$6,0)),IFERROR(INDEX(Mapping!$B$3:$B$13,MATCH($J2443,Mapping!$A$3:$A$13,0)),"(unmapped)")),IFERROR(INDEX(Mapping!$B$17:$B$22,MATCH($F2443,Mapping!$A$17:$A$22,0)),$F2443)&amp;" "&amp;IF($G2443="Banking","Banking",IFERROR(INDEX(Mapping!$E$17:$E$28,MATCH($J2443,Mapping!$D$17:$D$28,0)),"(unmapped)")))))</f>
        <v/>
      </c>
    </row>
    <row r="2444" spans="11:11" x14ac:dyDescent="0.3">
      <c r="K2444" t="str">
        <f>IF($D2444="","",IFERROR(INDEX(Mapping!$H$3:$H$32,MATCH($B2444,Mapping!$G$3:$G$32,0)),IF(LEFT($F2444,3)="P2P",IFERROR(INDEX(Mapping!$E$3:$E$6,MATCH($G2444,Mapping!$D$3:$D$6,0)),IFERROR(INDEX(Mapping!$B$3:$B$13,MATCH($J2444,Mapping!$A$3:$A$13,0)),"(unmapped)")),IFERROR(INDEX(Mapping!$B$17:$B$22,MATCH($F2444,Mapping!$A$17:$A$22,0)),$F2444)&amp;" "&amp;IF($G2444="Banking","Banking",IFERROR(INDEX(Mapping!$E$17:$E$28,MATCH($J2444,Mapping!$D$17:$D$28,0)),"(unmapped)")))))</f>
        <v/>
      </c>
    </row>
    <row r="2445" spans="11:11" x14ac:dyDescent="0.3">
      <c r="K2445" t="str">
        <f>IF($D2445="","",IFERROR(INDEX(Mapping!$H$3:$H$32,MATCH($B2445,Mapping!$G$3:$G$32,0)),IF(LEFT($F2445,3)="P2P",IFERROR(INDEX(Mapping!$E$3:$E$6,MATCH($G2445,Mapping!$D$3:$D$6,0)),IFERROR(INDEX(Mapping!$B$3:$B$13,MATCH($J2445,Mapping!$A$3:$A$13,0)),"(unmapped)")),IFERROR(INDEX(Mapping!$B$17:$B$22,MATCH($F2445,Mapping!$A$17:$A$22,0)),$F2445)&amp;" "&amp;IF($G2445="Banking","Banking",IFERROR(INDEX(Mapping!$E$17:$E$28,MATCH($J2445,Mapping!$D$17:$D$28,0)),"(unmapped)")))))</f>
        <v/>
      </c>
    </row>
    <row r="2446" spans="11:11" x14ac:dyDescent="0.3">
      <c r="K2446" t="str">
        <f>IF($D2446="","",IFERROR(INDEX(Mapping!$H$3:$H$32,MATCH($B2446,Mapping!$G$3:$G$32,0)),IF(LEFT($F2446,3)="P2P",IFERROR(INDEX(Mapping!$E$3:$E$6,MATCH($G2446,Mapping!$D$3:$D$6,0)),IFERROR(INDEX(Mapping!$B$3:$B$13,MATCH($J2446,Mapping!$A$3:$A$13,0)),"(unmapped)")),IFERROR(INDEX(Mapping!$B$17:$B$22,MATCH($F2446,Mapping!$A$17:$A$22,0)),$F2446)&amp;" "&amp;IF($G2446="Banking","Banking",IFERROR(INDEX(Mapping!$E$17:$E$28,MATCH($J2446,Mapping!$D$17:$D$28,0)),"(unmapped)")))))</f>
        <v/>
      </c>
    </row>
    <row r="2447" spans="11:11" x14ac:dyDescent="0.3">
      <c r="K2447" t="str">
        <f>IF($D2447="","",IFERROR(INDEX(Mapping!$H$3:$H$32,MATCH($B2447,Mapping!$G$3:$G$32,0)),IF(LEFT($F2447,3)="P2P",IFERROR(INDEX(Mapping!$E$3:$E$6,MATCH($G2447,Mapping!$D$3:$D$6,0)),IFERROR(INDEX(Mapping!$B$3:$B$13,MATCH($J2447,Mapping!$A$3:$A$13,0)),"(unmapped)")),IFERROR(INDEX(Mapping!$B$17:$B$22,MATCH($F2447,Mapping!$A$17:$A$22,0)),$F2447)&amp;" "&amp;IF($G2447="Banking","Banking",IFERROR(INDEX(Mapping!$E$17:$E$28,MATCH($J2447,Mapping!$D$17:$D$28,0)),"(unmapped)")))))</f>
        <v/>
      </c>
    </row>
    <row r="2448" spans="11:11" x14ac:dyDescent="0.3">
      <c r="K2448" t="str">
        <f>IF($D2448="","",IFERROR(INDEX(Mapping!$H$3:$H$32,MATCH($B2448,Mapping!$G$3:$G$32,0)),IF(LEFT($F2448,3)="P2P",IFERROR(INDEX(Mapping!$E$3:$E$6,MATCH($G2448,Mapping!$D$3:$D$6,0)),IFERROR(INDEX(Mapping!$B$3:$B$13,MATCH($J2448,Mapping!$A$3:$A$13,0)),"(unmapped)")),IFERROR(INDEX(Mapping!$B$17:$B$22,MATCH($F2448,Mapping!$A$17:$A$22,0)),$F2448)&amp;" "&amp;IF($G2448="Banking","Banking",IFERROR(INDEX(Mapping!$E$17:$E$28,MATCH($J2448,Mapping!$D$17:$D$28,0)),"(unmapped)")))))</f>
        <v/>
      </c>
    </row>
    <row r="2449" spans="11:11" x14ac:dyDescent="0.3">
      <c r="K2449" t="str">
        <f>IF($D2449="","",IFERROR(INDEX(Mapping!$H$3:$H$32,MATCH($B2449,Mapping!$G$3:$G$32,0)),IF(LEFT($F2449,3)="P2P",IFERROR(INDEX(Mapping!$E$3:$E$6,MATCH($G2449,Mapping!$D$3:$D$6,0)),IFERROR(INDEX(Mapping!$B$3:$B$13,MATCH($J2449,Mapping!$A$3:$A$13,0)),"(unmapped)")),IFERROR(INDEX(Mapping!$B$17:$B$22,MATCH($F2449,Mapping!$A$17:$A$22,0)),$F2449)&amp;" "&amp;IF($G2449="Banking","Banking",IFERROR(INDEX(Mapping!$E$17:$E$28,MATCH($J2449,Mapping!$D$17:$D$28,0)),"(unmapped)")))))</f>
        <v/>
      </c>
    </row>
    <row r="2450" spans="11:11" x14ac:dyDescent="0.3">
      <c r="K2450" t="str">
        <f>IF($D2450="","",IFERROR(INDEX(Mapping!$H$3:$H$32,MATCH($B2450,Mapping!$G$3:$G$32,0)),IF(LEFT($F2450,3)="P2P",IFERROR(INDEX(Mapping!$E$3:$E$6,MATCH($G2450,Mapping!$D$3:$D$6,0)),IFERROR(INDEX(Mapping!$B$3:$B$13,MATCH($J2450,Mapping!$A$3:$A$13,0)),"(unmapped)")),IFERROR(INDEX(Mapping!$B$17:$B$22,MATCH($F2450,Mapping!$A$17:$A$22,0)),$F2450)&amp;" "&amp;IF($G2450="Banking","Banking",IFERROR(INDEX(Mapping!$E$17:$E$28,MATCH($J2450,Mapping!$D$17:$D$28,0)),"(unmapped)")))))</f>
        <v/>
      </c>
    </row>
    <row r="2451" spans="11:11" x14ac:dyDescent="0.3">
      <c r="K2451" t="str">
        <f>IF($D2451="","",IFERROR(INDEX(Mapping!$H$3:$H$32,MATCH($B2451,Mapping!$G$3:$G$32,0)),IF(LEFT($F2451,3)="P2P",IFERROR(INDEX(Mapping!$E$3:$E$6,MATCH($G2451,Mapping!$D$3:$D$6,0)),IFERROR(INDEX(Mapping!$B$3:$B$13,MATCH($J2451,Mapping!$A$3:$A$13,0)),"(unmapped)")),IFERROR(INDEX(Mapping!$B$17:$B$22,MATCH($F2451,Mapping!$A$17:$A$22,0)),$F2451)&amp;" "&amp;IF($G2451="Banking","Banking",IFERROR(INDEX(Mapping!$E$17:$E$28,MATCH($J2451,Mapping!$D$17:$D$28,0)),"(unmapped)")))))</f>
        <v/>
      </c>
    </row>
    <row r="2452" spans="11:11" x14ac:dyDescent="0.3">
      <c r="K2452" t="str">
        <f>IF($D2452="","",IFERROR(INDEX(Mapping!$H$3:$H$32,MATCH($B2452,Mapping!$G$3:$G$32,0)),IF(LEFT($F2452,3)="P2P",IFERROR(INDEX(Mapping!$E$3:$E$6,MATCH($G2452,Mapping!$D$3:$D$6,0)),IFERROR(INDEX(Mapping!$B$3:$B$13,MATCH($J2452,Mapping!$A$3:$A$13,0)),"(unmapped)")),IFERROR(INDEX(Mapping!$B$17:$B$22,MATCH($F2452,Mapping!$A$17:$A$22,0)),$F2452)&amp;" "&amp;IF($G2452="Banking","Banking",IFERROR(INDEX(Mapping!$E$17:$E$28,MATCH($J2452,Mapping!$D$17:$D$28,0)),"(unmapped)")))))</f>
        <v/>
      </c>
    </row>
    <row r="2453" spans="11:11" x14ac:dyDescent="0.3">
      <c r="K2453" t="str">
        <f>IF($D2453="","",IFERROR(INDEX(Mapping!$H$3:$H$32,MATCH($B2453,Mapping!$G$3:$G$32,0)),IF(LEFT($F2453,3)="P2P",IFERROR(INDEX(Mapping!$E$3:$E$6,MATCH($G2453,Mapping!$D$3:$D$6,0)),IFERROR(INDEX(Mapping!$B$3:$B$13,MATCH($J2453,Mapping!$A$3:$A$13,0)),"(unmapped)")),IFERROR(INDEX(Mapping!$B$17:$B$22,MATCH($F2453,Mapping!$A$17:$A$22,0)),$F2453)&amp;" "&amp;IF($G2453="Banking","Banking",IFERROR(INDEX(Mapping!$E$17:$E$28,MATCH($J2453,Mapping!$D$17:$D$28,0)),"(unmapped)")))))</f>
        <v/>
      </c>
    </row>
    <row r="2454" spans="11:11" x14ac:dyDescent="0.3">
      <c r="K2454" t="str">
        <f>IF($D2454="","",IFERROR(INDEX(Mapping!$H$3:$H$32,MATCH($B2454,Mapping!$G$3:$G$32,0)),IF(LEFT($F2454,3)="P2P",IFERROR(INDEX(Mapping!$E$3:$E$6,MATCH($G2454,Mapping!$D$3:$D$6,0)),IFERROR(INDEX(Mapping!$B$3:$B$13,MATCH($J2454,Mapping!$A$3:$A$13,0)),"(unmapped)")),IFERROR(INDEX(Mapping!$B$17:$B$22,MATCH($F2454,Mapping!$A$17:$A$22,0)),$F2454)&amp;" "&amp;IF($G2454="Banking","Banking",IFERROR(INDEX(Mapping!$E$17:$E$28,MATCH($J2454,Mapping!$D$17:$D$28,0)),"(unmapped)")))))</f>
        <v/>
      </c>
    </row>
    <row r="2455" spans="11:11" x14ac:dyDescent="0.3">
      <c r="K2455" t="str">
        <f>IF($D2455="","",IFERROR(INDEX(Mapping!$H$3:$H$32,MATCH($B2455,Mapping!$G$3:$G$32,0)),IF(LEFT($F2455,3)="P2P",IFERROR(INDEX(Mapping!$E$3:$E$6,MATCH($G2455,Mapping!$D$3:$D$6,0)),IFERROR(INDEX(Mapping!$B$3:$B$13,MATCH($J2455,Mapping!$A$3:$A$13,0)),"(unmapped)")),IFERROR(INDEX(Mapping!$B$17:$B$22,MATCH($F2455,Mapping!$A$17:$A$22,0)),$F2455)&amp;" "&amp;IF($G2455="Banking","Banking",IFERROR(INDEX(Mapping!$E$17:$E$28,MATCH($J2455,Mapping!$D$17:$D$28,0)),"(unmapped)")))))</f>
        <v/>
      </c>
    </row>
    <row r="2456" spans="11:11" x14ac:dyDescent="0.3">
      <c r="K2456" t="str">
        <f>IF($D2456="","",IFERROR(INDEX(Mapping!$H$3:$H$32,MATCH($B2456,Mapping!$G$3:$G$32,0)),IF(LEFT($F2456,3)="P2P",IFERROR(INDEX(Mapping!$E$3:$E$6,MATCH($G2456,Mapping!$D$3:$D$6,0)),IFERROR(INDEX(Mapping!$B$3:$B$13,MATCH($J2456,Mapping!$A$3:$A$13,0)),"(unmapped)")),IFERROR(INDEX(Mapping!$B$17:$B$22,MATCH($F2456,Mapping!$A$17:$A$22,0)),$F2456)&amp;" "&amp;IF($G2456="Banking","Banking",IFERROR(INDEX(Mapping!$E$17:$E$28,MATCH($J2456,Mapping!$D$17:$D$28,0)),"(unmapped)")))))</f>
        <v/>
      </c>
    </row>
    <row r="2457" spans="11:11" x14ac:dyDescent="0.3">
      <c r="K2457" t="str">
        <f>IF($D2457="","",IFERROR(INDEX(Mapping!$H$3:$H$32,MATCH($B2457,Mapping!$G$3:$G$32,0)),IF(LEFT($F2457,3)="P2P",IFERROR(INDEX(Mapping!$E$3:$E$6,MATCH($G2457,Mapping!$D$3:$D$6,0)),IFERROR(INDEX(Mapping!$B$3:$B$13,MATCH($J2457,Mapping!$A$3:$A$13,0)),"(unmapped)")),IFERROR(INDEX(Mapping!$B$17:$B$22,MATCH($F2457,Mapping!$A$17:$A$22,0)),$F2457)&amp;" "&amp;IF($G2457="Banking","Banking",IFERROR(INDEX(Mapping!$E$17:$E$28,MATCH($J2457,Mapping!$D$17:$D$28,0)),"(unmapped)")))))</f>
        <v/>
      </c>
    </row>
    <row r="2458" spans="11:11" x14ac:dyDescent="0.3">
      <c r="K2458" t="str">
        <f>IF($D2458="","",IFERROR(INDEX(Mapping!$H$3:$H$32,MATCH($B2458,Mapping!$G$3:$G$32,0)),IF(LEFT($F2458,3)="P2P",IFERROR(INDEX(Mapping!$E$3:$E$6,MATCH($G2458,Mapping!$D$3:$D$6,0)),IFERROR(INDEX(Mapping!$B$3:$B$13,MATCH($J2458,Mapping!$A$3:$A$13,0)),"(unmapped)")),IFERROR(INDEX(Mapping!$B$17:$B$22,MATCH($F2458,Mapping!$A$17:$A$22,0)),$F2458)&amp;" "&amp;IF($G2458="Banking","Banking",IFERROR(INDEX(Mapping!$E$17:$E$28,MATCH($J2458,Mapping!$D$17:$D$28,0)),"(unmapped)")))))</f>
        <v/>
      </c>
    </row>
    <row r="2459" spans="11:11" x14ac:dyDescent="0.3">
      <c r="K2459" t="str">
        <f>IF($D2459="","",IFERROR(INDEX(Mapping!$H$3:$H$32,MATCH($B2459,Mapping!$G$3:$G$32,0)),IF(LEFT($F2459,3)="P2P",IFERROR(INDEX(Mapping!$E$3:$E$6,MATCH($G2459,Mapping!$D$3:$D$6,0)),IFERROR(INDEX(Mapping!$B$3:$B$13,MATCH($J2459,Mapping!$A$3:$A$13,0)),"(unmapped)")),IFERROR(INDEX(Mapping!$B$17:$B$22,MATCH($F2459,Mapping!$A$17:$A$22,0)),$F2459)&amp;" "&amp;IF($G2459="Banking","Banking",IFERROR(INDEX(Mapping!$E$17:$E$28,MATCH($J2459,Mapping!$D$17:$D$28,0)),"(unmapped)")))))</f>
        <v/>
      </c>
    </row>
    <row r="2460" spans="11:11" x14ac:dyDescent="0.3">
      <c r="K2460" t="str">
        <f>IF($D2460="","",IFERROR(INDEX(Mapping!$H$3:$H$32,MATCH($B2460,Mapping!$G$3:$G$32,0)),IF(LEFT($F2460,3)="P2P",IFERROR(INDEX(Mapping!$E$3:$E$6,MATCH($G2460,Mapping!$D$3:$D$6,0)),IFERROR(INDEX(Mapping!$B$3:$B$13,MATCH($J2460,Mapping!$A$3:$A$13,0)),"(unmapped)")),IFERROR(INDEX(Mapping!$B$17:$B$22,MATCH($F2460,Mapping!$A$17:$A$22,0)),$F2460)&amp;" "&amp;IF($G2460="Banking","Banking",IFERROR(INDEX(Mapping!$E$17:$E$28,MATCH($J2460,Mapping!$D$17:$D$28,0)),"(unmapped)")))))</f>
        <v/>
      </c>
    </row>
    <row r="2461" spans="11:11" x14ac:dyDescent="0.3">
      <c r="K2461" t="str">
        <f>IF($D2461="","",IFERROR(INDEX(Mapping!$H$3:$H$32,MATCH($B2461,Mapping!$G$3:$G$32,0)),IF(LEFT($F2461,3)="P2P",IFERROR(INDEX(Mapping!$E$3:$E$6,MATCH($G2461,Mapping!$D$3:$D$6,0)),IFERROR(INDEX(Mapping!$B$3:$B$13,MATCH($J2461,Mapping!$A$3:$A$13,0)),"(unmapped)")),IFERROR(INDEX(Mapping!$B$17:$B$22,MATCH($F2461,Mapping!$A$17:$A$22,0)),$F2461)&amp;" "&amp;IF($G2461="Banking","Banking",IFERROR(INDEX(Mapping!$E$17:$E$28,MATCH($J2461,Mapping!$D$17:$D$28,0)),"(unmapped)")))))</f>
        <v/>
      </c>
    </row>
    <row r="2462" spans="11:11" x14ac:dyDescent="0.3">
      <c r="K2462" t="str">
        <f>IF($D2462="","",IFERROR(INDEX(Mapping!$H$3:$H$32,MATCH($B2462,Mapping!$G$3:$G$32,0)),IF(LEFT($F2462,3)="P2P",IFERROR(INDEX(Mapping!$E$3:$E$6,MATCH($G2462,Mapping!$D$3:$D$6,0)),IFERROR(INDEX(Mapping!$B$3:$B$13,MATCH($J2462,Mapping!$A$3:$A$13,0)),"(unmapped)")),IFERROR(INDEX(Mapping!$B$17:$B$22,MATCH($F2462,Mapping!$A$17:$A$22,0)),$F2462)&amp;" "&amp;IF($G2462="Banking","Banking",IFERROR(INDEX(Mapping!$E$17:$E$28,MATCH($J2462,Mapping!$D$17:$D$28,0)),"(unmapped)")))))</f>
        <v/>
      </c>
    </row>
    <row r="2463" spans="11:11" x14ac:dyDescent="0.3">
      <c r="K2463" t="str">
        <f>IF($D2463="","",IFERROR(INDEX(Mapping!$H$3:$H$32,MATCH($B2463,Mapping!$G$3:$G$32,0)),IF(LEFT($F2463,3)="P2P",IFERROR(INDEX(Mapping!$E$3:$E$6,MATCH($G2463,Mapping!$D$3:$D$6,0)),IFERROR(INDEX(Mapping!$B$3:$B$13,MATCH($J2463,Mapping!$A$3:$A$13,0)),"(unmapped)")),IFERROR(INDEX(Mapping!$B$17:$B$22,MATCH($F2463,Mapping!$A$17:$A$22,0)),$F2463)&amp;" "&amp;IF($G2463="Banking","Banking",IFERROR(INDEX(Mapping!$E$17:$E$28,MATCH($J2463,Mapping!$D$17:$D$28,0)),"(unmapped)")))))</f>
        <v/>
      </c>
    </row>
    <row r="2464" spans="11:11" x14ac:dyDescent="0.3">
      <c r="K2464" t="str">
        <f>IF($D2464="","",IFERROR(INDEX(Mapping!$H$3:$H$32,MATCH($B2464,Mapping!$G$3:$G$32,0)),IF(LEFT($F2464,3)="P2P",IFERROR(INDEX(Mapping!$E$3:$E$6,MATCH($G2464,Mapping!$D$3:$D$6,0)),IFERROR(INDEX(Mapping!$B$3:$B$13,MATCH($J2464,Mapping!$A$3:$A$13,0)),"(unmapped)")),IFERROR(INDEX(Mapping!$B$17:$B$22,MATCH($F2464,Mapping!$A$17:$A$22,0)),$F2464)&amp;" "&amp;IF($G2464="Banking","Banking",IFERROR(INDEX(Mapping!$E$17:$E$28,MATCH($J2464,Mapping!$D$17:$D$28,0)),"(unmapped)")))))</f>
        <v/>
      </c>
    </row>
    <row r="2465" spans="11:11" x14ac:dyDescent="0.3">
      <c r="K2465" t="str">
        <f>IF($D2465="","",IFERROR(INDEX(Mapping!$H$3:$H$32,MATCH($B2465,Mapping!$G$3:$G$32,0)),IF(LEFT($F2465,3)="P2P",IFERROR(INDEX(Mapping!$E$3:$E$6,MATCH($G2465,Mapping!$D$3:$D$6,0)),IFERROR(INDEX(Mapping!$B$3:$B$13,MATCH($J2465,Mapping!$A$3:$A$13,0)),"(unmapped)")),IFERROR(INDEX(Mapping!$B$17:$B$22,MATCH($F2465,Mapping!$A$17:$A$22,0)),$F2465)&amp;" "&amp;IF($G2465="Banking","Banking",IFERROR(INDEX(Mapping!$E$17:$E$28,MATCH($J2465,Mapping!$D$17:$D$28,0)),"(unmapped)")))))</f>
        <v/>
      </c>
    </row>
    <row r="2466" spans="11:11" x14ac:dyDescent="0.3">
      <c r="K2466" t="str">
        <f>IF($D2466="","",IFERROR(INDEX(Mapping!$H$3:$H$32,MATCH($B2466,Mapping!$G$3:$G$32,0)),IF(LEFT($F2466,3)="P2P",IFERROR(INDEX(Mapping!$E$3:$E$6,MATCH($G2466,Mapping!$D$3:$D$6,0)),IFERROR(INDEX(Mapping!$B$3:$B$13,MATCH($J2466,Mapping!$A$3:$A$13,0)),"(unmapped)")),IFERROR(INDEX(Mapping!$B$17:$B$22,MATCH($F2466,Mapping!$A$17:$A$22,0)),$F2466)&amp;" "&amp;IF($G2466="Banking","Banking",IFERROR(INDEX(Mapping!$E$17:$E$28,MATCH($J2466,Mapping!$D$17:$D$28,0)),"(unmapped)")))))</f>
        <v/>
      </c>
    </row>
    <row r="2467" spans="11:11" x14ac:dyDescent="0.3">
      <c r="K2467" t="str">
        <f>IF($D2467="","",IFERROR(INDEX(Mapping!$H$3:$H$32,MATCH($B2467,Mapping!$G$3:$G$32,0)),IF(LEFT($F2467,3)="P2P",IFERROR(INDEX(Mapping!$E$3:$E$6,MATCH($G2467,Mapping!$D$3:$D$6,0)),IFERROR(INDEX(Mapping!$B$3:$B$13,MATCH($J2467,Mapping!$A$3:$A$13,0)),"(unmapped)")),IFERROR(INDEX(Mapping!$B$17:$B$22,MATCH($F2467,Mapping!$A$17:$A$22,0)),$F2467)&amp;" "&amp;IF($G2467="Banking","Banking",IFERROR(INDEX(Mapping!$E$17:$E$28,MATCH($J2467,Mapping!$D$17:$D$28,0)),"(unmapped)")))))</f>
        <v/>
      </c>
    </row>
    <row r="2468" spans="11:11" x14ac:dyDescent="0.3">
      <c r="K2468" t="str">
        <f>IF($D2468="","",IFERROR(INDEX(Mapping!$H$3:$H$32,MATCH($B2468,Mapping!$G$3:$G$32,0)),IF(LEFT($F2468,3)="P2P",IFERROR(INDEX(Mapping!$E$3:$E$6,MATCH($G2468,Mapping!$D$3:$D$6,0)),IFERROR(INDEX(Mapping!$B$3:$B$13,MATCH($J2468,Mapping!$A$3:$A$13,0)),"(unmapped)")),IFERROR(INDEX(Mapping!$B$17:$B$22,MATCH($F2468,Mapping!$A$17:$A$22,0)),$F2468)&amp;" "&amp;IF($G2468="Banking","Banking",IFERROR(INDEX(Mapping!$E$17:$E$28,MATCH($J2468,Mapping!$D$17:$D$28,0)),"(unmapped)")))))</f>
        <v/>
      </c>
    </row>
    <row r="2469" spans="11:11" x14ac:dyDescent="0.3">
      <c r="K2469" t="str">
        <f>IF($D2469="","",IFERROR(INDEX(Mapping!$H$3:$H$32,MATCH($B2469,Mapping!$G$3:$G$32,0)),IF(LEFT($F2469,3)="P2P",IFERROR(INDEX(Mapping!$E$3:$E$6,MATCH($G2469,Mapping!$D$3:$D$6,0)),IFERROR(INDEX(Mapping!$B$3:$B$13,MATCH($J2469,Mapping!$A$3:$A$13,0)),"(unmapped)")),IFERROR(INDEX(Mapping!$B$17:$B$22,MATCH($F2469,Mapping!$A$17:$A$22,0)),$F2469)&amp;" "&amp;IF($G2469="Banking","Banking",IFERROR(INDEX(Mapping!$E$17:$E$28,MATCH($J2469,Mapping!$D$17:$D$28,0)),"(unmapped)")))))</f>
        <v/>
      </c>
    </row>
    <row r="2470" spans="11:11" x14ac:dyDescent="0.3">
      <c r="K2470" t="str">
        <f>IF($D2470="","",IFERROR(INDEX(Mapping!$H$3:$H$32,MATCH($B2470,Mapping!$G$3:$G$32,0)),IF(LEFT($F2470,3)="P2P",IFERROR(INDEX(Mapping!$E$3:$E$6,MATCH($G2470,Mapping!$D$3:$D$6,0)),IFERROR(INDEX(Mapping!$B$3:$B$13,MATCH($J2470,Mapping!$A$3:$A$13,0)),"(unmapped)")),IFERROR(INDEX(Mapping!$B$17:$B$22,MATCH($F2470,Mapping!$A$17:$A$22,0)),$F2470)&amp;" "&amp;IF($G2470="Banking","Banking",IFERROR(INDEX(Mapping!$E$17:$E$28,MATCH($J2470,Mapping!$D$17:$D$28,0)),"(unmapped)")))))</f>
        <v/>
      </c>
    </row>
    <row r="2471" spans="11:11" x14ac:dyDescent="0.3">
      <c r="K2471" t="str">
        <f>IF($D2471="","",IFERROR(INDEX(Mapping!$H$3:$H$32,MATCH($B2471,Mapping!$G$3:$G$32,0)),IF(LEFT($F2471,3)="P2P",IFERROR(INDEX(Mapping!$E$3:$E$6,MATCH($G2471,Mapping!$D$3:$D$6,0)),IFERROR(INDEX(Mapping!$B$3:$B$13,MATCH($J2471,Mapping!$A$3:$A$13,0)),"(unmapped)")),IFERROR(INDEX(Mapping!$B$17:$B$22,MATCH($F2471,Mapping!$A$17:$A$22,0)),$F2471)&amp;" "&amp;IF($G2471="Banking","Banking",IFERROR(INDEX(Mapping!$E$17:$E$28,MATCH($J2471,Mapping!$D$17:$D$28,0)),"(unmapped)")))))</f>
        <v/>
      </c>
    </row>
    <row r="2472" spans="11:11" x14ac:dyDescent="0.3">
      <c r="K2472" t="str">
        <f>IF($D2472="","",IFERROR(INDEX(Mapping!$H$3:$H$32,MATCH($B2472,Mapping!$G$3:$G$32,0)),IF(LEFT($F2472,3)="P2P",IFERROR(INDEX(Mapping!$E$3:$E$6,MATCH($G2472,Mapping!$D$3:$D$6,0)),IFERROR(INDEX(Mapping!$B$3:$B$13,MATCH($J2472,Mapping!$A$3:$A$13,0)),"(unmapped)")),IFERROR(INDEX(Mapping!$B$17:$B$22,MATCH($F2472,Mapping!$A$17:$A$22,0)),$F2472)&amp;" "&amp;IF($G2472="Banking","Banking",IFERROR(INDEX(Mapping!$E$17:$E$28,MATCH($J2472,Mapping!$D$17:$D$28,0)),"(unmapped)")))))</f>
        <v/>
      </c>
    </row>
    <row r="2473" spans="11:11" x14ac:dyDescent="0.3">
      <c r="K2473" t="str">
        <f>IF($D2473="","",IFERROR(INDEX(Mapping!$H$3:$H$32,MATCH($B2473,Mapping!$G$3:$G$32,0)),IF(LEFT($F2473,3)="P2P",IFERROR(INDEX(Mapping!$E$3:$E$6,MATCH($G2473,Mapping!$D$3:$D$6,0)),IFERROR(INDEX(Mapping!$B$3:$B$13,MATCH($J2473,Mapping!$A$3:$A$13,0)),"(unmapped)")),IFERROR(INDEX(Mapping!$B$17:$B$22,MATCH($F2473,Mapping!$A$17:$A$22,0)),$F2473)&amp;" "&amp;IF($G2473="Banking","Banking",IFERROR(INDEX(Mapping!$E$17:$E$28,MATCH($J2473,Mapping!$D$17:$D$28,0)),"(unmapped)")))))</f>
        <v/>
      </c>
    </row>
    <row r="2474" spans="11:11" x14ac:dyDescent="0.3">
      <c r="K2474" t="str">
        <f>IF($D2474="","",IFERROR(INDEX(Mapping!$H$3:$H$32,MATCH($B2474,Mapping!$G$3:$G$32,0)),IF(LEFT($F2474,3)="P2P",IFERROR(INDEX(Mapping!$E$3:$E$6,MATCH($G2474,Mapping!$D$3:$D$6,0)),IFERROR(INDEX(Mapping!$B$3:$B$13,MATCH($J2474,Mapping!$A$3:$A$13,0)),"(unmapped)")),IFERROR(INDEX(Mapping!$B$17:$B$22,MATCH($F2474,Mapping!$A$17:$A$22,0)),$F2474)&amp;" "&amp;IF($G2474="Banking","Banking",IFERROR(INDEX(Mapping!$E$17:$E$28,MATCH($J2474,Mapping!$D$17:$D$28,0)),"(unmapped)")))))</f>
        <v/>
      </c>
    </row>
    <row r="2475" spans="11:11" x14ac:dyDescent="0.3">
      <c r="K2475" t="str">
        <f>IF($D2475="","",IFERROR(INDEX(Mapping!$H$3:$H$32,MATCH($B2475,Mapping!$G$3:$G$32,0)),IF(LEFT($F2475,3)="P2P",IFERROR(INDEX(Mapping!$E$3:$E$6,MATCH($G2475,Mapping!$D$3:$D$6,0)),IFERROR(INDEX(Mapping!$B$3:$B$13,MATCH($J2475,Mapping!$A$3:$A$13,0)),"(unmapped)")),IFERROR(INDEX(Mapping!$B$17:$B$22,MATCH($F2475,Mapping!$A$17:$A$22,0)),$F2475)&amp;" "&amp;IF($G2475="Banking","Banking",IFERROR(INDEX(Mapping!$E$17:$E$28,MATCH($J2475,Mapping!$D$17:$D$28,0)),"(unmapped)")))))</f>
        <v/>
      </c>
    </row>
    <row r="2476" spans="11:11" x14ac:dyDescent="0.3">
      <c r="K2476" t="str">
        <f>IF($D2476="","",IFERROR(INDEX(Mapping!$H$3:$H$32,MATCH($B2476,Mapping!$G$3:$G$32,0)),IF(LEFT($F2476,3)="P2P",IFERROR(INDEX(Mapping!$E$3:$E$6,MATCH($G2476,Mapping!$D$3:$D$6,0)),IFERROR(INDEX(Mapping!$B$3:$B$13,MATCH($J2476,Mapping!$A$3:$A$13,0)),"(unmapped)")),IFERROR(INDEX(Mapping!$B$17:$B$22,MATCH($F2476,Mapping!$A$17:$A$22,0)),$F2476)&amp;" "&amp;IF($G2476="Banking","Banking",IFERROR(INDEX(Mapping!$E$17:$E$28,MATCH($J2476,Mapping!$D$17:$D$28,0)),"(unmapped)")))))</f>
        <v/>
      </c>
    </row>
    <row r="2477" spans="11:11" x14ac:dyDescent="0.3">
      <c r="K2477" t="str">
        <f>IF($D2477="","",IFERROR(INDEX(Mapping!$H$3:$H$32,MATCH($B2477,Mapping!$G$3:$G$32,0)),IF(LEFT($F2477,3)="P2P",IFERROR(INDEX(Mapping!$E$3:$E$6,MATCH($G2477,Mapping!$D$3:$D$6,0)),IFERROR(INDEX(Mapping!$B$3:$B$13,MATCH($J2477,Mapping!$A$3:$A$13,0)),"(unmapped)")),IFERROR(INDEX(Mapping!$B$17:$B$22,MATCH($F2477,Mapping!$A$17:$A$22,0)),$F2477)&amp;" "&amp;IF($G2477="Banking","Banking",IFERROR(INDEX(Mapping!$E$17:$E$28,MATCH($J2477,Mapping!$D$17:$D$28,0)),"(unmapped)")))))</f>
        <v/>
      </c>
    </row>
    <row r="2478" spans="11:11" x14ac:dyDescent="0.3">
      <c r="K2478" t="str">
        <f>IF($D2478="","",IFERROR(INDEX(Mapping!$H$3:$H$32,MATCH($B2478,Mapping!$G$3:$G$32,0)),IF(LEFT($F2478,3)="P2P",IFERROR(INDEX(Mapping!$E$3:$E$6,MATCH($G2478,Mapping!$D$3:$D$6,0)),IFERROR(INDEX(Mapping!$B$3:$B$13,MATCH($J2478,Mapping!$A$3:$A$13,0)),"(unmapped)")),IFERROR(INDEX(Mapping!$B$17:$B$22,MATCH($F2478,Mapping!$A$17:$A$22,0)),$F2478)&amp;" "&amp;IF($G2478="Banking","Banking",IFERROR(INDEX(Mapping!$E$17:$E$28,MATCH($J2478,Mapping!$D$17:$D$28,0)),"(unmapped)")))))</f>
        <v/>
      </c>
    </row>
    <row r="2479" spans="11:11" x14ac:dyDescent="0.3">
      <c r="K2479" t="str">
        <f>IF($D2479="","",IFERROR(INDEX(Mapping!$H$3:$H$32,MATCH($B2479,Mapping!$G$3:$G$32,0)),IF(LEFT($F2479,3)="P2P",IFERROR(INDEX(Mapping!$E$3:$E$6,MATCH($G2479,Mapping!$D$3:$D$6,0)),IFERROR(INDEX(Mapping!$B$3:$B$13,MATCH($J2479,Mapping!$A$3:$A$13,0)),"(unmapped)")),IFERROR(INDEX(Mapping!$B$17:$B$22,MATCH($F2479,Mapping!$A$17:$A$22,0)),$F2479)&amp;" "&amp;IF($G2479="Banking","Banking",IFERROR(INDEX(Mapping!$E$17:$E$28,MATCH($J2479,Mapping!$D$17:$D$28,0)),"(unmapped)")))))</f>
        <v/>
      </c>
    </row>
    <row r="2480" spans="11:11" x14ac:dyDescent="0.3">
      <c r="K2480" t="str">
        <f>IF($D2480="","",IFERROR(INDEX(Mapping!$H$3:$H$32,MATCH($B2480,Mapping!$G$3:$G$32,0)),IF(LEFT($F2480,3)="P2P",IFERROR(INDEX(Mapping!$E$3:$E$6,MATCH($G2480,Mapping!$D$3:$D$6,0)),IFERROR(INDEX(Mapping!$B$3:$B$13,MATCH($J2480,Mapping!$A$3:$A$13,0)),"(unmapped)")),IFERROR(INDEX(Mapping!$B$17:$B$22,MATCH($F2480,Mapping!$A$17:$A$22,0)),$F2480)&amp;" "&amp;IF($G2480="Banking","Banking",IFERROR(INDEX(Mapping!$E$17:$E$28,MATCH($J2480,Mapping!$D$17:$D$28,0)),"(unmapped)")))))</f>
        <v/>
      </c>
    </row>
    <row r="2481" spans="11:11" x14ac:dyDescent="0.3">
      <c r="K2481" t="str">
        <f>IF($D2481="","",IFERROR(INDEX(Mapping!$H$3:$H$32,MATCH($B2481,Mapping!$G$3:$G$32,0)),IF(LEFT($F2481,3)="P2P",IFERROR(INDEX(Mapping!$E$3:$E$6,MATCH($G2481,Mapping!$D$3:$D$6,0)),IFERROR(INDEX(Mapping!$B$3:$B$13,MATCH($J2481,Mapping!$A$3:$A$13,0)),"(unmapped)")),IFERROR(INDEX(Mapping!$B$17:$B$22,MATCH($F2481,Mapping!$A$17:$A$22,0)),$F2481)&amp;" "&amp;IF($G2481="Banking","Banking",IFERROR(INDEX(Mapping!$E$17:$E$28,MATCH($J2481,Mapping!$D$17:$D$28,0)),"(unmapped)")))))</f>
        <v/>
      </c>
    </row>
    <row r="2482" spans="11:11" x14ac:dyDescent="0.3">
      <c r="K2482" t="str">
        <f>IF($D2482="","",IFERROR(INDEX(Mapping!$H$3:$H$32,MATCH($B2482,Mapping!$G$3:$G$32,0)),IF(LEFT($F2482,3)="P2P",IFERROR(INDEX(Mapping!$E$3:$E$6,MATCH($G2482,Mapping!$D$3:$D$6,0)),IFERROR(INDEX(Mapping!$B$3:$B$13,MATCH($J2482,Mapping!$A$3:$A$13,0)),"(unmapped)")),IFERROR(INDEX(Mapping!$B$17:$B$22,MATCH($F2482,Mapping!$A$17:$A$22,0)),$F2482)&amp;" "&amp;IF($G2482="Banking","Banking",IFERROR(INDEX(Mapping!$E$17:$E$28,MATCH($J2482,Mapping!$D$17:$D$28,0)),"(unmapped)")))))</f>
        <v/>
      </c>
    </row>
    <row r="2483" spans="11:11" x14ac:dyDescent="0.3">
      <c r="K2483" t="str">
        <f>IF($D2483="","",IFERROR(INDEX(Mapping!$H$3:$H$32,MATCH($B2483,Mapping!$G$3:$G$32,0)),IF(LEFT($F2483,3)="P2P",IFERROR(INDEX(Mapping!$E$3:$E$6,MATCH($G2483,Mapping!$D$3:$D$6,0)),IFERROR(INDEX(Mapping!$B$3:$B$13,MATCH($J2483,Mapping!$A$3:$A$13,0)),"(unmapped)")),IFERROR(INDEX(Mapping!$B$17:$B$22,MATCH($F2483,Mapping!$A$17:$A$22,0)),$F2483)&amp;" "&amp;IF($G2483="Banking","Banking",IFERROR(INDEX(Mapping!$E$17:$E$28,MATCH($J2483,Mapping!$D$17:$D$28,0)),"(unmapped)")))))</f>
        <v/>
      </c>
    </row>
    <row r="2484" spans="11:11" x14ac:dyDescent="0.3">
      <c r="K2484" t="str">
        <f>IF($D2484="","",IFERROR(INDEX(Mapping!$H$3:$H$32,MATCH($B2484,Mapping!$G$3:$G$32,0)),IF(LEFT($F2484,3)="P2P",IFERROR(INDEX(Mapping!$E$3:$E$6,MATCH($G2484,Mapping!$D$3:$D$6,0)),IFERROR(INDEX(Mapping!$B$3:$B$13,MATCH($J2484,Mapping!$A$3:$A$13,0)),"(unmapped)")),IFERROR(INDEX(Mapping!$B$17:$B$22,MATCH($F2484,Mapping!$A$17:$A$22,0)),$F2484)&amp;" "&amp;IF($G2484="Banking","Banking",IFERROR(INDEX(Mapping!$E$17:$E$28,MATCH($J2484,Mapping!$D$17:$D$28,0)),"(unmapped)")))))</f>
        <v/>
      </c>
    </row>
    <row r="2485" spans="11:11" x14ac:dyDescent="0.3">
      <c r="K2485" t="str">
        <f>IF($D2485="","",IFERROR(INDEX(Mapping!$H$3:$H$32,MATCH($B2485,Mapping!$G$3:$G$32,0)),IF(LEFT($F2485,3)="P2P",IFERROR(INDEX(Mapping!$E$3:$E$6,MATCH($G2485,Mapping!$D$3:$D$6,0)),IFERROR(INDEX(Mapping!$B$3:$B$13,MATCH($J2485,Mapping!$A$3:$A$13,0)),"(unmapped)")),IFERROR(INDEX(Mapping!$B$17:$B$22,MATCH($F2485,Mapping!$A$17:$A$22,0)),$F2485)&amp;" "&amp;IF($G2485="Banking","Banking",IFERROR(INDEX(Mapping!$E$17:$E$28,MATCH($J2485,Mapping!$D$17:$D$28,0)),"(unmapped)")))))</f>
        <v/>
      </c>
    </row>
    <row r="2486" spans="11:11" x14ac:dyDescent="0.3">
      <c r="K2486" t="str">
        <f>IF($D2486="","",IFERROR(INDEX(Mapping!$H$3:$H$32,MATCH($B2486,Mapping!$G$3:$G$32,0)),IF(LEFT($F2486,3)="P2P",IFERROR(INDEX(Mapping!$E$3:$E$6,MATCH($G2486,Mapping!$D$3:$D$6,0)),IFERROR(INDEX(Mapping!$B$3:$B$13,MATCH($J2486,Mapping!$A$3:$A$13,0)),"(unmapped)")),IFERROR(INDEX(Mapping!$B$17:$B$22,MATCH($F2486,Mapping!$A$17:$A$22,0)),$F2486)&amp;" "&amp;IF($G2486="Banking","Banking",IFERROR(INDEX(Mapping!$E$17:$E$28,MATCH($J2486,Mapping!$D$17:$D$28,0)),"(unmapped)")))))</f>
        <v/>
      </c>
    </row>
    <row r="2487" spans="11:11" x14ac:dyDescent="0.3">
      <c r="K2487" t="str">
        <f>IF($D2487="","",IFERROR(INDEX(Mapping!$H$3:$H$32,MATCH($B2487,Mapping!$G$3:$G$32,0)),IF(LEFT($F2487,3)="P2P",IFERROR(INDEX(Mapping!$E$3:$E$6,MATCH($G2487,Mapping!$D$3:$D$6,0)),IFERROR(INDEX(Mapping!$B$3:$B$13,MATCH($J2487,Mapping!$A$3:$A$13,0)),"(unmapped)")),IFERROR(INDEX(Mapping!$B$17:$B$22,MATCH($F2487,Mapping!$A$17:$A$22,0)),$F2487)&amp;" "&amp;IF($G2487="Banking","Banking",IFERROR(INDEX(Mapping!$E$17:$E$28,MATCH($J2487,Mapping!$D$17:$D$28,0)),"(unmapped)")))))</f>
        <v/>
      </c>
    </row>
    <row r="2488" spans="11:11" x14ac:dyDescent="0.3">
      <c r="K2488" t="str">
        <f>IF($D2488="","",IFERROR(INDEX(Mapping!$H$3:$H$32,MATCH($B2488,Mapping!$G$3:$G$32,0)),IF(LEFT($F2488,3)="P2P",IFERROR(INDEX(Mapping!$E$3:$E$6,MATCH($G2488,Mapping!$D$3:$D$6,0)),IFERROR(INDEX(Mapping!$B$3:$B$13,MATCH($J2488,Mapping!$A$3:$A$13,0)),"(unmapped)")),IFERROR(INDEX(Mapping!$B$17:$B$22,MATCH($F2488,Mapping!$A$17:$A$22,0)),$F2488)&amp;" "&amp;IF($G2488="Banking","Banking",IFERROR(INDEX(Mapping!$E$17:$E$28,MATCH($J2488,Mapping!$D$17:$D$28,0)),"(unmapped)")))))</f>
        <v/>
      </c>
    </row>
    <row r="2489" spans="11:11" x14ac:dyDescent="0.3">
      <c r="K2489" t="str">
        <f>IF($D2489="","",IFERROR(INDEX(Mapping!$H$3:$H$32,MATCH($B2489,Mapping!$G$3:$G$32,0)),IF(LEFT($F2489,3)="P2P",IFERROR(INDEX(Mapping!$E$3:$E$6,MATCH($G2489,Mapping!$D$3:$D$6,0)),IFERROR(INDEX(Mapping!$B$3:$B$13,MATCH($J2489,Mapping!$A$3:$A$13,0)),"(unmapped)")),IFERROR(INDEX(Mapping!$B$17:$B$22,MATCH($F2489,Mapping!$A$17:$A$22,0)),$F2489)&amp;" "&amp;IF($G2489="Banking","Banking",IFERROR(INDEX(Mapping!$E$17:$E$28,MATCH($J2489,Mapping!$D$17:$D$28,0)),"(unmapped)")))))</f>
        <v/>
      </c>
    </row>
    <row r="2490" spans="11:11" x14ac:dyDescent="0.3">
      <c r="K2490" t="str">
        <f>IF($D2490="","",IFERROR(INDEX(Mapping!$H$3:$H$32,MATCH($B2490,Mapping!$G$3:$G$32,0)),IF(LEFT($F2490,3)="P2P",IFERROR(INDEX(Mapping!$E$3:$E$6,MATCH($G2490,Mapping!$D$3:$D$6,0)),IFERROR(INDEX(Mapping!$B$3:$B$13,MATCH($J2490,Mapping!$A$3:$A$13,0)),"(unmapped)")),IFERROR(INDEX(Mapping!$B$17:$B$22,MATCH($F2490,Mapping!$A$17:$A$22,0)),$F2490)&amp;" "&amp;IF($G2490="Banking","Banking",IFERROR(INDEX(Mapping!$E$17:$E$28,MATCH($J2490,Mapping!$D$17:$D$28,0)),"(unmapped)")))))</f>
        <v/>
      </c>
    </row>
    <row r="2491" spans="11:11" x14ac:dyDescent="0.3">
      <c r="K2491" t="str">
        <f>IF($D2491="","",IFERROR(INDEX(Mapping!$H$3:$H$32,MATCH($B2491,Mapping!$G$3:$G$32,0)),IF(LEFT($F2491,3)="P2P",IFERROR(INDEX(Mapping!$E$3:$E$6,MATCH($G2491,Mapping!$D$3:$D$6,0)),IFERROR(INDEX(Mapping!$B$3:$B$13,MATCH($J2491,Mapping!$A$3:$A$13,0)),"(unmapped)")),IFERROR(INDEX(Mapping!$B$17:$B$22,MATCH($F2491,Mapping!$A$17:$A$22,0)),$F2491)&amp;" "&amp;IF($G2491="Banking","Banking",IFERROR(INDEX(Mapping!$E$17:$E$28,MATCH($J2491,Mapping!$D$17:$D$28,0)),"(unmapped)")))))</f>
        <v/>
      </c>
    </row>
    <row r="2492" spans="11:11" x14ac:dyDescent="0.3">
      <c r="K2492" t="str">
        <f>IF($D2492="","",IFERROR(INDEX(Mapping!$H$3:$H$32,MATCH($B2492,Mapping!$G$3:$G$32,0)),IF(LEFT($F2492,3)="P2P",IFERROR(INDEX(Mapping!$E$3:$E$6,MATCH($G2492,Mapping!$D$3:$D$6,0)),IFERROR(INDEX(Mapping!$B$3:$B$13,MATCH($J2492,Mapping!$A$3:$A$13,0)),"(unmapped)")),IFERROR(INDEX(Mapping!$B$17:$B$22,MATCH($F2492,Mapping!$A$17:$A$22,0)),$F2492)&amp;" "&amp;IF($G2492="Banking","Banking",IFERROR(INDEX(Mapping!$E$17:$E$28,MATCH($J2492,Mapping!$D$17:$D$28,0)),"(unmapped)")))))</f>
        <v/>
      </c>
    </row>
    <row r="2493" spans="11:11" x14ac:dyDescent="0.3">
      <c r="K2493" t="str">
        <f>IF($D2493="","",IFERROR(INDEX(Mapping!$H$3:$H$32,MATCH($B2493,Mapping!$G$3:$G$32,0)),IF(LEFT($F2493,3)="P2P",IFERROR(INDEX(Mapping!$E$3:$E$6,MATCH($G2493,Mapping!$D$3:$D$6,0)),IFERROR(INDEX(Mapping!$B$3:$B$13,MATCH($J2493,Mapping!$A$3:$A$13,0)),"(unmapped)")),IFERROR(INDEX(Mapping!$B$17:$B$22,MATCH($F2493,Mapping!$A$17:$A$22,0)),$F2493)&amp;" "&amp;IF($G2493="Banking","Banking",IFERROR(INDEX(Mapping!$E$17:$E$28,MATCH($J2493,Mapping!$D$17:$D$28,0)),"(unmapped)")))))</f>
        <v/>
      </c>
    </row>
    <row r="2494" spans="11:11" x14ac:dyDescent="0.3">
      <c r="K2494" t="str">
        <f>IF($D2494="","",IFERROR(INDEX(Mapping!$H$3:$H$32,MATCH($B2494,Mapping!$G$3:$G$32,0)),IF(LEFT($F2494,3)="P2P",IFERROR(INDEX(Mapping!$E$3:$E$6,MATCH($G2494,Mapping!$D$3:$D$6,0)),IFERROR(INDEX(Mapping!$B$3:$B$13,MATCH($J2494,Mapping!$A$3:$A$13,0)),"(unmapped)")),IFERROR(INDEX(Mapping!$B$17:$B$22,MATCH($F2494,Mapping!$A$17:$A$22,0)),$F2494)&amp;" "&amp;IF($G2494="Banking","Banking",IFERROR(INDEX(Mapping!$E$17:$E$28,MATCH($J2494,Mapping!$D$17:$D$28,0)),"(unmapped)")))))</f>
        <v/>
      </c>
    </row>
    <row r="2495" spans="11:11" x14ac:dyDescent="0.3">
      <c r="K2495" t="str">
        <f>IF($D2495="","",IFERROR(INDEX(Mapping!$H$3:$H$32,MATCH($B2495,Mapping!$G$3:$G$32,0)),IF(LEFT($F2495,3)="P2P",IFERROR(INDEX(Mapping!$E$3:$E$6,MATCH($G2495,Mapping!$D$3:$D$6,0)),IFERROR(INDEX(Mapping!$B$3:$B$13,MATCH($J2495,Mapping!$A$3:$A$13,0)),"(unmapped)")),IFERROR(INDEX(Mapping!$B$17:$B$22,MATCH($F2495,Mapping!$A$17:$A$22,0)),$F2495)&amp;" "&amp;IF($G2495="Banking","Banking",IFERROR(INDEX(Mapping!$E$17:$E$28,MATCH($J2495,Mapping!$D$17:$D$28,0)),"(unmapped)")))))</f>
        <v/>
      </c>
    </row>
    <row r="2496" spans="11:11" x14ac:dyDescent="0.3">
      <c r="K2496" t="str">
        <f>IF($D2496="","",IFERROR(INDEX(Mapping!$H$3:$H$32,MATCH($B2496,Mapping!$G$3:$G$32,0)),IF(LEFT($F2496,3)="P2P",IFERROR(INDEX(Mapping!$E$3:$E$6,MATCH($G2496,Mapping!$D$3:$D$6,0)),IFERROR(INDEX(Mapping!$B$3:$B$13,MATCH($J2496,Mapping!$A$3:$A$13,0)),"(unmapped)")),IFERROR(INDEX(Mapping!$B$17:$B$22,MATCH($F2496,Mapping!$A$17:$A$22,0)),$F2496)&amp;" "&amp;IF($G2496="Banking","Banking",IFERROR(INDEX(Mapping!$E$17:$E$28,MATCH($J2496,Mapping!$D$17:$D$28,0)),"(unmapped)")))))</f>
        <v/>
      </c>
    </row>
    <row r="2497" spans="11:11" x14ac:dyDescent="0.3">
      <c r="K2497" t="str">
        <f>IF($D2497="","",IFERROR(INDEX(Mapping!$H$3:$H$32,MATCH($B2497,Mapping!$G$3:$G$32,0)),IF(LEFT($F2497,3)="P2P",IFERROR(INDEX(Mapping!$E$3:$E$6,MATCH($G2497,Mapping!$D$3:$D$6,0)),IFERROR(INDEX(Mapping!$B$3:$B$13,MATCH($J2497,Mapping!$A$3:$A$13,0)),"(unmapped)")),IFERROR(INDEX(Mapping!$B$17:$B$22,MATCH($F2497,Mapping!$A$17:$A$22,0)),$F2497)&amp;" "&amp;IF($G2497="Banking","Banking",IFERROR(INDEX(Mapping!$E$17:$E$28,MATCH($J2497,Mapping!$D$17:$D$28,0)),"(unmapped)")))))</f>
        <v/>
      </c>
    </row>
    <row r="2498" spans="11:11" x14ac:dyDescent="0.3">
      <c r="K2498" t="str">
        <f>IF($D2498="","",IFERROR(INDEX(Mapping!$H$3:$H$32,MATCH($B2498,Mapping!$G$3:$G$32,0)),IF(LEFT($F2498,3)="P2P",IFERROR(INDEX(Mapping!$E$3:$E$6,MATCH($G2498,Mapping!$D$3:$D$6,0)),IFERROR(INDEX(Mapping!$B$3:$B$13,MATCH($J2498,Mapping!$A$3:$A$13,0)),"(unmapped)")),IFERROR(INDEX(Mapping!$B$17:$B$22,MATCH($F2498,Mapping!$A$17:$A$22,0)),$F2498)&amp;" "&amp;IF($G2498="Banking","Banking",IFERROR(INDEX(Mapping!$E$17:$E$28,MATCH($J2498,Mapping!$D$17:$D$28,0)),"(unmapped)")))))</f>
        <v/>
      </c>
    </row>
    <row r="2499" spans="11:11" x14ac:dyDescent="0.3">
      <c r="K2499" t="str">
        <f>IF($D2499="","",IFERROR(INDEX(Mapping!$H$3:$H$32,MATCH($B2499,Mapping!$G$3:$G$32,0)),IF(LEFT($F2499,3)="P2P",IFERROR(INDEX(Mapping!$E$3:$E$6,MATCH($G2499,Mapping!$D$3:$D$6,0)),IFERROR(INDEX(Mapping!$B$3:$B$13,MATCH($J2499,Mapping!$A$3:$A$13,0)),"(unmapped)")),IFERROR(INDEX(Mapping!$B$17:$B$22,MATCH($F2499,Mapping!$A$17:$A$22,0)),$F2499)&amp;" "&amp;IF($G2499="Banking","Banking",IFERROR(INDEX(Mapping!$E$17:$E$28,MATCH($J2499,Mapping!$D$17:$D$28,0)),"(unmapped)")))))</f>
        <v/>
      </c>
    </row>
    <row r="2500" spans="11:11" x14ac:dyDescent="0.3">
      <c r="K2500" t="str">
        <f>IF($D2500="","",IFERROR(INDEX(Mapping!$H$3:$H$32,MATCH($B2500,Mapping!$G$3:$G$32,0)),IF(LEFT($F2500,3)="P2P",IFERROR(INDEX(Mapping!$E$3:$E$6,MATCH($G2500,Mapping!$D$3:$D$6,0)),IFERROR(INDEX(Mapping!$B$3:$B$13,MATCH($J2500,Mapping!$A$3:$A$13,0)),"(unmapped)")),IFERROR(INDEX(Mapping!$B$17:$B$22,MATCH($F2500,Mapping!$A$17:$A$22,0)),$F2500)&amp;" "&amp;IF($G2500="Banking","Banking",IFERROR(INDEX(Mapping!$E$17:$E$28,MATCH($J2500,Mapping!$D$17:$D$28,0)),"(unmapped)")))))</f>
        <v/>
      </c>
    </row>
    <row r="2501" spans="11:11" x14ac:dyDescent="0.3">
      <c r="K2501" t="str">
        <f>IF($D2501="","",IFERROR(INDEX(Mapping!$H$3:$H$32,MATCH($B2501,Mapping!$G$3:$G$32,0)),IF(LEFT($F2501,3)="P2P",IFERROR(INDEX(Mapping!$E$3:$E$6,MATCH($G2501,Mapping!$D$3:$D$6,0)),IFERROR(INDEX(Mapping!$B$3:$B$13,MATCH($J2501,Mapping!$A$3:$A$13,0)),"(unmapped)")),IFERROR(INDEX(Mapping!$B$17:$B$22,MATCH($F2501,Mapping!$A$17:$A$22,0)),$F2501)&amp;" "&amp;IF($G2501="Banking","Banking",IFERROR(INDEX(Mapping!$E$17:$E$28,MATCH($J2501,Mapping!$D$17:$D$28,0)),"(unmapped)")))))</f>
        <v/>
      </c>
    </row>
    <row r="2502" spans="11:11" x14ac:dyDescent="0.3">
      <c r="K2502" t="str">
        <f>IF($D2502="","",IFERROR(INDEX(Mapping!$H$3:$H$32,MATCH($B2502,Mapping!$G$3:$G$32,0)),IF(LEFT($F2502,3)="P2P",IFERROR(INDEX(Mapping!$E$3:$E$6,MATCH($G2502,Mapping!$D$3:$D$6,0)),IFERROR(INDEX(Mapping!$B$3:$B$13,MATCH($J2502,Mapping!$A$3:$A$13,0)),"(unmapped)")),IFERROR(INDEX(Mapping!$B$17:$B$22,MATCH($F2502,Mapping!$A$17:$A$22,0)),$F2502)&amp;" "&amp;IF($G2502="Banking","Banking",IFERROR(INDEX(Mapping!$E$17:$E$28,MATCH($J2502,Mapping!$D$17:$D$28,0)),"(unmapped)")))))</f>
        <v/>
      </c>
    </row>
    <row r="2503" spans="11:11" x14ac:dyDescent="0.3">
      <c r="K2503" t="str">
        <f>IF($D2503="","",IFERROR(INDEX(Mapping!$H$3:$H$32,MATCH($B2503,Mapping!$G$3:$G$32,0)),IF(LEFT($F2503,3)="P2P",IFERROR(INDEX(Mapping!$E$3:$E$6,MATCH($G2503,Mapping!$D$3:$D$6,0)),IFERROR(INDEX(Mapping!$B$3:$B$13,MATCH($J2503,Mapping!$A$3:$A$13,0)),"(unmapped)")),IFERROR(INDEX(Mapping!$B$17:$B$22,MATCH($F2503,Mapping!$A$17:$A$22,0)),$F2503)&amp;" "&amp;IF($G2503="Banking","Banking",IFERROR(INDEX(Mapping!$E$17:$E$28,MATCH($J2503,Mapping!$D$17:$D$28,0)),"(unmapped)")))))</f>
        <v/>
      </c>
    </row>
    <row r="2504" spans="11:11" x14ac:dyDescent="0.3">
      <c r="K2504" t="str">
        <f>IF($D2504="","",IFERROR(INDEX(Mapping!$H$3:$H$32,MATCH($B2504,Mapping!$G$3:$G$32,0)),IF(LEFT($F2504,3)="P2P",IFERROR(INDEX(Mapping!$E$3:$E$6,MATCH($G2504,Mapping!$D$3:$D$6,0)),IFERROR(INDEX(Mapping!$B$3:$B$13,MATCH($J2504,Mapping!$A$3:$A$13,0)),"(unmapped)")),IFERROR(INDEX(Mapping!$B$17:$B$22,MATCH($F2504,Mapping!$A$17:$A$22,0)),$F2504)&amp;" "&amp;IF($G2504="Banking","Banking",IFERROR(INDEX(Mapping!$E$17:$E$28,MATCH($J2504,Mapping!$D$17:$D$28,0)),"(unmapped)")))))</f>
        <v/>
      </c>
    </row>
    <row r="2505" spans="11:11" x14ac:dyDescent="0.3">
      <c r="K2505" t="str">
        <f>IF($D2505="","",IFERROR(INDEX(Mapping!$H$3:$H$32,MATCH($B2505,Mapping!$G$3:$G$32,0)),IF(LEFT($F2505,3)="P2P",IFERROR(INDEX(Mapping!$E$3:$E$6,MATCH($G2505,Mapping!$D$3:$D$6,0)),IFERROR(INDEX(Mapping!$B$3:$B$13,MATCH($J2505,Mapping!$A$3:$A$13,0)),"(unmapped)")),IFERROR(INDEX(Mapping!$B$17:$B$22,MATCH($F2505,Mapping!$A$17:$A$22,0)),$F2505)&amp;" "&amp;IF($G2505="Banking","Banking",IFERROR(INDEX(Mapping!$E$17:$E$28,MATCH($J2505,Mapping!$D$17:$D$28,0)),"(unmapped)")))))</f>
        <v/>
      </c>
    </row>
    <row r="2506" spans="11:11" x14ac:dyDescent="0.3">
      <c r="K2506" t="str">
        <f>IF($D2506="","",IFERROR(INDEX(Mapping!$H$3:$H$32,MATCH($B2506,Mapping!$G$3:$G$32,0)),IF(LEFT($F2506,3)="P2P",IFERROR(INDEX(Mapping!$E$3:$E$6,MATCH($G2506,Mapping!$D$3:$D$6,0)),IFERROR(INDEX(Mapping!$B$3:$B$13,MATCH($J2506,Mapping!$A$3:$A$13,0)),"(unmapped)")),IFERROR(INDEX(Mapping!$B$17:$B$22,MATCH($F2506,Mapping!$A$17:$A$22,0)),$F2506)&amp;" "&amp;IF($G2506="Banking","Banking",IFERROR(INDEX(Mapping!$E$17:$E$28,MATCH($J2506,Mapping!$D$17:$D$28,0)),"(unmapped)")))))</f>
        <v/>
      </c>
    </row>
    <row r="2507" spans="11:11" x14ac:dyDescent="0.3">
      <c r="K2507" t="str">
        <f>IF($D2507="","",IFERROR(INDEX(Mapping!$H$3:$H$32,MATCH($B2507,Mapping!$G$3:$G$32,0)),IF(LEFT($F2507,3)="P2P",IFERROR(INDEX(Mapping!$E$3:$E$6,MATCH($G2507,Mapping!$D$3:$D$6,0)),IFERROR(INDEX(Mapping!$B$3:$B$13,MATCH($J2507,Mapping!$A$3:$A$13,0)),"(unmapped)")),IFERROR(INDEX(Mapping!$B$17:$B$22,MATCH($F2507,Mapping!$A$17:$A$22,0)),$F2507)&amp;" "&amp;IF($G2507="Banking","Banking",IFERROR(INDEX(Mapping!$E$17:$E$28,MATCH($J2507,Mapping!$D$17:$D$28,0)),"(unmapped)")))))</f>
        <v/>
      </c>
    </row>
    <row r="2508" spans="11:11" x14ac:dyDescent="0.3">
      <c r="K2508" t="str">
        <f>IF($D2508="","",IFERROR(INDEX(Mapping!$H$3:$H$32,MATCH($B2508,Mapping!$G$3:$G$32,0)),IF(LEFT($F2508,3)="P2P",IFERROR(INDEX(Mapping!$E$3:$E$6,MATCH($G2508,Mapping!$D$3:$D$6,0)),IFERROR(INDEX(Mapping!$B$3:$B$13,MATCH($J2508,Mapping!$A$3:$A$13,0)),"(unmapped)")),IFERROR(INDEX(Mapping!$B$17:$B$22,MATCH($F2508,Mapping!$A$17:$A$22,0)),$F2508)&amp;" "&amp;IF($G2508="Banking","Banking",IFERROR(INDEX(Mapping!$E$17:$E$28,MATCH($J2508,Mapping!$D$17:$D$28,0)),"(unmapped)")))))</f>
        <v/>
      </c>
    </row>
    <row r="2509" spans="11:11" x14ac:dyDescent="0.3">
      <c r="K2509" t="str">
        <f>IF($D2509="","",IFERROR(INDEX(Mapping!$H$3:$H$32,MATCH($B2509,Mapping!$G$3:$G$32,0)),IF(LEFT($F2509,3)="P2P",IFERROR(INDEX(Mapping!$E$3:$E$6,MATCH($G2509,Mapping!$D$3:$D$6,0)),IFERROR(INDEX(Mapping!$B$3:$B$13,MATCH($J2509,Mapping!$A$3:$A$13,0)),"(unmapped)")),IFERROR(INDEX(Mapping!$B$17:$B$22,MATCH($F2509,Mapping!$A$17:$A$22,0)),$F2509)&amp;" "&amp;IF($G2509="Banking","Banking",IFERROR(INDEX(Mapping!$E$17:$E$28,MATCH($J2509,Mapping!$D$17:$D$28,0)),"(unmapped)")))))</f>
        <v/>
      </c>
    </row>
    <row r="2510" spans="11:11" x14ac:dyDescent="0.3">
      <c r="K2510" t="str">
        <f>IF($D2510="","",IFERROR(INDEX(Mapping!$H$3:$H$32,MATCH($B2510,Mapping!$G$3:$G$32,0)),IF(LEFT($F2510,3)="P2P",IFERROR(INDEX(Mapping!$E$3:$E$6,MATCH($G2510,Mapping!$D$3:$D$6,0)),IFERROR(INDEX(Mapping!$B$3:$B$13,MATCH($J2510,Mapping!$A$3:$A$13,0)),"(unmapped)")),IFERROR(INDEX(Mapping!$B$17:$B$22,MATCH($F2510,Mapping!$A$17:$A$22,0)),$F2510)&amp;" "&amp;IF($G2510="Banking","Banking",IFERROR(INDEX(Mapping!$E$17:$E$28,MATCH($J2510,Mapping!$D$17:$D$28,0)),"(unmapped)")))))</f>
        <v/>
      </c>
    </row>
    <row r="2511" spans="11:11" x14ac:dyDescent="0.3">
      <c r="K2511" t="str">
        <f>IF($D2511="","",IFERROR(INDEX(Mapping!$H$3:$H$32,MATCH($B2511,Mapping!$G$3:$G$32,0)),IF(LEFT($F2511,3)="P2P",IFERROR(INDEX(Mapping!$E$3:$E$6,MATCH($G2511,Mapping!$D$3:$D$6,0)),IFERROR(INDEX(Mapping!$B$3:$B$13,MATCH($J2511,Mapping!$A$3:$A$13,0)),"(unmapped)")),IFERROR(INDEX(Mapping!$B$17:$B$22,MATCH($F2511,Mapping!$A$17:$A$22,0)),$F2511)&amp;" "&amp;IF($G2511="Banking","Banking",IFERROR(INDEX(Mapping!$E$17:$E$28,MATCH($J2511,Mapping!$D$17:$D$28,0)),"(unmapped)")))))</f>
        <v/>
      </c>
    </row>
    <row r="2512" spans="11:11" x14ac:dyDescent="0.3">
      <c r="K2512" t="str">
        <f>IF($D2512="","",IFERROR(INDEX(Mapping!$H$3:$H$32,MATCH($B2512,Mapping!$G$3:$G$32,0)),IF(LEFT($F2512,3)="P2P",IFERROR(INDEX(Mapping!$E$3:$E$6,MATCH($G2512,Mapping!$D$3:$D$6,0)),IFERROR(INDEX(Mapping!$B$3:$B$13,MATCH($J2512,Mapping!$A$3:$A$13,0)),"(unmapped)")),IFERROR(INDEX(Mapping!$B$17:$B$22,MATCH($F2512,Mapping!$A$17:$A$22,0)),$F2512)&amp;" "&amp;IF($G2512="Banking","Banking",IFERROR(INDEX(Mapping!$E$17:$E$28,MATCH($J2512,Mapping!$D$17:$D$28,0)),"(unmapped)")))))</f>
        <v/>
      </c>
    </row>
    <row r="2513" spans="11:11" x14ac:dyDescent="0.3">
      <c r="K2513" t="str">
        <f>IF($D2513="","",IFERROR(INDEX(Mapping!$H$3:$H$32,MATCH($B2513,Mapping!$G$3:$G$32,0)),IF(LEFT($F2513,3)="P2P",IFERROR(INDEX(Mapping!$E$3:$E$6,MATCH($G2513,Mapping!$D$3:$D$6,0)),IFERROR(INDEX(Mapping!$B$3:$B$13,MATCH($J2513,Mapping!$A$3:$A$13,0)),"(unmapped)")),IFERROR(INDEX(Mapping!$B$17:$B$22,MATCH($F2513,Mapping!$A$17:$A$22,0)),$F2513)&amp;" "&amp;IF($G2513="Banking","Banking",IFERROR(INDEX(Mapping!$E$17:$E$28,MATCH($J2513,Mapping!$D$17:$D$28,0)),"(unmapped)")))))</f>
        <v/>
      </c>
    </row>
    <row r="2514" spans="11:11" x14ac:dyDescent="0.3">
      <c r="K2514" t="str">
        <f>IF($D2514="","",IFERROR(INDEX(Mapping!$H$3:$H$32,MATCH($B2514,Mapping!$G$3:$G$32,0)),IF(LEFT($F2514,3)="P2P",IFERROR(INDEX(Mapping!$E$3:$E$6,MATCH($G2514,Mapping!$D$3:$D$6,0)),IFERROR(INDEX(Mapping!$B$3:$B$13,MATCH($J2514,Mapping!$A$3:$A$13,0)),"(unmapped)")),IFERROR(INDEX(Mapping!$B$17:$B$22,MATCH($F2514,Mapping!$A$17:$A$22,0)),$F2514)&amp;" "&amp;IF($G2514="Banking","Banking",IFERROR(INDEX(Mapping!$E$17:$E$28,MATCH($J2514,Mapping!$D$17:$D$28,0)),"(unmapped)")))))</f>
        <v/>
      </c>
    </row>
    <row r="2515" spans="11:11" x14ac:dyDescent="0.3">
      <c r="K2515" t="str">
        <f>IF($D2515="","",IFERROR(INDEX(Mapping!$H$3:$H$32,MATCH($B2515,Mapping!$G$3:$G$32,0)),IF(LEFT($F2515,3)="P2P",IFERROR(INDEX(Mapping!$E$3:$E$6,MATCH($G2515,Mapping!$D$3:$D$6,0)),IFERROR(INDEX(Mapping!$B$3:$B$13,MATCH($J2515,Mapping!$A$3:$A$13,0)),"(unmapped)")),IFERROR(INDEX(Mapping!$B$17:$B$22,MATCH($F2515,Mapping!$A$17:$A$22,0)),$F2515)&amp;" "&amp;IF($G2515="Banking","Banking",IFERROR(INDEX(Mapping!$E$17:$E$28,MATCH($J2515,Mapping!$D$17:$D$28,0)),"(unmapped)")))))</f>
        <v/>
      </c>
    </row>
    <row r="2516" spans="11:11" x14ac:dyDescent="0.3">
      <c r="K2516" t="str">
        <f>IF($D2516="","",IFERROR(INDEX(Mapping!$H$3:$H$32,MATCH($B2516,Mapping!$G$3:$G$32,0)),IF(LEFT($F2516,3)="P2P",IFERROR(INDEX(Mapping!$E$3:$E$6,MATCH($G2516,Mapping!$D$3:$D$6,0)),IFERROR(INDEX(Mapping!$B$3:$B$13,MATCH($J2516,Mapping!$A$3:$A$13,0)),"(unmapped)")),IFERROR(INDEX(Mapping!$B$17:$B$22,MATCH($F2516,Mapping!$A$17:$A$22,0)),$F2516)&amp;" "&amp;IF($G2516="Banking","Banking",IFERROR(INDEX(Mapping!$E$17:$E$28,MATCH($J2516,Mapping!$D$17:$D$28,0)),"(unmapped)")))))</f>
        <v/>
      </c>
    </row>
    <row r="2517" spans="11:11" x14ac:dyDescent="0.3">
      <c r="K2517" t="str">
        <f>IF($D2517="","",IFERROR(INDEX(Mapping!$H$3:$H$32,MATCH($B2517,Mapping!$G$3:$G$32,0)),IF(LEFT($F2517,3)="P2P",IFERROR(INDEX(Mapping!$E$3:$E$6,MATCH($G2517,Mapping!$D$3:$D$6,0)),IFERROR(INDEX(Mapping!$B$3:$B$13,MATCH($J2517,Mapping!$A$3:$A$13,0)),"(unmapped)")),IFERROR(INDEX(Mapping!$B$17:$B$22,MATCH($F2517,Mapping!$A$17:$A$22,0)),$F2517)&amp;" "&amp;IF($G2517="Banking","Banking",IFERROR(INDEX(Mapping!$E$17:$E$28,MATCH($J2517,Mapping!$D$17:$D$28,0)),"(unmapped)")))))</f>
        <v/>
      </c>
    </row>
    <row r="2518" spans="11:11" x14ac:dyDescent="0.3">
      <c r="K2518" t="str">
        <f>IF($D2518="","",IFERROR(INDEX(Mapping!$H$3:$H$32,MATCH($B2518,Mapping!$G$3:$G$32,0)),IF(LEFT($F2518,3)="P2P",IFERROR(INDEX(Mapping!$E$3:$E$6,MATCH($G2518,Mapping!$D$3:$D$6,0)),IFERROR(INDEX(Mapping!$B$3:$B$13,MATCH($J2518,Mapping!$A$3:$A$13,0)),"(unmapped)")),IFERROR(INDEX(Mapping!$B$17:$B$22,MATCH($F2518,Mapping!$A$17:$A$22,0)),$F2518)&amp;" "&amp;IF($G2518="Banking","Banking",IFERROR(INDEX(Mapping!$E$17:$E$28,MATCH($J2518,Mapping!$D$17:$D$28,0)),"(unmapped)")))))</f>
        <v/>
      </c>
    </row>
    <row r="2519" spans="11:11" x14ac:dyDescent="0.3">
      <c r="K2519" t="str">
        <f>IF($D2519="","",IFERROR(INDEX(Mapping!$H$3:$H$32,MATCH($B2519,Mapping!$G$3:$G$32,0)),IF(LEFT($F2519,3)="P2P",IFERROR(INDEX(Mapping!$E$3:$E$6,MATCH($G2519,Mapping!$D$3:$D$6,0)),IFERROR(INDEX(Mapping!$B$3:$B$13,MATCH($J2519,Mapping!$A$3:$A$13,0)),"(unmapped)")),IFERROR(INDEX(Mapping!$B$17:$B$22,MATCH($F2519,Mapping!$A$17:$A$22,0)),$F2519)&amp;" "&amp;IF($G2519="Banking","Banking",IFERROR(INDEX(Mapping!$E$17:$E$28,MATCH($J2519,Mapping!$D$17:$D$28,0)),"(unmapped)")))))</f>
        <v/>
      </c>
    </row>
    <row r="2520" spans="11:11" x14ac:dyDescent="0.3">
      <c r="K2520" t="str">
        <f>IF($D2520="","",IFERROR(INDEX(Mapping!$H$3:$H$32,MATCH($B2520,Mapping!$G$3:$G$32,0)),IF(LEFT($F2520,3)="P2P",IFERROR(INDEX(Mapping!$E$3:$E$6,MATCH($G2520,Mapping!$D$3:$D$6,0)),IFERROR(INDEX(Mapping!$B$3:$B$13,MATCH($J2520,Mapping!$A$3:$A$13,0)),"(unmapped)")),IFERROR(INDEX(Mapping!$B$17:$B$22,MATCH($F2520,Mapping!$A$17:$A$22,0)),$F2520)&amp;" "&amp;IF($G2520="Banking","Banking",IFERROR(INDEX(Mapping!$E$17:$E$28,MATCH($J2520,Mapping!$D$17:$D$28,0)),"(unmapped)")))))</f>
        <v/>
      </c>
    </row>
    <row r="2521" spans="11:11" x14ac:dyDescent="0.3">
      <c r="K2521" t="str">
        <f>IF($D2521="","",IFERROR(INDEX(Mapping!$H$3:$H$32,MATCH($B2521,Mapping!$G$3:$G$32,0)),IF(LEFT($F2521,3)="P2P",IFERROR(INDEX(Mapping!$E$3:$E$6,MATCH($G2521,Mapping!$D$3:$D$6,0)),IFERROR(INDEX(Mapping!$B$3:$B$13,MATCH($J2521,Mapping!$A$3:$A$13,0)),"(unmapped)")),IFERROR(INDEX(Mapping!$B$17:$B$22,MATCH($F2521,Mapping!$A$17:$A$22,0)),$F2521)&amp;" "&amp;IF($G2521="Banking","Banking",IFERROR(INDEX(Mapping!$E$17:$E$28,MATCH($J2521,Mapping!$D$17:$D$28,0)),"(unmapped)")))))</f>
        <v/>
      </c>
    </row>
    <row r="2522" spans="11:11" x14ac:dyDescent="0.3">
      <c r="K2522" t="str">
        <f>IF($D2522="","",IFERROR(INDEX(Mapping!$H$3:$H$32,MATCH($B2522,Mapping!$G$3:$G$32,0)),IF(LEFT($F2522,3)="P2P",IFERROR(INDEX(Mapping!$E$3:$E$6,MATCH($G2522,Mapping!$D$3:$D$6,0)),IFERROR(INDEX(Mapping!$B$3:$B$13,MATCH($J2522,Mapping!$A$3:$A$13,0)),"(unmapped)")),IFERROR(INDEX(Mapping!$B$17:$B$22,MATCH($F2522,Mapping!$A$17:$A$22,0)),$F2522)&amp;" "&amp;IF($G2522="Banking","Banking",IFERROR(INDEX(Mapping!$E$17:$E$28,MATCH($J2522,Mapping!$D$17:$D$28,0)),"(unmapped)")))))</f>
        <v/>
      </c>
    </row>
    <row r="2523" spans="11:11" x14ac:dyDescent="0.3">
      <c r="K2523" t="str">
        <f>IF($D2523="","",IFERROR(INDEX(Mapping!$H$3:$H$32,MATCH($B2523,Mapping!$G$3:$G$32,0)),IF(LEFT($F2523,3)="P2P",IFERROR(INDEX(Mapping!$E$3:$E$6,MATCH($G2523,Mapping!$D$3:$D$6,0)),IFERROR(INDEX(Mapping!$B$3:$B$13,MATCH($J2523,Mapping!$A$3:$A$13,0)),"(unmapped)")),IFERROR(INDEX(Mapping!$B$17:$B$22,MATCH($F2523,Mapping!$A$17:$A$22,0)),$F2523)&amp;" "&amp;IF($G2523="Banking","Banking",IFERROR(INDEX(Mapping!$E$17:$E$28,MATCH($J2523,Mapping!$D$17:$D$28,0)),"(unmapped)")))))</f>
        <v/>
      </c>
    </row>
    <row r="2524" spans="11:11" x14ac:dyDescent="0.3">
      <c r="K2524" t="str">
        <f>IF($D2524="","",IFERROR(INDEX(Mapping!$H$3:$H$32,MATCH($B2524,Mapping!$G$3:$G$32,0)),IF(LEFT($F2524,3)="P2P",IFERROR(INDEX(Mapping!$E$3:$E$6,MATCH($G2524,Mapping!$D$3:$D$6,0)),IFERROR(INDEX(Mapping!$B$3:$B$13,MATCH($J2524,Mapping!$A$3:$A$13,0)),"(unmapped)")),IFERROR(INDEX(Mapping!$B$17:$B$22,MATCH($F2524,Mapping!$A$17:$A$22,0)),$F2524)&amp;" "&amp;IF($G2524="Banking","Banking",IFERROR(INDEX(Mapping!$E$17:$E$28,MATCH($J2524,Mapping!$D$17:$D$28,0)),"(unmapped)")))))</f>
        <v/>
      </c>
    </row>
    <row r="2525" spans="11:11" x14ac:dyDescent="0.3">
      <c r="K2525" t="str">
        <f>IF($D2525="","",IFERROR(INDEX(Mapping!$H$3:$H$32,MATCH($B2525,Mapping!$G$3:$G$32,0)),IF(LEFT($F2525,3)="P2P",IFERROR(INDEX(Mapping!$E$3:$E$6,MATCH($G2525,Mapping!$D$3:$D$6,0)),IFERROR(INDEX(Mapping!$B$3:$B$13,MATCH($J2525,Mapping!$A$3:$A$13,0)),"(unmapped)")),IFERROR(INDEX(Mapping!$B$17:$B$22,MATCH($F2525,Mapping!$A$17:$A$22,0)),$F2525)&amp;" "&amp;IF($G2525="Banking","Banking",IFERROR(INDEX(Mapping!$E$17:$E$28,MATCH($J2525,Mapping!$D$17:$D$28,0)),"(unmapped)")))))</f>
        <v/>
      </c>
    </row>
    <row r="2526" spans="11:11" x14ac:dyDescent="0.3">
      <c r="K2526" t="str">
        <f>IF($D2526="","",IFERROR(INDEX(Mapping!$H$3:$H$32,MATCH($B2526,Mapping!$G$3:$G$32,0)),IF(LEFT($F2526,3)="P2P",IFERROR(INDEX(Mapping!$E$3:$E$6,MATCH($G2526,Mapping!$D$3:$D$6,0)),IFERROR(INDEX(Mapping!$B$3:$B$13,MATCH($J2526,Mapping!$A$3:$A$13,0)),"(unmapped)")),IFERROR(INDEX(Mapping!$B$17:$B$22,MATCH($F2526,Mapping!$A$17:$A$22,0)),$F2526)&amp;" "&amp;IF($G2526="Banking","Banking",IFERROR(INDEX(Mapping!$E$17:$E$28,MATCH($J2526,Mapping!$D$17:$D$28,0)),"(unmapped)")))))</f>
        <v/>
      </c>
    </row>
    <row r="2527" spans="11:11" x14ac:dyDescent="0.3">
      <c r="K2527" t="str">
        <f>IF($D2527="","",IFERROR(INDEX(Mapping!$H$3:$H$32,MATCH($B2527,Mapping!$G$3:$G$32,0)),IF(LEFT($F2527,3)="P2P",IFERROR(INDEX(Mapping!$E$3:$E$6,MATCH($G2527,Mapping!$D$3:$D$6,0)),IFERROR(INDEX(Mapping!$B$3:$B$13,MATCH($J2527,Mapping!$A$3:$A$13,0)),"(unmapped)")),IFERROR(INDEX(Mapping!$B$17:$B$22,MATCH($F2527,Mapping!$A$17:$A$22,0)),$F2527)&amp;" "&amp;IF($G2527="Banking","Banking",IFERROR(INDEX(Mapping!$E$17:$E$28,MATCH($J2527,Mapping!$D$17:$D$28,0)),"(unmapped)")))))</f>
        <v/>
      </c>
    </row>
    <row r="2528" spans="11:11" x14ac:dyDescent="0.3">
      <c r="K2528" t="str">
        <f>IF($D2528="","",IFERROR(INDEX(Mapping!$H$3:$H$32,MATCH($B2528,Mapping!$G$3:$G$32,0)),IF(LEFT($F2528,3)="P2P",IFERROR(INDEX(Mapping!$E$3:$E$6,MATCH($G2528,Mapping!$D$3:$D$6,0)),IFERROR(INDEX(Mapping!$B$3:$B$13,MATCH($J2528,Mapping!$A$3:$A$13,0)),"(unmapped)")),IFERROR(INDEX(Mapping!$B$17:$B$22,MATCH($F2528,Mapping!$A$17:$A$22,0)),$F2528)&amp;" "&amp;IF($G2528="Banking","Banking",IFERROR(INDEX(Mapping!$E$17:$E$28,MATCH($J2528,Mapping!$D$17:$D$28,0)),"(unmapped)")))))</f>
        <v/>
      </c>
    </row>
    <row r="2529" spans="11:11" x14ac:dyDescent="0.3">
      <c r="K2529" t="str">
        <f>IF($D2529="","",IFERROR(INDEX(Mapping!$H$3:$H$32,MATCH($B2529,Mapping!$G$3:$G$32,0)),IF(LEFT($F2529,3)="P2P",IFERROR(INDEX(Mapping!$E$3:$E$6,MATCH($G2529,Mapping!$D$3:$D$6,0)),IFERROR(INDEX(Mapping!$B$3:$B$13,MATCH($J2529,Mapping!$A$3:$A$13,0)),"(unmapped)")),IFERROR(INDEX(Mapping!$B$17:$B$22,MATCH($F2529,Mapping!$A$17:$A$22,0)),$F2529)&amp;" "&amp;IF($G2529="Banking","Banking",IFERROR(INDEX(Mapping!$E$17:$E$28,MATCH($J2529,Mapping!$D$17:$D$28,0)),"(unmapped)")))))</f>
        <v/>
      </c>
    </row>
    <row r="2530" spans="11:11" x14ac:dyDescent="0.3">
      <c r="K2530" t="str">
        <f>IF($D2530="","",IFERROR(INDEX(Mapping!$H$3:$H$32,MATCH($B2530,Mapping!$G$3:$G$32,0)),IF(LEFT($F2530,3)="P2P",IFERROR(INDEX(Mapping!$E$3:$E$6,MATCH($G2530,Mapping!$D$3:$D$6,0)),IFERROR(INDEX(Mapping!$B$3:$B$13,MATCH($J2530,Mapping!$A$3:$A$13,0)),"(unmapped)")),IFERROR(INDEX(Mapping!$B$17:$B$22,MATCH($F2530,Mapping!$A$17:$A$22,0)),$F2530)&amp;" "&amp;IF($G2530="Banking","Banking",IFERROR(INDEX(Mapping!$E$17:$E$28,MATCH($J2530,Mapping!$D$17:$D$28,0)),"(unmapped)")))))</f>
        <v/>
      </c>
    </row>
    <row r="2531" spans="11:11" x14ac:dyDescent="0.3">
      <c r="K2531" t="str">
        <f>IF($D2531="","",IFERROR(INDEX(Mapping!$H$3:$H$32,MATCH($B2531,Mapping!$G$3:$G$32,0)),IF(LEFT($F2531,3)="P2P",IFERROR(INDEX(Mapping!$E$3:$E$6,MATCH($G2531,Mapping!$D$3:$D$6,0)),IFERROR(INDEX(Mapping!$B$3:$B$13,MATCH($J2531,Mapping!$A$3:$A$13,0)),"(unmapped)")),IFERROR(INDEX(Mapping!$B$17:$B$22,MATCH($F2531,Mapping!$A$17:$A$22,0)),$F2531)&amp;" "&amp;IF($G2531="Banking","Banking",IFERROR(INDEX(Mapping!$E$17:$E$28,MATCH($J2531,Mapping!$D$17:$D$28,0)),"(unmapped)")))))</f>
        <v/>
      </c>
    </row>
    <row r="2532" spans="11:11" x14ac:dyDescent="0.3">
      <c r="K2532" t="str">
        <f>IF($D2532="","",IFERROR(INDEX(Mapping!$H$3:$H$32,MATCH($B2532,Mapping!$G$3:$G$32,0)),IF(LEFT($F2532,3)="P2P",IFERROR(INDEX(Mapping!$E$3:$E$6,MATCH($G2532,Mapping!$D$3:$D$6,0)),IFERROR(INDEX(Mapping!$B$3:$B$13,MATCH($J2532,Mapping!$A$3:$A$13,0)),"(unmapped)")),IFERROR(INDEX(Mapping!$B$17:$B$22,MATCH($F2532,Mapping!$A$17:$A$22,0)),$F2532)&amp;" "&amp;IF($G2532="Banking","Banking",IFERROR(INDEX(Mapping!$E$17:$E$28,MATCH($J2532,Mapping!$D$17:$D$28,0)),"(unmapped)")))))</f>
        <v/>
      </c>
    </row>
    <row r="2533" spans="11:11" x14ac:dyDescent="0.3">
      <c r="K2533" t="str">
        <f>IF($D2533="","",IFERROR(INDEX(Mapping!$H$3:$H$32,MATCH($B2533,Mapping!$G$3:$G$32,0)),IF(LEFT($F2533,3)="P2P",IFERROR(INDEX(Mapping!$E$3:$E$6,MATCH($G2533,Mapping!$D$3:$D$6,0)),IFERROR(INDEX(Mapping!$B$3:$B$13,MATCH($J2533,Mapping!$A$3:$A$13,0)),"(unmapped)")),IFERROR(INDEX(Mapping!$B$17:$B$22,MATCH($F2533,Mapping!$A$17:$A$22,0)),$F2533)&amp;" "&amp;IF($G2533="Banking","Banking",IFERROR(INDEX(Mapping!$E$17:$E$28,MATCH($J2533,Mapping!$D$17:$D$28,0)),"(unmapped)")))))</f>
        <v/>
      </c>
    </row>
    <row r="2534" spans="11:11" x14ac:dyDescent="0.3">
      <c r="K2534" t="str">
        <f>IF($D2534="","",IFERROR(INDEX(Mapping!$H$3:$H$32,MATCH($B2534,Mapping!$G$3:$G$32,0)),IF(LEFT($F2534,3)="P2P",IFERROR(INDEX(Mapping!$E$3:$E$6,MATCH($G2534,Mapping!$D$3:$D$6,0)),IFERROR(INDEX(Mapping!$B$3:$B$13,MATCH($J2534,Mapping!$A$3:$A$13,0)),"(unmapped)")),IFERROR(INDEX(Mapping!$B$17:$B$22,MATCH($F2534,Mapping!$A$17:$A$22,0)),$F2534)&amp;" "&amp;IF($G2534="Banking","Banking",IFERROR(INDEX(Mapping!$E$17:$E$28,MATCH($J2534,Mapping!$D$17:$D$28,0)),"(unmapped)")))))</f>
        <v/>
      </c>
    </row>
    <row r="2535" spans="11:11" x14ac:dyDescent="0.3">
      <c r="K2535" t="str">
        <f>IF($D2535="","",IFERROR(INDEX(Mapping!$H$3:$H$32,MATCH($B2535,Mapping!$G$3:$G$32,0)),IF(LEFT($F2535,3)="P2P",IFERROR(INDEX(Mapping!$E$3:$E$6,MATCH($G2535,Mapping!$D$3:$D$6,0)),IFERROR(INDEX(Mapping!$B$3:$B$13,MATCH($J2535,Mapping!$A$3:$A$13,0)),"(unmapped)")),IFERROR(INDEX(Mapping!$B$17:$B$22,MATCH($F2535,Mapping!$A$17:$A$22,0)),$F2535)&amp;" "&amp;IF($G2535="Banking","Banking",IFERROR(INDEX(Mapping!$E$17:$E$28,MATCH($J2535,Mapping!$D$17:$D$28,0)),"(unmapped)")))))</f>
        <v/>
      </c>
    </row>
    <row r="2536" spans="11:11" x14ac:dyDescent="0.3">
      <c r="K2536" t="str">
        <f>IF($D2536="","",IFERROR(INDEX(Mapping!$H$3:$H$32,MATCH($B2536,Mapping!$G$3:$G$32,0)),IF(LEFT($F2536,3)="P2P",IFERROR(INDEX(Mapping!$E$3:$E$6,MATCH($G2536,Mapping!$D$3:$D$6,0)),IFERROR(INDEX(Mapping!$B$3:$B$13,MATCH($J2536,Mapping!$A$3:$A$13,0)),"(unmapped)")),IFERROR(INDEX(Mapping!$B$17:$B$22,MATCH($F2536,Mapping!$A$17:$A$22,0)),$F2536)&amp;" "&amp;IF($G2536="Banking","Banking",IFERROR(INDEX(Mapping!$E$17:$E$28,MATCH($J2536,Mapping!$D$17:$D$28,0)),"(unmapped)")))))</f>
        <v/>
      </c>
    </row>
    <row r="2537" spans="11:11" x14ac:dyDescent="0.3">
      <c r="K2537" t="str">
        <f>IF($D2537="","",IFERROR(INDEX(Mapping!$H$3:$H$32,MATCH($B2537,Mapping!$G$3:$G$32,0)),IF(LEFT($F2537,3)="P2P",IFERROR(INDEX(Mapping!$E$3:$E$6,MATCH($G2537,Mapping!$D$3:$D$6,0)),IFERROR(INDEX(Mapping!$B$3:$B$13,MATCH($J2537,Mapping!$A$3:$A$13,0)),"(unmapped)")),IFERROR(INDEX(Mapping!$B$17:$B$22,MATCH($F2537,Mapping!$A$17:$A$22,0)),$F2537)&amp;" "&amp;IF($G2537="Banking","Banking",IFERROR(INDEX(Mapping!$E$17:$E$28,MATCH($J2537,Mapping!$D$17:$D$28,0)),"(unmapped)")))))</f>
        <v/>
      </c>
    </row>
    <row r="2538" spans="11:11" x14ac:dyDescent="0.3">
      <c r="K2538" t="str">
        <f>IF($D2538="","",IFERROR(INDEX(Mapping!$H$3:$H$32,MATCH($B2538,Mapping!$G$3:$G$32,0)),IF(LEFT($F2538,3)="P2P",IFERROR(INDEX(Mapping!$E$3:$E$6,MATCH($G2538,Mapping!$D$3:$D$6,0)),IFERROR(INDEX(Mapping!$B$3:$B$13,MATCH($J2538,Mapping!$A$3:$A$13,0)),"(unmapped)")),IFERROR(INDEX(Mapping!$B$17:$B$22,MATCH($F2538,Mapping!$A$17:$A$22,0)),$F2538)&amp;" "&amp;IF($G2538="Banking","Banking",IFERROR(INDEX(Mapping!$E$17:$E$28,MATCH($J2538,Mapping!$D$17:$D$28,0)),"(unmapped)")))))</f>
        <v/>
      </c>
    </row>
    <row r="2539" spans="11:11" x14ac:dyDescent="0.3">
      <c r="K2539" t="str">
        <f>IF($D2539="","",IFERROR(INDEX(Mapping!$H$3:$H$32,MATCH($B2539,Mapping!$G$3:$G$32,0)),IF(LEFT($F2539,3)="P2P",IFERROR(INDEX(Mapping!$E$3:$E$6,MATCH($G2539,Mapping!$D$3:$D$6,0)),IFERROR(INDEX(Mapping!$B$3:$B$13,MATCH($J2539,Mapping!$A$3:$A$13,0)),"(unmapped)")),IFERROR(INDEX(Mapping!$B$17:$B$22,MATCH($F2539,Mapping!$A$17:$A$22,0)),$F2539)&amp;" "&amp;IF($G2539="Banking","Banking",IFERROR(INDEX(Mapping!$E$17:$E$28,MATCH($J2539,Mapping!$D$17:$D$28,0)),"(unmapped)")))))</f>
        <v/>
      </c>
    </row>
    <row r="2540" spans="11:11" x14ac:dyDescent="0.3">
      <c r="K2540" t="str">
        <f>IF($D2540="","",IFERROR(INDEX(Mapping!$H$3:$H$32,MATCH($B2540,Mapping!$G$3:$G$32,0)),IF(LEFT($F2540,3)="P2P",IFERROR(INDEX(Mapping!$E$3:$E$6,MATCH($G2540,Mapping!$D$3:$D$6,0)),IFERROR(INDEX(Mapping!$B$3:$B$13,MATCH($J2540,Mapping!$A$3:$A$13,0)),"(unmapped)")),IFERROR(INDEX(Mapping!$B$17:$B$22,MATCH($F2540,Mapping!$A$17:$A$22,0)),$F2540)&amp;" "&amp;IF($G2540="Banking","Banking",IFERROR(INDEX(Mapping!$E$17:$E$28,MATCH($J2540,Mapping!$D$17:$D$28,0)),"(unmapped)")))))</f>
        <v/>
      </c>
    </row>
    <row r="2541" spans="11:11" x14ac:dyDescent="0.3">
      <c r="K2541" t="str">
        <f>IF($D2541="","",IFERROR(INDEX(Mapping!$H$3:$H$32,MATCH($B2541,Mapping!$G$3:$G$32,0)),IF(LEFT($F2541,3)="P2P",IFERROR(INDEX(Mapping!$E$3:$E$6,MATCH($G2541,Mapping!$D$3:$D$6,0)),IFERROR(INDEX(Mapping!$B$3:$B$13,MATCH($J2541,Mapping!$A$3:$A$13,0)),"(unmapped)")),IFERROR(INDEX(Mapping!$B$17:$B$22,MATCH($F2541,Mapping!$A$17:$A$22,0)),$F2541)&amp;" "&amp;IF($G2541="Banking","Banking",IFERROR(INDEX(Mapping!$E$17:$E$28,MATCH($J2541,Mapping!$D$17:$D$28,0)),"(unmapped)")))))</f>
        <v/>
      </c>
    </row>
    <row r="2542" spans="11:11" x14ac:dyDescent="0.3">
      <c r="K2542" t="str">
        <f>IF($D2542="","",IFERROR(INDEX(Mapping!$H$3:$H$32,MATCH($B2542,Mapping!$G$3:$G$32,0)),IF(LEFT($F2542,3)="P2P",IFERROR(INDEX(Mapping!$E$3:$E$6,MATCH($G2542,Mapping!$D$3:$D$6,0)),IFERROR(INDEX(Mapping!$B$3:$B$13,MATCH($J2542,Mapping!$A$3:$A$13,0)),"(unmapped)")),IFERROR(INDEX(Mapping!$B$17:$B$22,MATCH($F2542,Mapping!$A$17:$A$22,0)),$F2542)&amp;" "&amp;IF($G2542="Banking","Banking",IFERROR(INDEX(Mapping!$E$17:$E$28,MATCH($J2542,Mapping!$D$17:$D$28,0)),"(unmapped)")))))</f>
        <v/>
      </c>
    </row>
    <row r="2543" spans="11:11" x14ac:dyDescent="0.3">
      <c r="K2543" t="str">
        <f>IF($D2543="","",IFERROR(INDEX(Mapping!$H$3:$H$32,MATCH($B2543,Mapping!$G$3:$G$32,0)),IF(LEFT($F2543,3)="P2P",IFERROR(INDEX(Mapping!$E$3:$E$6,MATCH($G2543,Mapping!$D$3:$D$6,0)),IFERROR(INDEX(Mapping!$B$3:$B$13,MATCH($J2543,Mapping!$A$3:$A$13,0)),"(unmapped)")),IFERROR(INDEX(Mapping!$B$17:$B$22,MATCH($F2543,Mapping!$A$17:$A$22,0)),$F2543)&amp;" "&amp;IF($G2543="Banking","Banking",IFERROR(INDEX(Mapping!$E$17:$E$28,MATCH($J2543,Mapping!$D$17:$D$28,0)),"(unmapped)")))))</f>
        <v/>
      </c>
    </row>
    <row r="2544" spans="11:11" x14ac:dyDescent="0.3">
      <c r="K2544" t="str">
        <f>IF($D2544="","",IFERROR(INDEX(Mapping!$H$3:$H$32,MATCH($B2544,Mapping!$G$3:$G$32,0)),IF(LEFT($F2544,3)="P2P",IFERROR(INDEX(Mapping!$E$3:$E$6,MATCH($G2544,Mapping!$D$3:$D$6,0)),IFERROR(INDEX(Mapping!$B$3:$B$13,MATCH($J2544,Mapping!$A$3:$A$13,0)),"(unmapped)")),IFERROR(INDEX(Mapping!$B$17:$B$22,MATCH($F2544,Mapping!$A$17:$A$22,0)),$F2544)&amp;" "&amp;IF($G2544="Banking","Banking",IFERROR(INDEX(Mapping!$E$17:$E$28,MATCH($J2544,Mapping!$D$17:$D$28,0)),"(unmapped)")))))</f>
        <v/>
      </c>
    </row>
    <row r="2545" spans="11:11" x14ac:dyDescent="0.3">
      <c r="K2545" t="str">
        <f>IF($D2545="","",IFERROR(INDEX(Mapping!$H$3:$H$32,MATCH($B2545,Mapping!$G$3:$G$32,0)),IF(LEFT($F2545,3)="P2P",IFERROR(INDEX(Mapping!$E$3:$E$6,MATCH($G2545,Mapping!$D$3:$D$6,0)),IFERROR(INDEX(Mapping!$B$3:$B$13,MATCH($J2545,Mapping!$A$3:$A$13,0)),"(unmapped)")),IFERROR(INDEX(Mapping!$B$17:$B$22,MATCH($F2545,Mapping!$A$17:$A$22,0)),$F2545)&amp;" "&amp;IF($G2545="Banking","Banking",IFERROR(INDEX(Mapping!$E$17:$E$28,MATCH($J2545,Mapping!$D$17:$D$28,0)),"(unmapped)")))))</f>
        <v/>
      </c>
    </row>
    <row r="2546" spans="11:11" x14ac:dyDescent="0.3">
      <c r="K2546" t="str">
        <f>IF($D2546="","",IFERROR(INDEX(Mapping!$H$3:$H$32,MATCH($B2546,Mapping!$G$3:$G$32,0)),IF(LEFT($F2546,3)="P2P",IFERROR(INDEX(Mapping!$E$3:$E$6,MATCH($G2546,Mapping!$D$3:$D$6,0)),IFERROR(INDEX(Mapping!$B$3:$B$13,MATCH($J2546,Mapping!$A$3:$A$13,0)),"(unmapped)")),IFERROR(INDEX(Mapping!$B$17:$B$22,MATCH($F2546,Mapping!$A$17:$A$22,0)),$F2546)&amp;" "&amp;IF($G2546="Banking","Banking",IFERROR(INDEX(Mapping!$E$17:$E$28,MATCH($J2546,Mapping!$D$17:$D$28,0)),"(unmapped)")))))</f>
        <v/>
      </c>
    </row>
    <row r="2547" spans="11:11" x14ac:dyDescent="0.3">
      <c r="K2547" t="str">
        <f>IF($D2547="","",IFERROR(INDEX(Mapping!$H$3:$H$32,MATCH($B2547,Mapping!$G$3:$G$32,0)),IF(LEFT($F2547,3)="P2P",IFERROR(INDEX(Mapping!$E$3:$E$6,MATCH($G2547,Mapping!$D$3:$D$6,0)),IFERROR(INDEX(Mapping!$B$3:$B$13,MATCH($J2547,Mapping!$A$3:$A$13,0)),"(unmapped)")),IFERROR(INDEX(Mapping!$B$17:$B$22,MATCH($F2547,Mapping!$A$17:$A$22,0)),$F2547)&amp;" "&amp;IF($G2547="Banking","Banking",IFERROR(INDEX(Mapping!$E$17:$E$28,MATCH($J2547,Mapping!$D$17:$D$28,0)),"(unmapped)")))))</f>
        <v/>
      </c>
    </row>
    <row r="2548" spans="11:11" x14ac:dyDescent="0.3">
      <c r="K2548" t="str">
        <f>IF($D2548="","",IFERROR(INDEX(Mapping!$H$3:$H$32,MATCH($B2548,Mapping!$G$3:$G$32,0)),IF(LEFT($F2548,3)="P2P",IFERROR(INDEX(Mapping!$E$3:$E$6,MATCH($G2548,Mapping!$D$3:$D$6,0)),IFERROR(INDEX(Mapping!$B$3:$B$13,MATCH($J2548,Mapping!$A$3:$A$13,0)),"(unmapped)")),IFERROR(INDEX(Mapping!$B$17:$B$22,MATCH($F2548,Mapping!$A$17:$A$22,0)),$F2548)&amp;" "&amp;IF($G2548="Banking","Banking",IFERROR(INDEX(Mapping!$E$17:$E$28,MATCH($J2548,Mapping!$D$17:$D$28,0)),"(unmapped)")))))</f>
        <v/>
      </c>
    </row>
    <row r="2549" spans="11:11" x14ac:dyDescent="0.3">
      <c r="K2549" t="str">
        <f>IF($D2549="","",IFERROR(INDEX(Mapping!$H$3:$H$32,MATCH($B2549,Mapping!$G$3:$G$32,0)),IF(LEFT($F2549,3)="P2P",IFERROR(INDEX(Mapping!$E$3:$E$6,MATCH($G2549,Mapping!$D$3:$D$6,0)),IFERROR(INDEX(Mapping!$B$3:$B$13,MATCH($J2549,Mapping!$A$3:$A$13,0)),"(unmapped)")),IFERROR(INDEX(Mapping!$B$17:$B$22,MATCH($F2549,Mapping!$A$17:$A$22,0)),$F2549)&amp;" "&amp;IF($G2549="Banking","Banking",IFERROR(INDEX(Mapping!$E$17:$E$28,MATCH($J2549,Mapping!$D$17:$D$28,0)),"(unmapped)")))))</f>
        <v/>
      </c>
    </row>
    <row r="2550" spans="11:11" x14ac:dyDescent="0.3">
      <c r="K2550" t="str">
        <f>IF($D2550="","",IFERROR(INDEX(Mapping!$H$3:$H$32,MATCH($B2550,Mapping!$G$3:$G$32,0)),IF(LEFT($F2550,3)="P2P",IFERROR(INDEX(Mapping!$E$3:$E$6,MATCH($G2550,Mapping!$D$3:$D$6,0)),IFERROR(INDEX(Mapping!$B$3:$B$13,MATCH($J2550,Mapping!$A$3:$A$13,0)),"(unmapped)")),IFERROR(INDEX(Mapping!$B$17:$B$22,MATCH($F2550,Mapping!$A$17:$A$22,0)),$F2550)&amp;" "&amp;IF($G2550="Banking","Banking",IFERROR(INDEX(Mapping!$E$17:$E$28,MATCH($J2550,Mapping!$D$17:$D$28,0)),"(unmapped)")))))</f>
        <v/>
      </c>
    </row>
    <row r="2551" spans="11:11" x14ac:dyDescent="0.3">
      <c r="K2551" t="str">
        <f>IF($D2551="","",IFERROR(INDEX(Mapping!$H$3:$H$32,MATCH($B2551,Mapping!$G$3:$G$32,0)),IF(LEFT($F2551,3)="P2P",IFERROR(INDEX(Mapping!$E$3:$E$6,MATCH($G2551,Mapping!$D$3:$D$6,0)),IFERROR(INDEX(Mapping!$B$3:$B$13,MATCH($J2551,Mapping!$A$3:$A$13,0)),"(unmapped)")),IFERROR(INDEX(Mapping!$B$17:$B$22,MATCH($F2551,Mapping!$A$17:$A$22,0)),$F2551)&amp;" "&amp;IF($G2551="Banking","Banking",IFERROR(INDEX(Mapping!$E$17:$E$28,MATCH($J2551,Mapping!$D$17:$D$28,0)),"(unmapped)")))))</f>
        <v/>
      </c>
    </row>
    <row r="2552" spans="11:11" x14ac:dyDescent="0.3">
      <c r="K2552" t="str">
        <f>IF($D2552="","",IFERROR(INDEX(Mapping!$H$3:$H$32,MATCH($B2552,Mapping!$G$3:$G$32,0)),IF(LEFT($F2552,3)="P2P",IFERROR(INDEX(Mapping!$E$3:$E$6,MATCH($G2552,Mapping!$D$3:$D$6,0)),IFERROR(INDEX(Mapping!$B$3:$B$13,MATCH($J2552,Mapping!$A$3:$A$13,0)),"(unmapped)")),IFERROR(INDEX(Mapping!$B$17:$B$22,MATCH($F2552,Mapping!$A$17:$A$22,0)),$F2552)&amp;" "&amp;IF($G2552="Banking","Banking",IFERROR(INDEX(Mapping!$E$17:$E$28,MATCH($J2552,Mapping!$D$17:$D$28,0)),"(unmapped)")))))</f>
        <v/>
      </c>
    </row>
    <row r="2553" spans="11:11" x14ac:dyDescent="0.3">
      <c r="K2553" t="str">
        <f>IF($D2553="","",IFERROR(INDEX(Mapping!$H$3:$H$32,MATCH($B2553,Mapping!$G$3:$G$32,0)),IF(LEFT($F2553,3)="P2P",IFERROR(INDEX(Mapping!$E$3:$E$6,MATCH($G2553,Mapping!$D$3:$D$6,0)),IFERROR(INDEX(Mapping!$B$3:$B$13,MATCH($J2553,Mapping!$A$3:$A$13,0)),"(unmapped)")),IFERROR(INDEX(Mapping!$B$17:$B$22,MATCH($F2553,Mapping!$A$17:$A$22,0)),$F2553)&amp;" "&amp;IF($G2553="Banking","Banking",IFERROR(INDEX(Mapping!$E$17:$E$28,MATCH($J2553,Mapping!$D$17:$D$28,0)),"(unmapped)")))))</f>
        <v/>
      </c>
    </row>
    <row r="2554" spans="11:11" x14ac:dyDescent="0.3">
      <c r="K2554" t="str">
        <f>IF($D2554="","",IFERROR(INDEX(Mapping!$H$3:$H$32,MATCH($B2554,Mapping!$G$3:$G$32,0)),IF(LEFT($F2554,3)="P2P",IFERROR(INDEX(Mapping!$E$3:$E$6,MATCH($G2554,Mapping!$D$3:$D$6,0)),IFERROR(INDEX(Mapping!$B$3:$B$13,MATCH($J2554,Mapping!$A$3:$A$13,0)),"(unmapped)")),IFERROR(INDEX(Mapping!$B$17:$B$22,MATCH($F2554,Mapping!$A$17:$A$22,0)),$F2554)&amp;" "&amp;IF($G2554="Banking","Banking",IFERROR(INDEX(Mapping!$E$17:$E$28,MATCH($J2554,Mapping!$D$17:$D$28,0)),"(unmapped)")))))</f>
        <v/>
      </c>
    </row>
    <row r="2555" spans="11:11" x14ac:dyDescent="0.3">
      <c r="K2555" t="str">
        <f>IF($D2555="","",IFERROR(INDEX(Mapping!$H$3:$H$32,MATCH($B2555,Mapping!$G$3:$G$32,0)),IF(LEFT($F2555,3)="P2P",IFERROR(INDEX(Mapping!$E$3:$E$6,MATCH($G2555,Mapping!$D$3:$D$6,0)),IFERROR(INDEX(Mapping!$B$3:$B$13,MATCH($J2555,Mapping!$A$3:$A$13,0)),"(unmapped)")),IFERROR(INDEX(Mapping!$B$17:$B$22,MATCH($F2555,Mapping!$A$17:$A$22,0)),$F2555)&amp;" "&amp;IF($G2555="Banking","Banking",IFERROR(INDEX(Mapping!$E$17:$E$28,MATCH($J2555,Mapping!$D$17:$D$28,0)),"(unmapped)")))))</f>
        <v/>
      </c>
    </row>
    <row r="2556" spans="11:11" x14ac:dyDescent="0.3">
      <c r="K2556" t="str">
        <f>IF($D2556="","",IFERROR(INDEX(Mapping!$H$3:$H$32,MATCH($B2556,Mapping!$G$3:$G$32,0)),IF(LEFT($F2556,3)="P2P",IFERROR(INDEX(Mapping!$E$3:$E$6,MATCH($G2556,Mapping!$D$3:$D$6,0)),IFERROR(INDEX(Mapping!$B$3:$B$13,MATCH($J2556,Mapping!$A$3:$A$13,0)),"(unmapped)")),IFERROR(INDEX(Mapping!$B$17:$B$22,MATCH($F2556,Mapping!$A$17:$A$22,0)),$F2556)&amp;" "&amp;IF($G2556="Banking","Banking",IFERROR(INDEX(Mapping!$E$17:$E$28,MATCH($J2556,Mapping!$D$17:$D$28,0)),"(unmapped)")))))</f>
        <v/>
      </c>
    </row>
    <row r="2557" spans="11:11" x14ac:dyDescent="0.3">
      <c r="K2557" t="str">
        <f>IF($D2557="","",IFERROR(INDEX(Mapping!$H$3:$H$32,MATCH($B2557,Mapping!$G$3:$G$32,0)),IF(LEFT($F2557,3)="P2P",IFERROR(INDEX(Mapping!$E$3:$E$6,MATCH($G2557,Mapping!$D$3:$D$6,0)),IFERROR(INDEX(Mapping!$B$3:$B$13,MATCH($J2557,Mapping!$A$3:$A$13,0)),"(unmapped)")),IFERROR(INDEX(Mapping!$B$17:$B$22,MATCH($F2557,Mapping!$A$17:$A$22,0)),$F2557)&amp;" "&amp;IF($G2557="Banking","Banking",IFERROR(INDEX(Mapping!$E$17:$E$28,MATCH($J2557,Mapping!$D$17:$D$28,0)),"(unmapped)")))))</f>
        <v/>
      </c>
    </row>
    <row r="2558" spans="11:11" x14ac:dyDescent="0.3">
      <c r="K2558" t="str">
        <f>IF($D2558="","",IFERROR(INDEX(Mapping!$H$3:$H$32,MATCH($B2558,Mapping!$G$3:$G$32,0)),IF(LEFT($F2558,3)="P2P",IFERROR(INDEX(Mapping!$E$3:$E$6,MATCH($G2558,Mapping!$D$3:$D$6,0)),IFERROR(INDEX(Mapping!$B$3:$B$13,MATCH($J2558,Mapping!$A$3:$A$13,0)),"(unmapped)")),IFERROR(INDEX(Mapping!$B$17:$B$22,MATCH($F2558,Mapping!$A$17:$A$22,0)),$F2558)&amp;" "&amp;IF($G2558="Banking","Banking",IFERROR(INDEX(Mapping!$E$17:$E$28,MATCH($J2558,Mapping!$D$17:$D$28,0)),"(unmapped)")))))</f>
        <v/>
      </c>
    </row>
    <row r="2559" spans="11:11" x14ac:dyDescent="0.3">
      <c r="K2559" t="str">
        <f>IF($D2559="","",IFERROR(INDEX(Mapping!$H$3:$H$32,MATCH($B2559,Mapping!$G$3:$G$32,0)),IF(LEFT($F2559,3)="P2P",IFERROR(INDEX(Mapping!$E$3:$E$6,MATCH($G2559,Mapping!$D$3:$D$6,0)),IFERROR(INDEX(Mapping!$B$3:$B$13,MATCH($J2559,Mapping!$A$3:$A$13,0)),"(unmapped)")),IFERROR(INDEX(Mapping!$B$17:$B$22,MATCH($F2559,Mapping!$A$17:$A$22,0)),$F2559)&amp;" "&amp;IF($G2559="Banking","Banking",IFERROR(INDEX(Mapping!$E$17:$E$28,MATCH($J2559,Mapping!$D$17:$D$28,0)),"(unmapped)")))))</f>
        <v/>
      </c>
    </row>
    <row r="2560" spans="11:11" x14ac:dyDescent="0.3">
      <c r="K2560" t="str">
        <f>IF($D2560="","",IFERROR(INDEX(Mapping!$H$3:$H$32,MATCH($B2560,Mapping!$G$3:$G$32,0)),IF(LEFT($F2560,3)="P2P",IFERROR(INDEX(Mapping!$E$3:$E$6,MATCH($G2560,Mapping!$D$3:$D$6,0)),IFERROR(INDEX(Mapping!$B$3:$B$13,MATCH($J2560,Mapping!$A$3:$A$13,0)),"(unmapped)")),IFERROR(INDEX(Mapping!$B$17:$B$22,MATCH($F2560,Mapping!$A$17:$A$22,0)),$F2560)&amp;" "&amp;IF($G2560="Banking","Banking",IFERROR(INDEX(Mapping!$E$17:$E$28,MATCH($J2560,Mapping!$D$17:$D$28,0)),"(unmapped)")))))</f>
        <v/>
      </c>
    </row>
    <row r="2561" spans="11:11" x14ac:dyDescent="0.3">
      <c r="K2561" t="str">
        <f>IF($D2561="","",IFERROR(INDEX(Mapping!$H$3:$H$32,MATCH($B2561,Mapping!$G$3:$G$32,0)),IF(LEFT($F2561,3)="P2P",IFERROR(INDEX(Mapping!$E$3:$E$6,MATCH($G2561,Mapping!$D$3:$D$6,0)),IFERROR(INDEX(Mapping!$B$3:$B$13,MATCH($J2561,Mapping!$A$3:$A$13,0)),"(unmapped)")),IFERROR(INDEX(Mapping!$B$17:$B$22,MATCH($F2561,Mapping!$A$17:$A$22,0)),$F2561)&amp;" "&amp;IF($G2561="Banking","Banking",IFERROR(INDEX(Mapping!$E$17:$E$28,MATCH($J2561,Mapping!$D$17:$D$28,0)),"(unmapped)")))))</f>
        <v/>
      </c>
    </row>
    <row r="2562" spans="11:11" x14ac:dyDescent="0.3">
      <c r="K2562" t="str">
        <f>IF($D2562="","",IFERROR(INDEX(Mapping!$H$3:$H$32,MATCH($B2562,Mapping!$G$3:$G$32,0)),IF(LEFT($F2562,3)="P2P",IFERROR(INDEX(Mapping!$E$3:$E$6,MATCH($G2562,Mapping!$D$3:$D$6,0)),IFERROR(INDEX(Mapping!$B$3:$B$13,MATCH($J2562,Mapping!$A$3:$A$13,0)),"(unmapped)")),IFERROR(INDEX(Mapping!$B$17:$B$22,MATCH($F2562,Mapping!$A$17:$A$22,0)),$F2562)&amp;" "&amp;IF($G2562="Banking","Banking",IFERROR(INDEX(Mapping!$E$17:$E$28,MATCH($J2562,Mapping!$D$17:$D$28,0)),"(unmapped)")))))</f>
        <v/>
      </c>
    </row>
    <row r="2563" spans="11:11" x14ac:dyDescent="0.3">
      <c r="K2563" t="str">
        <f>IF($D2563="","",IFERROR(INDEX(Mapping!$H$3:$H$32,MATCH($B2563,Mapping!$G$3:$G$32,0)),IF(LEFT($F2563,3)="P2P",IFERROR(INDEX(Mapping!$E$3:$E$6,MATCH($G2563,Mapping!$D$3:$D$6,0)),IFERROR(INDEX(Mapping!$B$3:$B$13,MATCH($J2563,Mapping!$A$3:$A$13,0)),"(unmapped)")),IFERROR(INDEX(Mapping!$B$17:$B$22,MATCH($F2563,Mapping!$A$17:$A$22,0)),$F2563)&amp;" "&amp;IF($G2563="Banking","Banking",IFERROR(INDEX(Mapping!$E$17:$E$28,MATCH($J2563,Mapping!$D$17:$D$28,0)),"(unmapped)")))))</f>
        <v/>
      </c>
    </row>
    <row r="2564" spans="11:11" x14ac:dyDescent="0.3">
      <c r="K2564" t="str">
        <f>IF($D2564="","",IFERROR(INDEX(Mapping!$H$3:$H$32,MATCH($B2564,Mapping!$G$3:$G$32,0)),IF(LEFT($F2564,3)="P2P",IFERROR(INDEX(Mapping!$E$3:$E$6,MATCH($G2564,Mapping!$D$3:$D$6,0)),IFERROR(INDEX(Mapping!$B$3:$B$13,MATCH($J2564,Mapping!$A$3:$A$13,0)),"(unmapped)")),IFERROR(INDEX(Mapping!$B$17:$B$22,MATCH($F2564,Mapping!$A$17:$A$22,0)),$F2564)&amp;" "&amp;IF($G2564="Banking","Banking",IFERROR(INDEX(Mapping!$E$17:$E$28,MATCH($J2564,Mapping!$D$17:$D$28,0)),"(unmapped)")))))</f>
        <v/>
      </c>
    </row>
    <row r="2565" spans="11:11" x14ac:dyDescent="0.3">
      <c r="K2565" t="str">
        <f>IF($D2565="","",IFERROR(INDEX(Mapping!$H$3:$H$32,MATCH($B2565,Mapping!$G$3:$G$32,0)),IF(LEFT($F2565,3)="P2P",IFERROR(INDEX(Mapping!$E$3:$E$6,MATCH($G2565,Mapping!$D$3:$D$6,0)),IFERROR(INDEX(Mapping!$B$3:$B$13,MATCH($J2565,Mapping!$A$3:$A$13,0)),"(unmapped)")),IFERROR(INDEX(Mapping!$B$17:$B$22,MATCH($F2565,Mapping!$A$17:$A$22,0)),$F2565)&amp;" "&amp;IF($G2565="Banking","Banking",IFERROR(INDEX(Mapping!$E$17:$E$28,MATCH($J2565,Mapping!$D$17:$D$28,0)),"(unmapped)")))))</f>
        <v/>
      </c>
    </row>
    <row r="2566" spans="11:11" x14ac:dyDescent="0.3">
      <c r="K2566" t="str">
        <f>IF($D2566="","",IFERROR(INDEX(Mapping!$H$3:$H$32,MATCH($B2566,Mapping!$G$3:$G$32,0)),IF(LEFT($F2566,3)="P2P",IFERROR(INDEX(Mapping!$E$3:$E$6,MATCH($G2566,Mapping!$D$3:$D$6,0)),IFERROR(INDEX(Mapping!$B$3:$B$13,MATCH($J2566,Mapping!$A$3:$A$13,0)),"(unmapped)")),IFERROR(INDEX(Mapping!$B$17:$B$22,MATCH($F2566,Mapping!$A$17:$A$22,0)),$F2566)&amp;" "&amp;IF($G2566="Banking","Banking",IFERROR(INDEX(Mapping!$E$17:$E$28,MATCH($J2566,Mapping!$D$17:$D$28,0)),"(unmapped)")))))</f>
        <v/>
      </c>
    </row>
    <row r="2567" spans="11:11" x14ac:dyDescent="0.3">
      <c r="K2567" t="str">
        <f>IF($D2567="","",IFERROR(INDEX(Mapping!$H$3:$H$32,MATCH($B2567,Mapping!$G$3:$G$32,0)),IF(LEFT($F2567,3)="P2P",IFERROR(INDEX(Mapping!$E$3:$E$6,MATCH($G2567,Mapping!$D$3:$D$6,0)),IFERROR(INDEX(Mapping!$B$3:$B$13,MATCH($J2567,Mapping!$A$3:$A$13,0)),"(unmapped)")),IFERROR(INDEX(Mapping!$B$17:$B$22,MATCH($F2567,Mapping!$A$17:$A$22,0)),$F2567)&amp;" "&amp;IF($G2567="Banking","Banking",IFERROR(INDEX(Mapping!$E$17:$E$28,MATCH($J2567,Mapping!$D$17:$D$28,0)),"(unmapped)")))))</f>
        <v/>
      </c>
    </row>
    <row r="2568" spans="11:11" x14ac:dyDescent="0.3">
      <c r="K2568" t="str">
        <f>IF($D2568="","",IFERROR(INDEX(Mapping!$H$3:$H$32,MATCH($B2568,Mapping!$G$3:$G$32,0)),IF(LEFT($F2568,3)="P2P",IFERROR(INDEX(Mapping!$E$3:$E$6,MATCH($G2568,Mapping!$D$3:$D$6,0)),IFERROR(INDEX(Mapping!$B$3:$B$13,MATCH($J2568,Mapping!$A$3:$A$13,0)),"(unmapped)")),IFERROR(INDEX(Mapping!$B$17:$B$22,MATCH($F2568,Mapping!$A$17:$A$22,0)),$F2568)&amp;" "&amp;IF($G2568="Banking","Banking",IFERROR(INDEX(Mapping!$E$17:$E$28,MATCH($J2568,Mapping!$D$17:$D$28,0)),"(unmapped)")))))</f>
        <v/>
      </c>
    </row>
    <row r="2569" spans="11:11" x14ac:dyDescent="0.3">
      <c r="K2569" t="str">
        <f>IF($D2569="","",IFERROR(INDEX(Mapping!$H$3:$H$32,MATCH($B2569,Mapping!$G$3:$G$32,0)),IF(LEFT($F2569,3)="P2P",IFERROR(INDEX(Mapping!$E$3:$E$6,MATCH($G2569,Mapping!$D$3:$D$6,0)),IFERROR(INDEX(Mapping!$B$3:$B$13,MATCH($J2569,Mapping!$A$3:$A$13,0)),"(unmapped)")),IFERROR(INDEX(Mapping!$B$17:$B$22,MATCH($F2569,Mapping!$A$17:$A$22,0)),$F2569)&amp;" "&amp;IF($G2569="Banking","Banking",IFERROR(INDEX(Mapping!$E$17:$E$28,MATCH($J2569,Mapping!$D$17:$D$28,0)),"(unmapped)")))))</f>
        <v/>
      </c>
    </row>
    <row r="2570" spans="11:11" x14ac:dyDescent="0.3">
      <c r="K2570" t="str">
        <f>IF($D2570="","",IFERROR(INDEX(Mapping!$H$3:$H$32,MATCH($B2570,Mapping!$G$3:$G$32,0)),IF(LEFT($F2570,3)="P2P",IFERROR(INDEX(Mapping!$E$3:$E$6,MATCH($G2570,Mapping!$D$3:$D$6,0)),IFERROR(INDEX(Mapping!$B$3:$B$13,MATCH($J2570,Mapping!$A$3:$A$13,0)),"(unmapped)")),IFERROR(INDEX(Mapping!$B$17:$B$22,MATCH($F2570,Mapping!$A$17:$A$22,0)),$F2570)&amp;" "&amp;IF($G2570="Banking","Banking",IFERROR(INDEX(Mapping!$E$17:$E$28,MATCH($J2570,Mapping!$D$17:$D$28,0)),"(unmapped)")))))</f>
        <v/>
      </c>
    </row>
    <row r="2571" spans="11:11" x14ac:dyDescent="0.3">
      <c r="K2571" t="str">
        <f>IF($D2571="","",IFERROR(INDEX(Mapping!$H$3:$H$32,MATCH($B2571,Mapping!$G$3:$G$32,0)),IF(LEFT($F2571,3)="P2P",IFERROR(INDEX(Mapping!$E$3:$E$6,MATCH($G2571,Mapping!$D$3:$D$6,0)),IFERROR(INDEX(Mapping!$B$3:$B$13,MATCH($J2571,Mapping!$A$3:$A$13,0)),"(unmapped)")),IFERROR(INDEX(Mapping!$B$17:$B$22,MATCH($F2571,Mapping!$A$17:$A$22,0)),$F2571)&amp;" "&amp;IF($G2571="Banking","Banking",IFERROR(INDEX(Mapping!$E$17:$E$28,MATCH($J2571,Mapping!$D$17:$D$28,0)),"(unmapped)")))))</f>
        <v/>
      </c>
    </row>
    <row r="2572" spans="11:11" x14ac:dyDescent="0.3">
      <c r="K2572" t="str">
        <f>IF($D2572="","",IFERROR(INDEX(Mapping!$H$3:$H$32,MATCH($B2572,Mapping!$G$3:$G$32,0)),IF(LEFT($F2572,3)="P2P",IFERROR(INDEX(Mapping!$E$3:$E$6,MATCH($G2572,Mapping!$D$3:$D$6,0)),IFERROR(INDEX(Mapping!$B$3:$B$13,MATCH($J2572,Mapping!$A$3:$A$13,0)),"(unmapped)")),IFERROR(INDEX(Mapping!$B$17:$B$22,MATCH($F2572,Mapping!$A$17:$A$22,0)),$F2572)&amp;" "&amp;IF($G2572="Banking","Banking",IFERROR(INDEX(Mapping!$E$17:$E$28,MATCH($J2572,Mapping!$D$17:$D$28,0)),"(unmapped)")))))</f>
        <v/>
      </c>
    </row>
    <row r="2573" spans="11:11" x14ac:dyDescent="0.3">
      <c r="K2573" t="str">
        <f>IF($D2573="","",IFERROR(INDEX(Mapping!$H$3:$H$32,MATCH($B2573,Mapping!$G$3:$G$32,0)),IF(LEFT($F2573,3)="P2P",IFERROR(INDEX(Mapping!$E$3:$E$6,MATCH($G2573,Mapping!$D$3:$D$6,0)),IFERROR(INDEX(Mapping!$B$3:$B$13,MATCH($J2573,Mapping!$A$3:$A$13,0)),"(unmapped)")),IFERROR(INDEX(Mapping!$B$17:$B$22,MATCH($F2573,Mapping!$A$17:$A$22,0)),$F2573)&amp;" "&amp;IF($G2573="Banking","Banking",IFERROR(INDEX(Mapping!$E$17:$E$28,MATCH($J2573,Mapping!$D$17:$D$28,0)),"(unmapped)")))))</f>
        <v/>
      </c>
    </row>
    <row r="2574" spans="11:11" x14ac:dyDescent="0.3">
      <c r="K2574" t="str">
        <f>IF($D2574="","",IFERROR(INDEX(Mapping!$H$3:$H$32,MATCH($B2574,Mapping!$G$3:$G$32,0)),IF(LEFT($F2574,3)="P2P",IFERROR(INDEX(Mapping!$E$3:$E$6,MATCH($G2574,Mapping!$D$3:$D$6,0)),IFERROR(INDEX(Mapping!$B$3:$B$13,MATCH($J2574,Mapping!$A$3:$A$13,0)),"(unmapped)")),IFERROR(INDEX(Mapping!$B$17:$B$22,MATCH($F2574,Mapping!$A$17:$A$22,0)),$F2574)&amp;" "&amp;IF($G2574="Banking","Banking",IFERROR(INDEX(Mapping!$E$17:$E$28,MATCH($J2574,Mapping!$D$17:$D$28,0)),"(unmapped)")))))</f>
        <v/>
      </c>
    </row>
    <row r="2575" spans="11:11" x14ac:dyDescent="0.3">
      <c r="K2575" t="str">
        <f>IF($D2575="","",IFERROR(INDEX(Mapping!$H$3:$H$32,MATCH($B2575,Mapping!$G$3:$G$32,0)),IF(LEFT($F2575,3)="P2P",IFERROR(INDEX(Mapping!$E$3:$E$6,MATCH($G2575,Mapping!$D$3:$D$6,0)),IFERROR(INDEX(Mapping!$B$3:$B$13,MATCH($J2575,Mapping!$A$3:$A$13,0)),"(unmapped)")),IFERROR(INDEX(Mapping!$B$17:$B$22,MATCH($F2575,Mapping!$A$17:$A$22,0)),$F2575)&amp;" "&amp;IF($G2575="Banking","Banking",IFERROR(INDEX(Mapping!$E$17:$E$28,MATCH($J2575,Mapping!$D$17:$D$28,0)),"(unmapped)")))))</f>
        <v/>
      </c>
    </row>
    <row r="2576" spans="11:11" x14ac:dyDescent="0.3">
      <c r="K2576" t="str">
        <f>IF($D2576="","",IFERROR(INDEX(Mapping!$H$3:$H$32,MATCH($B2576,Mapping!$G$3:$G$32,0)),IF(LEFT($F2576,3)="P2P",IFERROR(INDEX(Mapping!$E$3:$E$6,MATCH($G2576,Mapping!$D$3:$D$6,0)),IFERROR(INDEX(Mapping!$B$3:$B$13,MATCH($J2576,Mapping!$A$3:$A$13,0)),"(unmapped)")),IFERROR(INDEX(Mapping!$B$17:$B$22,MATCH($F2576,Mapping!$A$17:$A$22,0)),$F2576)&amp;" "&amp;IF($G2576="Banking","Banking",IFERROR(INDEX(Mapping!$E$17:$E$28,MATCH($J2576,Mapping!$D$17:$D$28,0)),"(unmapped)")))))</f>
        <v/>
      </c>
    </row>
    <row r="2577" spans="11:11" x14ac:dyDescent="0.3">
      <c r="K2577" t="str">
        <f>IF($D2577="","",IFERROR(INDEX(Mapping!$H$3:$H$32,MATCH($B2577,Mapping!$G$3:$G$32,0)),IF(LEFT($F2577,3)="P2P",IFERROR(INDEX(Mapping!$E$3:$E$6,MATCH($G2577,Mapping!$D$3:$D$6,0)),IFERROR(INDEX(Mapping!$B$3:$B$13,MATCH($J2577,Mapping!$A$3:$A$13,0)),"(unmapped)")),IFERROR(INDEX(Mapping!$B$17:$B$22,MATCH($F2577,Mapping!$A$17:$A$22,0)),$F2577)&amp;" "&amp;IF($G2577="Banking","Banking",IFERROR(INDEX(Mapping!$E$17:$E$28,MATCH($J2577,Mapping!$D$17:$D$28,0)),"(unmapped)")))))</f>
        <v/>
      </c>
    </row>
    <row r="2578" spans="11:11" x14ac:dyDescent="0.3">
      <c r="K2578" t="str">
        <f>IF($D2578="","",IFERROR(INDEX(Mapping!$H$3:$H$32,MATCH($B2578,Mapping!$G$3:$G$32,0)),IF(LEFT($F2578,3)="P2P",IFERROR(INDEX(Mapping!$E$3:$E$6,MATCH($G2578,Mapping!$D$3:$D$6,0)),IFERROR(INDEX(Mapping!$B$3:$B$13,MATCH($J2578,Mapping!$A$3:$A$13,0)),"(unmapped)")),IFERROR(INDEX(Mapping!$B$17:$B$22,MATCH($F2578,Mapping!$A$17:$A$22,0)),$F2578)&amp;" "&amp;IF($G2578="Banking","Banking",IFERROR(INDEX(Mapping!$E$17:$E$28,MATCH($J2578,Mapping!$D$17:$D$28,0)),"(unmapped)")))))</f>
        <v/>
      </c>
    </row>
    <row r="2579" spans="11:11" x14ac:dyDescent="0.3">
      <c r="K2579" t="str">
        <f>IF($D2579="","",IFERROR(INDEX(Mapping!$H$3:$H$32,MATCH($B2579,Mapping!$G$3:$G$32,0)),IF(LEFT($F2579,3)="P2P",IFERROR(INDEX(Mapping!$E$3:$E$6,MATCH($G2579,Mapping!$D$3:$D$6,0)),IFERROR(INDEX(Mapping!$B$3:$B$13,MATCH($J2579,Mapping!$A$3:$A$13,0)),"(unmapped)")),IFERROR(INDEX(Mapping!$B$17:$B$22,MATCH($F2579,Mapping!$A$17:$A$22,0)),$F2579)&amp;" "&amp;IF($G2579="Banking","Banking",IFERROR(INDEX(Mapping!$E$17:$E$28,MATCH($J2579,Mapping!$D$17:$D$28,0)),"(unmapped)")))))</f>
        <v/>
      </c>
    </row>
    <row r="2580" spans="11:11" x14ac:dyDescent="0.3">
      <c r="K2580" t="str">
        <f>IF($D2580="","",IFERROR(INDEX(Mapping!$H$3:$H$32,MATCH($B2580,Mapping!$G$3:$G$32,0)),IF(LEFT($F2580,3)="P2P",IFERROR(INDEX(Mapping!$E$3:$E$6,MATCH($G2580,Mapping!$D$3:$D$6,0)),IFERROR(INDEX(Mapping!$B$3:$B$13,MATCH($J2580,Mapping!$A$3:$A$13,0)),"(unmapped)")),IFERROR(INDEX(Mapping!$B$17:$B$22,MATCH($F2580,Mapping!$A$17:$A$22,0)),$F2580)&amp;" "&amp;IF($G2580="Banking","Banking",IFERROR(INDEX(Mapping!$E$17:$E$28,MATCH($J2580,Mapping!$D$17:$D$28,0)),"(unmapped)")))))</f>
        <v/>
      </c>
    </row>
    <row r="2581" spans="11:11" x14ac:dyDescent="0.3">
      <c r="K2581" t="str">
        <f>IF($D2581="","",IFERROR(INDEX(Mapping!$H$3:$H$32,MATCH($B2581,Mapping!$G$3:$G$32,0)),IF(LEFT($F2581,3)="P2P",IFERROR(INDEX(Mapping!$E$3:$E$6,MATCH($G2581,Mapping!$D$3:$D$6,0)),IFERROR(INDEX(Mapping!$B$3:$B$13,MATCH($J2581,Mapping!$A$3:$A$13,0)),"(unmapped)")),IFERROR(INDEX(Mapping!$B$17:$B$22,MATCH($F2581,Mapping!$A$17:$A$22,0)),$F2581)&amp;" "&amp;IF($G2581="Banking","Banking",IFERROR(INDEX(Mapping!$E$17:$E$28,MATCH($J2581,Mapping!$D$17:$D$28,0)),"(unmapped)")))))</f>
        <v/>
      </c>
    </row>
    <row r="2582" spans="11:11" x14ac:dyDescent="0.3">
      <c r="K2582" t="str">
        <f>IF($D2582="","",IFERROR(INDEX(Mapping!$H$3:$H$32,MATCH($B2582,Mapping!$G$3:$G$32,0)),IF(LEFT($F2582,3)="P2P",IFERROR(INDEX(Mapping!$E$3:$E$6,MATCH($G2582,Mapping!$D$3:$D$6,0)),IFERROR(INDEX(Mapping!$B$3:$B$13,MATCH($J2582,Mapping!$A$3:$A$13,0)),"(unmapped)")),IFERROR(INDEX(Mapping!$B$17:$B$22,MATCH($F2582,Mapping!$A$17:$A$22,0)),$F2582)&amp;" "&amp;IF($G2582="Banking","Banking",IFERROR(INDEX(Mapping!$E$17:$E$28,MATCH($J2582,Mapping!$D$17:$D$28,0)),"(unmapped)")))))</f>
        <v/>
      </c>
    </row>
    <row r="2583" spans="11:11" x14ac:dyDescent="0.3">
      <c r="K2583" t="str">
        <f>IF($D2583="","",IFERROR(INDEX(Mapping!$H$3:$H$32,MATCH($B2583,Mapping!$G$3:$G$32,0)),IF(LEFT($F2583,3)="P2P",IFERROR(INDEX(Mapping!$E$3:$E$6,MATCH($G2583,Mapping!$D$3:$D$6,0)),IFERROR(INDEX(Mapping!$B$3:$B$13,MATCH($J2583,Mapping!$A$3:$A$13,0)),"(unmapped)")),IFERROR(INDEX(Mapping!$B$17:$B$22,MATCH($F2583,Mapping!$A$17:$A$22,0)),$F2583)&amp;" "&amp;IF($G2583="Banking","Banking",IFERROR(INDEX(Mapping!$E$17:$E$28,MATCH($J2583,Mapping!$D$17:$D$28,0)),"(unmapped)")))))</f>
        <v/>
      </c>
    </row>
    <row r="2584" spans="11:11" x14ac:dyDescent="0.3">
      <c r="K2584" t="str">
        <f>IF($D2584="","",IFERROR(INDEX(Mapping!$H$3:$H$32,MATCH($B2584,Mapping!$G$3:$G$32,0)),IF(LEFT($F2584,3)="P2P",IFERROR(INDEX(Mapping!$E$3:$E$6,MATCH($G2584,Mapping!$D$3:$D$6,0)),IFERROR(INDEX(Mapping!$B$3:$B$13,MATCH($J2584,Mapping!$A$3:$A$13,0)),"(unmapped)")),IFERROR(INDEX(Mapping!$B$17:$B$22,MATCH($F2584,Mapping!$A$17:$A$22,0)),$F2584)&amp;" "&amp;IF($G2584="Banking","Banking",IFERROR(INDEX(Mapping!$E$17:$E$28,MATCH($J2584,Mapping!$D$17:$D$28,0)),"(unmapped)")))))</f>
        <v/>
      </c>
    </row>
    <row r="2585" spans="11:11" x14ac:dyDescent="0.3">
      <c r="K2585" t="str">
        <f>IF($D2585="","",IFERROR(INDEX(Mapping!$H$3:$H$32,MATCH($B2585,Mapping!$G$3:$G$32,0)),IF(LEFT($F2585,3)="P2P",IFERROR(INDEX(Mapping!$E$3:$E$6,MATCH($G2585,Mapping!$D$3:$D$6,0)),IFERROR(INDEX(Mapping!$B$3:$B$13,MATCH($J2585,Mapping!$A$3:$A$13,0)),"(unmapped)")),IFERROR(INDEX(Mapping!$B$17:$B$22,MATCH($F2585,Mapping!$A$17:$A$22,0)),$F2585)&amp;" "&amp;IF($G2585="Banking","Banking",IFERROR(INDEX(Mapping!$E$17:$E$28,MATCH($J2585,Mapping!$D$17:$D$28,0)),"(unmapped)")))))</f>
        <v/>
      </c>
    </row>
    <row r="2586" spans="11:11" x14ac:dyDescent="0.3">
      <c r="K2586" t="str">
        <f>IF($D2586="","",IFERROR(INDEX(Mapping!$H$3:$H$32,MATCH($B2586,Mapping!$G$3:$G$32,0)),IF(LEFT($F2586,3)="P2P",IFERROR(INDEX(Mapping!$E$3:$E$6,MATCH($G2586,Mapping!$D$3:$D$6,0)),IFERROR(INDEX(Mapping!$B$3:$B$13,MATCH($J2586,Mapping!$A$3:$A$13,0)),"(unmapped)")),IFERROR(INDEX(Mapping!$B$17:$B$22,MATCH($F2586,Mapping!$A$17:$A$22,0)),$F2586)&amp;" "&amp;IF($G2586="Banking","Banking",IFERROR(INDEX(Mapping!$E$17:$E$28,MATCH($J2586,Mapping!$D$17:$D$28,0)),"(unmapped)")))))</f>
        <v/>
      </c>
    </row>
    <row r="2587" spans="11:11" x14ac:dyDescent="0.3">
      <c r="K2587" t="str">
        <f>IF($D2587="","",IFERROR(INDEX(Mapping!$H$3:$H$32,MATCH($B2587,Mapping!$G$3:$G$32,0)),IF(LEFT($F2587,3)="P2P",IFERROR(INDEX(Mapping!$E$3:$E$6,MATCH($G2587,Mapping!$D$3:$D$6,0)),IFERROR(INDEX(Mapping!$B$3:$B$13,MATCH($J2587,Mapping!$A$3:$A$13,0)),"(unmapped)")),IFERROR(INDEX(Mapping!$B$17:$B$22,MATCH($F2587,Mapping!$A$17:$A$22,0)),$F2587)&amp;" "&amp;IF($G2587="Banking","Banking",IFERROR(INDEX(Mapping!$E$17:$E$28,MATCH($J2587,Mapping!$D$17:$D$28,0)),"(unmapped)")))))</f>
        <v/>
      </c>
    </row>
    <row r="2588" spans="11:11" x14ac:dyDescent="0.3">
      <c r="K2588" t="str">
        <f>IF($D2588="","",IFERROR(INDEX(Mapping!$H$3:$H$32,MATCH($B2588,Mapping!$G$3:$G$32,0)),IF(LEFT($F2588,3)="P2P",IFERROR(INDEX(Mapping!$E$3:$E$6,MATCH($G2588,Mapping!$D$3:$D$6,0)),IFERROR(INDEX(Mapping!$B$3:$B$13,MATCH($J2588,Mapping!$A$3:$A$13,0)),"(unmapped)")),IFERROR(INDEX(Mapping!$B$17:$B$22,MATCH($F2588,Mapping!$A$17:$A$22,0)),$F2588)&amp;" "&amp;IF($G2588="Banking","Banking",IFERROR(INDEX(Mapping!$E$17:$E$28,MATCH($J2588,Mapping!$D$17:$D$28,0)),"(unmapped)")))))</f>
        <v/>
      </c>
    </row>
    <row r="2589" spans="11:11" x14ac:dyDescent="0.3">
      <c r="K2589" t="str">
        <f>IF($D2589="","",IFERROR(INDEX(Mapping!$H$3:$H$32,MATCH($B2589,Mapping!$G$3:$G$32,0)),IF(LEFT($F2589,3)="P2P",IFERROR(INDEX(Mapping!$E$3:$E$6,MATCH($G2589,Mapping!$D$3:$D$6,0)),IFERROR(INDEX(Mapping!$B$3:$B$13,MATCH($J2589,Mapping!$A$3:$A$13,0)),"(unmapped)")),IFERROR(INDEX(Mapping!$B$17:$B$22,MATCH($F2589,Mapping!$A$17:$A$22,0)),$F2589)&amp;" "&amp;IF($G2589="Banking","Banking",IFERROR(INDEX(Mapping!$E$17:$E$28,MATCH($J2589,Mapping!$D$17:$D$28,0)),"(unmapped)")))))</f>
        <v/>
      </c>
    </row>
    <row r="2590" spans="11:11" x14ac:dyDescent="0.3">
      <c r="K2590" t="str">
        <f>IF($D2590="","",IFERROR(INDEX(Mapping!$H$3:$H$32,MATCH($B2590,Mapping!$G$3:$G$32,0)),IF(LEFT($F2590,3)="P2P",IFERROR(INDEX(Mapping!$E$3:$E$6,MATCH($G2590,Mapping!$D$3:$D$6,0)),IFERROR(INDEX(Mapping!$B$3:$B$13,MATCH($J2590,Mapping!$A$3:$A$13,0)),"(unmapped)")),IFERROR(INDEX(Mapping!$B$17:$B$22,MATCH($F2590,Mapping!$A$17:$A$22,0)),$F2590)&amp;" "&amp;IF($G2590="Banking","Banking",IFERROR(INDEX(Mapping!$E$17:$E$28,MATCH($J2590,Mapping!$D$17:$D$28,0)),"(unmapped)")))))</f>
        <v/>
      </c>
    </row>
    <row r="2591" spans="11:11" x14ac:dyDescent="0.3">
      <c r="K2591" t="str">
        <f>IF($D2591="","",IFERROR(INDEX(Mapping!$H$3:$H$32,MATCH($B2591,Mapping!$G$3:$G$32,0)),IF(LEFT($F2591,3)="P2P",IFERROR(INDEX(Mapping!$E$3:$E$6,MATCH($G2591,Mapping!$D$3:$D$6,0)),IFERROR(INDEX(Mapping!$B$3:$B$13,MATCH($J2591,Mapping!$A$3:$A$13,0)),"(unmapped)")),IFERROR(INDEX(Mapping!$B$17:$B$22,MATCH($F2591,Mapping!$A$17:$A$22,0)),$F2591)&amp;" "&amp;IF($G2591="Banking","Banking",IFERROR(INDEX(Mapping!$E$17:$E$28,MATCH($J2591,Mapping!$D$17:$D$28,0)),"(unmapped)")))))</f>
        <v/>
      </c>
    </row>
    <row r="2592" spans="11:11" x14ac:dyDescent="0.3">
      <c r="K2592" t="str">
        <f>IF($D2592="","",IFERROR(INDEX(Mapping!$H$3:$H$32,MATCH($B2592,Mapping!$G$3:$G$32,0)),IF(LEFT($F2592,3)="P2P",IFERROR(INDEX(Mapping!$E$3:$E$6,MATCH($G2592,Mapping!$D$3:$D$6,0)),IFERROR(INDEX(Mapping!$B$3:$B$13,MATCH($J2592,Mapping!$A$3:$A$13,0)),"(unmapped)")),IFERROR(INDEX(Mapping!$B$17:$B$22,MATCH($F2592,Mapping!$A$17:$A$22,0)),$F2592)&amp;" "&amp;IF($G2592="Banking","Banking",IFERROR(INDEX(Mapping!$E$17:$E$28,MATCH($J2592,Mapping!$D$17:$D$28,0)),"(unmapped)")))))</f>
        <v/>
      </c>
    </row>
    <row r="2593" spans="11:11" x14ac:dyDescent="0.3">
      <c r="K2593" t="str">
        <f>IF($D2593="","",IFERROR(INDEX(Mapping!$H$3:$H$32,MATCH($B2593,Mapping!$G$3:$G$32,0)),IF(LEFT($F2593,3)="P2P",IFERROR(INDEX(Mapping!$E$3:$E$6,MATCH($G2593,Mapping!$D$3:$D$6,0)),IFERROR(INDEX(Mapping!$B$3:$B$13,MATCH($J2593,Mapping!$A$3:$A$13,0)),"(unmapped)")),IFERROR(INDEX(Mapping!$B$17:$B$22,MATCH($F2593,Mapping!$A$17:$A$22,0)),$F2593)&amp;" "&amp;IF($G2593="Banking","Banking",IFERROR(INDEX(Mapping!$E$17:$E$28,MATCH($J2593,Mapping!$D$17:$D$28,0)),"(unmapped)")))))</f>
        <v/>
      </c>
    </row>
    <row r="2594" spans="11:11" x14ac:dyDescent="0.3">
      <c r="K2594" t="str">
        <f>IF($D2594="","",IFERROR(INDEX(Mapping!$H$3:$H$32,MATCH($B2594,Mapping!$G$3:$G$32,0)),IF(LEFT($F2594,3)="P2P",IFERROR(INDEX(Mapping!$E$3:$E$6,MATCH($G2594,Mapping!$D$3:$D$6,0)),IFERROR(INDEX(Mapping!$B$3:$B$13,MATCH($J2594,Mapping!$A$3:$A$13,0)),"(unmapped)")),IFERROR(INDEX(Mapping!$B$17:$B$22,MATCH($F2594,Mapping!$A$17:$A$22,0)),$F2594)&amp;" "&amp;IF($G2594="Banking","Banking",IFERROR(INDEX(Mapping!$E$17:$E$28,MATCH($J2594,Mapping!$D$17:$D$28,0)),"(unmapped)")))))</f>
        <v/>
      </c>
    </row>
    <row r="2595" spans="11:11" x14ac:dyDescent="0.3">
      <c r="K2595" t="str">
        <f>IF($D2595="","",IFERROR(INDEX(Mapping!$H$3:$H$32,MATCH($B2595,Mapping!$G$3:$G$32,0)),IF(LEFT($F2595,3)="P2P",IFERROR(INDEX(Mapping!$E$3:$E$6,MATCH($G2595,Mapping!$D$3:$D$6,0)),IFERROR(INDEX(Mapping!$B$3:$B$13,MATCH($J2595,Mapping!$A$3:$A$13,0)),"(unmapped)")),IFERROR(INDEX(Mapping!$B$17:$B$22,MATCH($F2595,Mapping!$A$17:$A$22,0)),$F2595)&amp;" "&amp;IF($G2595="Banking","Banking",IFERROR(INDEX(Mapping!$E$17:$E$28,MATCH($J2595,Mapping!$D$17:$D$28,0)),"(unmapped)")))))</f>
        <v/>
      </c>
    </row>
    <row r="2596" spans="11:11" x14ac:dyDescent="0.3">
      <c r="K2596" t="str">
        <f>IF($D2596="","",IFERROR(INDEX(Mapping!$H$3:$H$32,MATCH($B2596,Mapping!$G$3:$G$32,0)),IF(LEFT($F2596,3)="P2P",IFERROR(INDEX(Mapping!$E$3:$E$6,MATCH($G2596,Mapping!$D$3:$D$6,0)),IFERROR(INDEX(Mapping!$B$3:$B$13,MATCH($J2596,Mapping!$A$3:$A$13,0)),"(unmapped)")),IFERROR(INDEX(Mapping!$B$17:$B$22,MATCH($F2596,Mapping!$A$17:$A$22,0)),$F2596)&amp;" "&amp;IF($G2596="Banking","Banking",IFERROR(INDEX(Mapping!$E$17:$E$28,MATCH($J2596,Mapping!$D$17:$D$28,0)),"(unmapped)")))))</f>
        <v/>
      </c>
    </row>
    <row r="2597" spans="11:11" x14ac:dyDescent="0.3">
      <c r="K2597" t="str">
        <f>IF($D2597="","",IFERROR(INDEX(Mapping!$H$3:$H$32,MATCH($B2597,Mapping!$G$3:$G$32,0)),IF(LEFT($F2597,3)="P2P",IFERROR(INDEX(Mapping!$E$3:$E$6,MATCH($G2597,Mapping!$D$3:$D$6,0)),IFERROR(INDEX(Mapping!$B$3:$B$13,MATCH($J2597,Mapping!$A$3:$A$13,0)),"(unmapped)")),IFERROR(INDEX(Mapping!$B$17:$B$22,MATCH($F2597,Mapping!$A$17:$A$22,0)),$F2597)&amp;" "&amp;IF($G2597="Banking","Banking",IFERROR(INDEX(Mapping!$E$17:$E$28,MATCH($J2597,Mapping!$D$17:$D$28,0)),"(unmapped)")))))</f>
        <v/>
      </c>
    </row>
    <row r="2598" spans="11:11" x14ac:dyDescent="0.3">
      <c r="K2598" t="str">
        <f>IF($D2598="","",IFERROR(INDEX(Mapping!$H$3:$H$32,MATCH($B2598,Mapping!$G$3:$G$32,0)),IF(LEFT($F2598,3)="P2P",IFERROR(INDEX(Mapping!$E$3:$E$6,MATCH($G2598,Mapping!$D$3:$D$6,0)),IFERROR(INDEX(Mapping!$B$3:$B$13,MATCH($J2598,Mapping!$A$3:$A$13,0)),"(unmapped)")),IFERROR(INDEX(Mapping!$B$17:$B$22,MATCH($F2598,Mapping!$A$17:$A$22,0)),$F2598)&amp;" "&amp;IF($G2598="Banking","Banking",IFERROR(INDEX(Mapping!$E$17:$E$28,MATCH($J2598,Mapping!$D$17:$D$28,0)),"(unmapped)")))))</f>
        <v/>
      </c>
    </row>
    <row r="2599" spans="11:11" x14ac:dyDescent="0.3">
      <c r="K2599" t="str">
        <f>IF($D2599="","",IFERROR(INDEX(Mapping!$H$3:$H$32,MATCH($B2599,Mapping!$G$3:$G$32,0)),IF(LEFT($F2599,3)="P2P",IFERROR(INDEX(Mapping!$E$3:$E$6,MATCH($G2599,Mapping!$D$3:$D$6,0)),IFERROR(INDEX(Mapping!$B$3:$B$13,MATCH($J2599,Mapping!$A$3:$A$13,0)),"(unmapped)")),IFERROR(INDEX(Mapping!$B$17:$B$22,MATCH($F2599,Mapping!$A$17:$A$22,0)),$F2599)&amp;" "&amp;IF($G2599="Banking","Banking",IFERROR(INDEX(Mapping!$E$17:$E$28,MATCH($J2599,Mapping!$D$17:$D$28,0)),"(unmapped)")))))</f>
        <v/>
      </c>
    </row>
    <row r="2600" spans="11:11" x14ac:dyDescent="0.3">
      <c r="K2600" t="str">
        <f>IF($D2600="","",IFERROR(INDEX(Mapping!$H$3:$H$32,MATCH($B2600,Mapping!$G$3:$G$32,0)),IF(LEFT($F2600,3)="P2P",IFERROR(INDEX(Mapping!$E$3:$E$6,MATCH($G2600,Mapping!$D$3:$D$6,0)),IFERROR(INDEX(Mapping!$B$3:$B$13,MATCH($J2600,Mapping!$A$3:$A$13,0)),"(unmapped)")),IFERROR(INDEX(Mapping!$B$17:$B$22,MATCH($F2600,Mapping!$A$17:$A$22,0)),$F2600)&amp;" "&amp;IF($G2600="Banking","Banking",IFERROR(INDEX(Mapping!$E$17:$E$28,MATCH($J2600,Mapping!$D$17:$D$28,0)),"(unmapped)")))))</f>
        <v/>
      </c>
    </row>
    <row r="2601" spans="11:11" x14ac:dyDescent="0.3">
      <c r="K2601" t="str">
        <f>IF($D2601="","",IFERROR(INDEX(Mapping!$H$3:$H$32,MATCH($B2601,Mapping!$G$3:$G$32,0)),IF(LEFT($F2601,3)="P2P",IFERROR(INDEX(Mapping!$E$3:$E$6,MATCH($G2601,Mapping!$D$3:$D$6,0)),IFERROR(INDEX(Mapping!$B$3:$B$13,MATCH($J2601,Mapping!$A$3:$A$13,0)),"(unmapped)")),IFERROR(INDEX(Mapping!$B$17:$B$22,MATCH($F2601,Mapping!$A$17:$A$22,0)),$F2601)&amp;" "&amp;IF($G2601="Banking","Banking",IFERROR(INDEX(Mapping!$E$17:$E$28,MATCH($J2601,Mapping!$D$17:$D$28,0)),"(unmapped)")))))</f>
        <v/>
      </c>
    </row>
    <row r="2602" spans="11:11" x14ac:dyDescent="0.3">
      <c r="K2602" t="str">
        <f>IF($D2602="","",IFERROR(INDEX(Mapping!$H$3:$H$32,MATCH($B2602,Mapping!$G$3:$G$32,0)),IF(LEFT($F2602,3)="P2P",IFERROR(INDEX(Mapping!$E$3:$E$6,MATCH($G2602,Mapping!$D$3:$D$6,0)),IFERROR(INDEX(Mapping!$B$3:$B$13,MATCH($J2602,Mapping!$A$3:$A$13,0)),"(unmapped)")),IFERROR(INDEX(Mapping!$B$17:$B$22,MATCH($F2602,Mapping!$A$17:$A$22,0)),$F2602)&amp;" "&amp;IF($G2602="Banking","Banking",IFERROR(INDEX(Mapping!$E$17:$E$28,MATCH($J2602,Mapping!$D$17:$D$28,0)),"(unmapped)")))))</f>
        <v/>
      </c>
    </row>
    <row r="2603" spans="11:11" x14ac:dyDescent="0.3">
      <c r="K2603" t="str">
        <f>IF($D2603="","",IFERROR(INDEX(Mapping!$H$3:$H$32,MATCH($B2603,Mapping!$G$3:$G$32,0)),IF(LEFT($F2603,3)="P2P",IFERROR(INDEX(Mapping!$E$3:$E$6,MATCH($G2603,Mapping!$D$3:$D$6,0)),IFERROR(INDEX(Mapping!$B$3:$B$13,MATCH($J2603,Mapping!$A$3:$A$13,0)),"(unmapped)")),IFERROR(INDEX(Mapping!$B$17:$B$22,MATCH($F2603,Mapping!$A$17:$A$22,0)),$F2603)&amp;" "&amp;IF($G2603="Banking","Banking",IFERROR(INDEX(Mapping!$E$17:$E$28,MATCH($J2603,Mapping!$D$17:$D$28,0)),"(unmapped)")))))</f>
        <v/>
      </c>
    </row>
    <row r="2604" spans="11:11" x14ac:dyDescent="0.3">
      <c r="K2604" t="str">
        <f>IF($D2604="","",IFERROR(INDEX(Mapping!$H$3:$H$32,MATCH($B2604,Mapping!$G$3:$G$32,0)),IF(LEFT($F2604,3)="P2P",IFERROR(INDEX(Mapping!$E$3:$E$6,MATCH($G2604,Mapping!$D$3:$D$6,0)),IFERROR(INDEX(Mapping!$B$3:$B$13,MATCH($J2604,Mapping!$A$3:$A$13,0)),"(unmapped)")),IFERROR(INDEX(Mapping!$B$17:$B$22,MATCH($F2604,Mapping!$A$17:$A$22,0)),$F2604)&amp;" "&amp;IF($G2604="Banking","Banking",IFERROR(INDEX(Mapping!$E$17:$E$28,MATCH($J2604,Mapping!$D$17:$D$28,0)),"(unmapped)")))))</f>
        <v/>
      </c>
    </row>
    <row r="2605" spans="11:11" x14ac:dyDescent="0.3">
      <c r="K2605" t="str">
        <f>IF($D2605="","",IFERROR(INDEX(Mapping!$H$3:$H$32,MATCH($B2605,Mapping!$G$3:$G$32,0)),IF(LEFT($F2605,3)="P2P",IFERROR(INDEX(Mapping!$E$3:$E$6,MATCH($G2605,Mapping!$D$3:$D$6,0)),IFERROR(INDEX(Mapping!$B$3:$B$13,MATCH($J2605,Mapping!$A$3:$A$13,0)),"(unmapped)")),IFERROR(INDEX(Mapping!$B$17:$B$22,MATCH($F2605,Mapping!$A$17:$A$22,0)),$F2605)&amp;" "&amp;IF($G2605="Banking","Banking",IFERROR(INDEX(Mapping!$E$17:$E$28,MATCH($J2605,Mapping!$D$17:$D$28,0)),"(unmapped)")))))</f>
        <v/>
      </c>
    </row>
    <row r="2606" spans="11:11" x14ac:dyDescent="0.3">
      <c r="K2606" t="str">
        <f>IF($D2606="","",IFERROR(INDEX(Mapping!$H$3:$H$32,MATCH($B2606,Mapping!$G$3:$G$32,0)),IF(LEFT($F2606,3)="P2P",IFERROR(INDEX(Mapping!$E$3:$E$6,MATCH($G2606,Mapping!$D$3:$D$6,0)),IFERROR(INDEX(Mapping!$B$3:$B$13,MATCH($J2606,Mapping!$A$3:$A$13,0)),"(unmapped)")),IFERROR(INDEX(Mapping!$B$17:$B$22,MATCH($F2606,Mapping!$A$17:$A$22,0)),$F2606)&amp;" "&amp;IF($G2606="Banking","Banking",IFERROR(INDEX(Mapping!$E$17:$E$28,MATCH($J2606,Mapping!$D$17:$D$28,0)),"(unmapped)")))))</f>
        <v/>
      </c>
    </row>
    <row r="2607" spans="11:11" x14ac:dyDescent="0.3">
      <c r="K2607" t="str">
        <f>IF($D2607="","",IFERROR(INDEX(Mapping!$H$3:$H$32,MATCH($B2607,Mapping!$G$3:$G$32,0)),IF(LEFT($F2607,3)="P2P",IFERROR(INDEX(Mapping!$E$3:$E$6,MATCH($G2607,Mapping!$D$3:$D$6,0)),IFERROR(INDEX(Mapping!$B$3:$B$13,MATCH($J2607,Mapping!$A$3:$A$13,0)),"(unmapped)")),IFERROR(INDEX(Mapping!$B$17:$B$22,MATCH($F2607,Mapping!$A$17:$A$22,0)),$F2607)&amp;" "&amp;IF($G2607="Banking","Banking",IFERROR(INDEX(Mapping!$E$17:$E$28,MATCH($J2607,Mapping!$D$17:$D$28,0)),"(unmapped)")))))</f>
        <v/>
      </c>
    </row>
    <row r="2608" spans="11:11" x14ac:dyDescent="0.3">
      <c r="K2608" t="str">
        <f>IF($D2608="","",IFERROR(INDEX(Mapping!$H$3:$H$32,MATCH($B2608,Mapping!$G$3:$G$32,0)),IF(LEFT($F2608,3)="P2P",IFERROR(INDEX(Mapping!$E$3:$E$6,MATCH($G2608,Mapping!$D$3:$D$6,0)),IFERROR(INDEX(Mapping!$B$3:$B$13,MATCH($J2608,Mapping!$A$3:$A$13,0)),"(unmapped)")),IFERROR(INDEX(Mapping!$B$17:$B$22,MATCH($F2608,Mapping!$A$17:$A$22,0)),$F2608)&amp;" "&amp;IF($G2608="Banking","Banking",IFERROR(INDEX(Mapping!$E$17:$E$28,MATCH($J2608,Mapping!$D$17:$D$28,0)),"(unmapped)")))))</f>
        <v/>
      </c>
    </row>
    <row r="2609" spans="11:11" x14ac:dyDescent="0.3">
      <c r="K2609" t="str">
        <f>IF($D2609="","",IFERROR(INDEX(Mapping!$H$3:$H$32,MATCH($B2609,Mapping!$G$3:$G$32,0)),IF(LEFT($F2609,3)="P2P",IFERROR(INDEX(Mapping!$E$3:$E$6,MATCH($G2609,Mapping!$D$3:$D$6,0)),IFERROR(INDEX(Mapping!$B$3:$B$13,MATCH($J2609,Mapping!$A$3:$A$13,0)),"(unmapped)")),IFERROR(INDEX(Mapping!$B$17:$B$22,MATCH($F2609,Mapping!$A$17:$A$22,0)),$F2609)&amp;" "&amp;IF($G2609="Banking","Banking",IFERROR(INDEX(Mapping!$E$17:$E$28,MATCH($J2609,Mapping!$D$17:$D$28,0)),"(unmapped)")))))</f>
        <v/>
      </c>
    </row>
    <row r="2610" spans="11:11" x14ac:dyDescent="0.3">
      <c r="K2610" t="str">
        <f>IF($D2610="","",IFERROR(INDEX(Mapping!$H$3:$H$32,MATCH($B2610,Mapping!$G$3:$G$32,0)),IF(LEFT($F2610,3)="P2P",IFERROR(INDEX(Mapping!$E$3:$E$6,MATCH($G2610,Mapping!$D$3:$D$6,0)),IFERROR(INDEX(Mapping!$B$3:$B$13,MATCH($J2610,Mapping!$A$3:$A$13,0)),"(unmapped)")),IFERROR(INDEX(Mapping!$B$17:$B$22,MATCH($F2610,Mapping!$A$17:$A$22,0)),$F2610)&amp;" "&amp;IF($G2610="Banking","Banking",IFERROR(INDEX(Mapping!$E$17:$E$28,MATCH($J2610,Mapping!$D$17:$D$28,0)),"(unmapped)")))))</f>
        <v/>
      </c>
    </row>
    <row r="2611" spans="11:11" x14ac:dyDescent="0.3">
      <c r="K2611" t="str">
        <f>IF($D2611="","",IFERROR(INDEX(Mapping!$H$3:$H$32,MATCH($B2611,Mapping!$G$3:$G$32,0)),IF(LEFT($F2611,3)="P2P",IFERROR(INDEX(Mapping!$E$3:$E$6,MATCH($G2611,Mapping!$D$3:$D$6,0)),IFERROR(INDEX(Mapping!$B$3:$B$13,MATCH($J2611,Mapping!$A$3:$A$13,0)),"(unmapped)")),IFERROR(INDEX(Mapping!$B$17:$B$22,MATCH($F2611,Mapping!$A$17:$A$22,0)),$F2611)&amp;" "&amp;IF($G2611="Banking","Banking",IFERROR(INDEX(Mapping!$E$17:$E$28,MATCH($J2611,Mapping!$D$17:$D$28,0)),"(unmapped)")))))</f>
        <v/>
      </c>
    </row>
    <row r="2612" spans="11:11" x14ac:dyDescent="0.3">
      <c r="K2612" t="str">
        <f>IF($D2612="","",IFERROR(INDEX(Mapping!$H$3:$H$32,MATCH($B2612,Mapping!$G$3:$G$32,0)),IF(LEFT($F2612,3)="P2P",IFERROR(INDEX(Mapping!$E$3:$E$6,MATCH($G2612,Mapping!$D$3:$D$6,0)),IFERROR(INDEX(Mapping!$B$3:$B$13,MATCH($J2612,Mapping!$A$3:$A$13,0)),"(unmapped)")),IFERROR(INDEX(Mapping!$B$17:$B$22,MATCH($F2612,Mapping!$A$17:$A$22,0)),$F2612)&amp;" "&amp;IF($G2612="Banking","Banking",IFERROR(INDEX(Mapping!$E$17:$E$28,MATCH($J2612,Mapping!$D$17:$D$28,0)),"(unmapped)")))))</f>
        <v/>
      </c>
    </row>
    <row r="2613" spans="11:11" x14ac:dyDescent="0.3">
      <c r="K2613" t="str">
        <f>IF($D2613="","",IFERROR(INDEX(Mapping!$H$3:$H$32,MATCH($B2613,Mapping!$G$3:$G$32,0)),IF(LEFT($F2613,3)="P2P",IFERROR(INDEX(Mapping!$E$3:$E$6,MATCH($G2613,Mapping!$D$3:$D$6,0)),IFERROR(INDEX(Mapping!$B$3:$B$13,MATCH($J2613,Mapping!$A$3:$A$13,0)),"(unmapped)")),IFERROR(INDEX(Mapping!$B$17:$B$22,MATCH($F2613,Mapping!$A$17:$A$22,0)),$F2613)&amp;" "&amp;IF($G2613="Banking","Banking",IFERROR(INDEX(Mapping!$E$17:$E$28,MATCH($J2613,Mapping!$D$17:$D$28,0)),"(unmapped)")))))</f>
        <v/>
      </c>
    </row>
    <row r="2614" spans="11:11" x14ac:dyDescent="0.3">
      <c r="K2614" t="str">
        <f>IF($D2614="","",IFERROR(INDEX(Mapping!$H$3:$H$32,MATCH($B2614,Mapping!$G$3:$G$32,0)),IF(LEFT($F2614,3)="P2P",IFERROR(INDEX(Mapping!$E$3:$E$6,MATCH($G2614,Mapping!$D$3:$D$6,0)),IFERROR(INDEX(Mapping!$B$3:$B$13,MATCH($J2614,Mapping!$A$3:$A$13,0)),"(unmapped)")),IFERROR(INDEX(Mapping!$B$17:$B$22,MATCH($F2614,Mapping!$A$17:$A$22,0)),$F2614)&amp;" "&amp;IF($G2614="Banking","Banking",IFERROR(INDEX(Mapping!$E$17:$E$28,MATCH($J2614,Mapping!$D$17:$D$28,0)),"(unmapped)")))))</f>
        <v/>
      </c>
    </row>
    <row r="2615" spans="11:11" x14ac:dyDescent="0.3">
      <c r="K2615" t="str">
        <f>IF($D2615="","",IFERROR(INDEX(Mapping!$H$3:$H$32,MATCH($B2615,Mapping!$G$3:$G$32,0)),IF(LEFT($F2615,3)="P2P",IFERROR(INDEX(Mapping!$E$3:$E$6,MATCH($G2615,Mapping!$D$3:$D$6,0)),IFERROR(INDEX(Mapping!$B$3:$B$13,MATCH($J2615,Mapping!$A$3:$A$13,0)),"(unmapped)")),IFERROR(INDEX(Mapping!$B$17:$B$22,MATCH($F2615,Mapping!$A$17:$A$22,0)),$F2615)&amp;" "&amp;IF($G2615="Banking","Banking",IFERROR(INDEX(Mapping!$E$17:$E$28,MATCH($J2615,Mapping!$D$17:$D$28,0)),"(unmapped)")))))</f>
        <v/>
      </c>
    </row>
    <row r="2616" spans="11:11" x14ac:dyDescent="0.3">
      <c r="K2616" t="str">
        <f>IF($D2616="","",IFERROR(INDEX(Mapping!$H$3:$H$32,MATCH($B2616,Mapping!$G$3:$G$32,0)),IF(LEFT($F2616,3)="P2P",IFERROR(INDEX(Mapping!$E$3:$E$6,MATCH($G2616,Mapping!$D$3:$D$6,0)),IFERROR(INDEX(Mapping!$B$3:$B$13,MATCH($J2616,Mapping!$A$3:$A$13,0)),"(unmapped)")),IFERROR(INDEX(Mapping!$B$17:$B$22,MATCH($F2616,Mapping!$A$17:$A$22,0)),$F2616)&amp;" "&amp;IF($G2616="Banking","Banking",IFERROR(INDEX(Mapping!$E$17:$E$28,MATCH($J2616,Mapping!$D$17:$D$28,0)),"(unmapped)")))))</f>
        <v/>
      </c>
    </row>
    <row r="2617" spans="11:11" x14ac:dyDescent="0.3">
      <c r="K2617" t="str">
        <f>IF($D2617="","",IFERROR(INDEX(Mapping!$H$3:$H$32,MATCH($B2617,Mapping!$G$3:$G$32,0)),IF(LEFT($F2617,3)="P2P",IFERROR(INDEX(Mapping!$E$3:$E$6,MATCH($G2617,Mapping!$D$3:$D$6,0)),IFERROR(INDEX(Mapping!$B$3:$B$13,MATCH($J2617,Mapping!$A$3:$A$13,0)),"(unmapped)")),IFERROR(INDEX(Mapping!$B$17:$B$22,MATCH($F2617,Mapping!$A$17:$A$22,0)),$F2617)&amp;" "&amp;IF($G2617="Banking","Banking",IFERROR(INDEX(Mapping!$E$17:$E$28,MATCH($J2617,Mapping!$D$17:$D$28,0)),"(unmapped)")))))</f>
        <v/>
      </c>
    </row>
    <row r="2618" spans="11:11" x14ac:dyDescent="0.3">
      <c r="K2618" t="str">
        <f>IF($D2618="","",IFERROR(INDEX(Mapping!$H$3:$H$32,MATCH($B2618,Mapping!$G$3:$G$32,0)),IF(LEFT($F2618,3)="P2P",IFERROR(INDEX(Mapping!$E$3:$E$6,MATCH($G2618,Mapping!$D$3:$D$6,0)),IFERROR(INDEX(Mapping!$B$3:$B$13,MATCH($J2618,Mapping!$A$3:$A$13,0)),"(unmapped)")),IFERROR(INDEX(Mapping!$B$17:$B$22,MATCH($F2618,Mapping!$A$17:$A$22,0)),$F2618)&amp;" "&amp;IF($G2618="Banking","Banking",IFERROR(INDEX(Mapping!$E$17:$E$28,MATCH($J2618,Mapping!$D$17:$D$28,0)),"(unmapped)")))))</f>
        <v/>
      </c>
    </row>
    <row r="2619" spans="11:11" x14ac:dyDescent="0.3">
      <c r="K2619" t="str">
        <f>IF($D2619="","",IFERROR(INDEX(Mapping!$H$3:$H$32,MATCH($B2619,Mapping!$G$3:$G$32,0)),IF(LEFT($F2619,3)="P2P",IFERROR(INDEX(Mapping!$E$3:$E$6,MATCH($G2619,Mapping!$D$3:$D$6,0)),IFERROR(INDEX(Mapping!$B$3:$B$13,MATCH($J2619,Mapping!$A$3:$A$13,0)),"(unmapped)")),IFERROR(INDEX(Mapping!$B$17:$B$22,MATCH($F2619,Mapping!$A$17:$A$22,0)),$F2619)&amp;" "&amp;IF($G2619="Banking","Banking",IFERROR(INDEX(Mapping!$E$17:$E$28,MATCH($J2619,Mapping!$D$17:$D$28,0)),"(unmapped)")))))</f>
        <v/>
      </c>
    </row>
    <row r="2620" spans="11:11" x14ac:dyDescent="0.3">
      <c r="K2620" t="str">
        <f>IF($D2620="","",IFERROR(INDEX(Mapping!$H$3:$H$32,MATCH($B2620,Mapping!$G$3:$G$32,0)),IF(LEFT($F2620,3)="P2P",IFERROR(INDEX(Mapping!$E$3:$E$6,MATCH($G2620,Mapping!$D$3:$D$6,0)),IFERROR(INDEX(Mapping!$B$3:$B$13,MATCH($J2620,Mapping!$A$3:$A$13,0)),"(unmapped)")),IFERROR(INDEX(Mapping!$B$17:$B$22,MATCH($F2620,Mapping!$A$17:$A$22,0)),$F2620)&amp;" "&amp;IF($G2620="Banking","Banking",IFERROR(INDEX(Mapping!$E$17:$E$28,MATCH($J2620,Mapping!$D$17:$D$28,0)),"(unmapped)")))))</f>
        <v/>
      </c>
    </row>
    <row r="2621" spans="11:11" x14ac:dyDescent="0.3">
      <c r="K2621" t="str">
        <f>IF($D2621="","",IFERROR(INDEX(Mapping!$H$3:$H$32,MATCH($B2621,Mapping!$G$3:$G$32,0)),IF(LEFT($F2621,3)="P2P",IFERROR(INDEX(Mapping!$E$3:$E$6,MATCH($G2621,Mapping!$D$3:$D$6,0)),IFERROR(INDEX(Mapping!$B$3:$B$13,MATCH($J2621,Mapping!$A$3:$A$13,0)),"(unmapped)")),IFERROR(INDEX(Mapping!$B$17:$B$22,MATCH($F2621,Mapping!$A$17:$A$22,0)),$F2621)&amp;" "&amp;IF($G2621="Banking","Banking",IFERROR(INDEX(Mapping!$E$17:$E$28,MATCH($J2621,Mapping!$D$17:$D$28,0)),"(unmapped)")))))</f>
        <v/>
      </c>
    </row>
    <row r="2622" spans="11:11" x14ac:dyDescent="0.3">
      <c r="K2622" t="str">
        <f>IF($D2622="","",IFERROR(INDEX(Mapping!$H$3:$H$32,MATCH($B2622,Mapping!$G$3:$G$32,0)),IF(LEFT($F2622,3)="P2P",IFERROR(INDEX(Mapping!$E$3:$E$6,MATCH($G2622,Mapping!$D$3:$D$6,0)),IFERROR(INDEX(Mapping!$B$3:$B$13,MATCH($J2622,Mapping!$A$3:$A$13,0)),"(unmapped)")),IFERROR(INDEX(Mapping!$B$17:$B$22,MATCH($F2622,Mapping!$A$17:$A$22,0)),$F2622)&amp;" "&amp;IF($G2622="Banking","Banking",IFERROR(INDEX(Mapping!$E$17:$E$28,MATCH($J2622,Mapping!$D$17:$D$28,0)),"(unmapped)")))))</f>
        <v/>
      </c>
    </row>
    <row r="2623" spans="11:11" x14ac:dyDescent="0.3">
      <c r="K2623" t="str">
        <f>IF($D2623="","",IFERROR(INDEX(Mapping!$H$3:$H$32,MATCH($B2623,Mapping!$G$3:$G$32,0)),IF(LEFT($F2623,3)="P2P",IFERROR(INDEX(Mapping!$E$3:$E$6,MATCH($G2623,Mapping!$D$3:$D$6,0)),IFERROR(INDEX(Mapping!$B$3:$B$13,MATCH($J2623,Mapping!$A$3:$A$13,0)),"(unmapped)")),IFERROR(INDEX(Mapping!$B$17:$B$22,MATCH($F2623,Mapping!$A$17:$A$22,0)),$F2623)&amp;" "&amp;IF($G2623="Banking","Banking",IFERROR(INDEX(Mapping!$E$17:$E$28,MATCH($J2623,Mapping!$D$17:$D$28,0)),"(unmapped)")))))</f>
        <v/>
      </c>
    </row>
    <row r="2624" spans="11:11" x14ac:dyDescent="0.3">
      <c r="K2624" t="str">
        <f>IF($D2624="","",IFERROR(INDEX(Mapping!$H$3:$H$32,MATCH($B2624,Mapping!$G$3:$G$32,0)),IF(LEFT($F2624,3)="P2P",IFERROR(INDEX(Mapping!$E$3:$E$6,MATCH($G2624,Mapping!$D$3:$D$6,0)),IFERROR(INDEX(Mapping!$B$3:$B$13,MATCH($J2624,Mapping!$A$3:$A$13,0)),"(unmapped)")),IFERROR(INDEX(Mapping!$B$17:$B$22,MATCH($F2624,Mapping!$A$17:$A$22,0)),$F2624)&amp;" "&amp;IF($G2624="Banking","Banking",IFERROR(INDEX(Mapping!$E$17:$E$28,MATCH($J2624,Mapping!$D$17:$D$28,0)),"(unmapped)")))))</f>
        <v/>
      </c>
    </row>
    <row r="2625" spans="11:11" x14ac:dyDescent="0.3">
      <c r="K2625" t="str">
        <f>IF($D2625="","",IFERROR(INDEX(Mapping!$H$3:$H$32,MATCH($B2625,Mapping!$G$3:$G$32,0)),IF(LEFT($F2625,3)="P2P",IFERROR(INDEX(Mapping!$E$3:$E$6,MATCH($G2625,Mapping!$D$3:$D$6,0)),IFERROR(INDEX(Mapping!$B$3:$B$13,MATCH($J2625,Mapping!$A$3:$A$13,0)),"(unmapped)")),IFERROR(INDEX(Mapping!$B$17:$B$22,MATCH($F2625,Mapping!$A$17:$A$22,0)),$F2625)&amp;" "&amp;IF($G2625="Banking","Banking",IFERROR(INDEX(Mapping!$E$17:$E$28,MATCH($J2625,Mapping!$D$17:$D$28,0)),"(unmapped)")))))</f>
        <v/>
      </c>
    </row>
    <row r="2626" spans="11:11" x14ac:dyDescent="0.3">
      <c r="K2626" t="str">
        <f>IF($D2626="","",IFERROR(INDEX(Mapping!$H$3:$H$32,MATCH($B2626,Mapping!$G$3:$G$32,0)),IF(LEFT($F2626,3)="P2P",IFERROR(INDEX(Mapping!$E$3:$E$6,MATCH($G2626,Mapping!$D$3:$D$6,0)),IFERROR(INDEX(Mapping!$B$3:$B$13,MATCH($J2626,Mapping!$A$3:$A$13,0)),"(unmapped)")),IFERROR(INDEX(Mapping!$B$17:$B$22,MATCH($F2626,Mapping!$A$17:$A$22,0)),$F2626)&amp;" "&amp;IF($G2626="Banking","Banking",IFERROR(INDEX(Mapping!$E$17:$E$28,MATCH($J2626,Mapping!$D$17:$D$28,0)),"(unmapped)")))))</f>
        <v/>
      </c>
    </row>
    <row r="2627" spans="11:11" x14ac:dyDescent="0.3">
      <c r="K2627" t="str">
        <f>IF($D2627="","",IFERROR(INDEX(Mapping!$H$3:$H$32,MATCH($B2627,Mapping!$G$3:$G$32,0)),IF(LEFT($F2627,3)="P2P",IFERROR(INDEX(Mapping!$E$3:$E$6,MATCH($G2627,Mapping!$D$3:$D$6,0)),IFERROR(INDEX(Mapping!$B$3:$B$13,MATCH($J2627,Mapping!$A$3:$A$13,0)),"(unmapped)")),IFERROR(INDEX(Mapping!$B$17:$B$22,MATCH($F2627,Mapping!$A$17:$A$22,0)),$F2627)&amp;" "&amp;IF($G2627="Banking","Banking",IFERROR(INDEX(Mapping!$E$17:$E$28,MATCH($J2627,Mapping!$D$17:$D$28,0)),"(unmapped)")))))</f>
        <v/>
      </c>
    </row>
    <row r="2628" spans="11:11" x14ac:dyDescent="0.3">
      <c r="K2628" t="str">
        <f>IF($D2628="","",IFERROR(INDEX(Mapping!$H$3:$H$32,MATCH($B2628,Mapping!$G$3:$G$32,0)),IF(LEFT($F2628,3)="P2P",IFERROR(INDEX(Mapping!$E$3:$E$6,MATCH($G2628,Mapping!$D$3:$D$6,0)),IFERROR(INDEX(Mapping!$B$3:$B$13,MATCH($J2628,Mapping!$A$3:$A$13,0)),"(unmapped)")),IFERROR(INDEX(Mapping!$B$17:$B$22,MATCH($F2628,Mapping!$A$17:$A$22,0)),$F2628)&amp;" "&amp;IF($G2628="Banking","Banking",IFERROR(INDEX(Mapping!$E$17:$E$28,MATCH($J2628,Mapping!$D$17:$D$28,0)),"(unmapped)")))))</f>
        <v/>
      </c>
    </row>
    <row r="2629" spans="11:11" x14ac:dyDescent="0.3">
      <c r="K2629" t="str">
        <f>IF($D2629="","",IFERROR(INDEX(Mapping!$H$3:$H$32,MATCH($B2629,Mapping!$G$3:$G$32,0)),IF(LEFT($F2629,3)="P2P",IFERROR(INDEX(Mapping!$E$3:$E$6,MATCH($G2629,Mapping!$D$3:$D$6,0)),IFERROR(INDEX(Mapping!$B$3:$B$13,MATCH($J2629,Mapping!$A$3:$A$13,0)),"(unmapped)")),IFERROR(INDEX(Mapping!$B$17:$B$22,MATCH($F2629,Mapping!$A$17:$A$22,0)),$F2629)&amp;" "&amp;IF($G2629="Banking","Banking",IFERROR(INDEX(Mapping!$E$17:$E$28,MATCH($J2629,Mapping!$D$17:$D$28,0)),"(unmapped)")))))</f>
        <v/>
      </c>
    </row>
    <row r="2630" spans="11:11" x14ac:dyDescent="0.3">
      <c r="K2630" t="str">
        <f>IF($D2630="","",IFERROR(INDEX(Mapping!$H$3:$H$32,MATCH($B2630,Mapping!$G$3:$G$32,0)),IF(LEFT($F2630,3)="P2P",IFERROR(INDEX(Mapping!$E$3:$E$6,MATCH($G2630,Mapping!$D$3:$D$6,0)),IFERROR(INDEX(Mapping!$B$3:$B$13,MATCH($J2630,Mapping!$A$3:$A$13,0)),"(unmapped)")),IFERROR(INDEX(Mapping!$B$17:$B$22,MATCH($F2630,Mapping!$A$17:$A$22,0)),$F2630)&amp;" "&amp;IF($G2630="Banking","Banking",IFERROR(INDEX(Mapping!$E$17:$E$28,MATCH($J2630,Mapping!$D$17:$D$28,0)),"(unmapped)")))))</f>
        <v/>
      </c>
    </row>
    <row r="2631" spans="11:11" x14ac:dyDescent="0.3">
      <c r="K2631" t="str">
        <f>IF($D2631="","",IFERROR(INDEX(Mapping!$H$3:$H$32,MATCH($B2631,Mapping!$G$3:$G$32,0)),IF(LEFT($F2631,3)="P2P",IFERROR(INDEX(Mapping!$E$3:$E$6,MATCH($G2631,Mapping!$D$3:$D$6,0)),IFERROR(INDEX(Mapping!$B$3:$B$13,MATCH($J2631,Mapping!$A$3:$A$13,0)),"(unmapped)")),IFERROR(INDEX(Mapping!$B$17:$B$22,MATCH($F2631,Mapping!$A$17:$A$22,0)),$F2631)&amp;" "&amp;IF($G2631="Banking","Banking",IFERROR(INDEX(Mapping!$E$17:$E$28,MATCH($J2631,Mapping!$D$17:$D$28,0)),"(unmapped)")))))</f>
        <v/>
      </c>
    </row>
    <row r="2632" spans="11:11" x14ac:dyDescent="0.3">
      <c r="K2632" t="str">
        <f>IF($D2632="","",IFERROR(INDEX(Mapping!$H$3:$H$32,MATCH($B2632,Mapping!$G$3:$G$32,0)),IF(LEFT($F2632,3)="P2P",IFERROR(INDEX(Mapping!$E$3:$E$6,MATCH($G2632,Mapping!$D$3:$D$6,0)),IFERROR(INDEX(Mapping!$B$3:$B$13,MATCH($J2632,Mapping!$A$3:$A$13,0)),"(unmapped)")),IFERROR(INDEX(Mapping!$B$17:$B$22,MATCH($F2632,Mapping!$A$17:$A$22,0)),$F2632)&amp;" "&amp;IF($G2632="Banking","Banking",IFERROR(INDEX(Mapping!$E$17:$E$28,MATCH($J2632,Mapping!$D$17:$D$28,0)),"(unmapped)")))))</f>
        <v/>
      </c>
    </row>
    <row r="2633" spans="11:11" x14ac:dyDescent="0.3">
      <c r="K2633" t="str">
        <f>IF($D2633="","",IFERROR(INDEX(Mapping!$H$3:$H$32,MATCH($B2633,Mapping!$G$3:$G$32,0)),IF(LEFT($F2633,3)="P2P",IFERROR(INDEX(Mapping!$E$3:$E$6,MATCH($G2633,Mapping!$D$3:$D$6,0)),IFERROR(INDEX(Mapping!$B$3:$B$13,MATCH($J2633,Mapping!$A$3:$A$13,0)),"(unmapped)")),IFERROR(INDEX(Mapping!$B$17:$B$22,MATCH($F2633,Mapping!$A$17:$A$22,0)),$F2633)&amp;" "&amp;IF($G2633="Banking","Banking",IFERROR(INDEX(Mapping!$E$17:$E$28,MATCH($J2633,Mapping!$D$17:$D$28,0)),"(unmapped)")))))</f>
        <v/>
      </c>
    </row>
    <row r="2634" spans="11:11" x14ac:dyDescent="0.3">
      <c r="K2634" t="str">
        <f>IF($D2634="","",IFERROR(INDEX(Mapping!$H$3:$H$32,MATCH($B2634,Mapping!$G$3:$G$32,0)),IF(LEFT($F2634,3)="P2P",IFERROR(INDEX(Mapping!$E$3:$E$6,MATCH($G2634,Mapping!$D$3:$D$6,0)),IFERROR(INDEX(Mapping!$B$3:$B$13,MATCH($J2634,Mapping!$A$3:$A$13,0)),"(unmapped)")),IFERROR(INDEX(Mapping!$B$17:$B$22,MATCH($F2634,Mapping!$A$17:$A$22,0)),$F2634)&amp;" "&amp;IF($G2634="Banking","Banking",IFERROR(INDEX(Mapping!$E$17:$E$28,MATCH($J2634,Mapping!$D$17:$D$28,0)),"(unmapped)")))))</f>
        <v/>
      </c>
    </row>
    <row r="2635" spans="11:11" x14ac:dyDescent="0.3">
      <c r="K2635" t="str">
        <f>IF($D2635="","",IFERROR(INDEX(Mapping!$H$3:$H$32,MATCH($B2635,Mapping!$G$3:$G$32,0)),IF(LEFT($F2635,3)="P2P",IFERROR(INDEX(Mapping!$E$3:$E$6,MATCH($G2635,Mapping!$D$3:$D$6,0)),IFERROR(INDEX(Mapping!$B$3:$B$13,MATCH($J2635,Mapping!$A$3:$A$13,0)),"(unmapped)")),IFERROR(INDEX(Mapping!$B$17:$B$22,MATCH($F2635,Mapping!$A$17:$A$22,0)),$F2635)&amp;" "&amp;IF($G2635="Banking","Banking",IFERROR(INDEX(Mapping!$E$17:$E$28,MATCH($J2635,Mapping!$D$17:$D$28,0)),"(unmapped)")))))</f>
        <v/>
      </c>
    </row>
    <row r="2636" spans="11:11" x14ac:dyDescent="0.3">
      <c r="K2636" t="str">
        <f>IF($D2636="","",IFERROR(INDEX(Mapping!$H$3:$H$32,MATCH($B2636,Mapping!$G$3:$G$32,0)),IF(LEFT($F2636,3)="P2P",IFERROR(INDEX(Mapping!$E$3:$E$6,MATCH($G2636,Mapping!$D$3:$D$6,0)),IFERROR(INDEX(Mapping!$B$3:$B$13,MATCH($J2636,Mapping!$A$3:$A$13,0)),"(unmapped)")),IFERROR(INDEX(Mapping!$B$17:$B$22,MATCH($F2636,Mapping!$A$17:$A$22,0)),$F2636)&amp;" "&amp;IF($G2636="Banking","Banking",IFERROR(INDEX(Mapping!$E$17:$E$28,MATCH($J2636,Mapping!$D$17:$D$28,0)),"(unmapped)")))))</f>
        <v/>
      </c>
    </row>
    <row r="2637" spans="11:11" x14ac:dyDescent="0.3">
      <c r="K2637" t="str">
        <f>IF($D2637="","",IFERROR(INDEX(Mapping!$H$3:$H$32,MATCH($B2637,Mapping!$G$3:$G$32,0)),IF(LEFT($F2637,3)="P2P",IFERROR(INDEX(Mapping!$E$3:$E$6,MATCH($G2637,Mapping!$D$3:$D$6,0)),IFERROR(INDEX(Mapping!$B$3:$B$13,MATCH($J2637,Mapping!$A$3:$A$13,0)),"(unmapped)")),IFERROR(INDEX(Mapping!$B$17:$B$22,MATCH($F2637,Mapping!$A$17:$A$22,0)),$F2637)&amp;" "&amp;IF($G2637="Banking","Banking",IFERROR(INDEX(Mapping!$E$17:$E$28,MATCH($J2637,Mapping!$D$17:$D$28,0)),"(unmapped)")))))</f>
        <v/>
      </c>
    </row>
    <row r="2638" spans="11:11" x14ac:dyDescent="0.3">
      <c r="K2638" t="str">
        <f>IF($D2638="","",IFERROR(INDEX(Mapping!$H$3:$H$32,MATCH($B2638,Mapping!$G$3:$G$32,0)),IF(LEFT($F2638,3)="P2P",IFERROR(INDEX(Mapping!$E$3:$E$6,MATCH($G2638,Mapping!$D$3:$D$6,0)),IFERROR(INDEX(Mapping!$B$3:$B$13,MATCH($J2638,Mapping!$A$3:$A$13,0)),"(unmapped)")),IFERROR(INDEX(Mapping!$B$17:$B$22,MATCH($F2638,Mapping!$A$17:$A$22,0)),$F2638)&amp;" "&amp;IF($G2638="Banking","Banking",IFERROR(INDEX(Mapping!$E$17:$E$28,MATCH($J2638,Mapping!$D$17:$D$28,0)),"(unmapped)")))))</f>
        <v/>
      </c>
    </row>
    <row r="2639" spans="11:11" x14ac:dyDescent="0.3">
      <c r="K2639" t="str">
        <f>IF($D2639="","",IFERROR(INDEX(Mapping!$H$3:$H$32,MATCH($B2639,Mapping!$G$3:$G$32,0)),IF(LEFT($F2639,3)="P2P",IFERROR(INDEX(Mapping!$E$3:$E$6,MATCH($G2639,Mapping!$D$3:$D$6,0)),IFERROR(INDEX(Mapping!$B$3:$B$13,MATCH($J2639,Mapping!$A$3:$A$13,0)),"(unmapped)")),IFERROR(INDEX(Mapping!$B$17:$B$22,MATCH($F2639,Mapping!$A$17:$A$22,0)),$F2639)&amp;" "&amp;IF($G2639="Banking","Banking",IFERROR(INDEX(Mapping!$E$17:$E$28,MATCH($J2639,Mapping!$D$17:$D$28,0)),"(unmapped)")))))</f>
        <v/>
      </c>
    </row>
    <row r="2640" spans="11:11" x14ac:dyDescent="0.3">
      <c r="K2640" t="str">
        <f>IF($D2640="","",IFERROR(INDEX(Mapping!$H$3:$H$32,MATCH($B2640,Mapping!$G$3:$G$32,0)),IF(LEFT($F2640,3)="P2P",IFERROR(INDEX(Mapping!$E$3:$E$6,MATCH($G2640,Mapping!$D$3:$D$6,0)),IFERROR(INDEX(Mapping!$B$3:$B$13,MATCH($J2640,Mapping!$A$3:$A$13,0)),"(unmapped)")),IFERROR(INDEX(Mapping!$B$17:$B$22,MATCH($F2640,Mapping!$A$17:$A$22,0)),$F2640)&amp;" "&amp;IF($G2640="Banking","Banking",IFERROR(INDEX(Mapping!$E$17:$E$28,MATCH($J2640,Mapping!$D$17:$D$28,0)),"(unmapped)")))))</f>
        <v/>
      </c>
    </row>
    <row r="2641" spans="11:11" x14ac:dyDescent="0.3">
      <c r="K2641" t="str">
        <f>IF($D2641="","",IFERROR(INDEX(Mapping!$H$3:$H$32,MATCH($B2641,Mapping!$G$3:$G$32,0)),IF(LEFT($F2641,3)="P2P",IFERROR(INDEX(Mapping!$E$3:$E$6,MATCH($G2641,Mapping!$D$3:$D$6,0)),IFERROR(INDEX(Mapping!$B$3:$B$13,MATCH($J2641,Mapping!$A$3:$A$13,0)),"(unmapped)")),IFERROR(INDEX(Mapping!$B$17:$B$22,MATCH($F2641,Mapping!$A$17:$A$22,0)),$F2641)&amp;" "&amp;IF($G2641="Banking","Banking",IFERROR(INDEX(Mapping!$E$17:$E$28,MATCH($J2641,Mapping!$D$17:$D$28,0)),"(unmapped)")))))</f>
        <v/>
      </c>
    </row>
    <row r="2642" spans="11:11" x14ac:dyDescent="0.3">
      <c r="K2642" t="str">
        <f>IF($D2642="","",IFERROR(INDEX(Mapping!$H$3:$H$32,MATCH($B2642,Mapping!$G$3:$G$32,0)),IF(LEFT($F2642,3)="P2P",IFERROR(INDEX(Mapping!$E$3:$E$6,MATCH($G2642,Mapping!$D$3:$D$6,0)),IFERROR(INDEX(Mapping!$B$3:$B$13,MATCH($J2642,Mapping!$A$3:$A$13,0)),"(unmapped)")),IFERROR(INDEX(Mapping!$B$17:$B$22,MATCH($F2642,Mapping!$A$17:$A$22,0)),$F2642)&amp;" "&amp;IF($G2642="Banking","Banking",IFERROR(INDEX(Mapping!$E$17:$E$28,MATCH($J2642,Mapping!$D$17:$D$28,0)),"(unmapped)")))))</f>
        <v/>
      </c>
    </row>
    <row r="2643" spans="11:11" x14ac:dyDescent="0.3">
      <c r="K2643" t="str">
        <f>IF($D2643="","",IFERROR(INDEX(Mapping!$H$3:$H$32,MATCH($B2643,Mapping!$G$3:$G$32,0)),IF(LEFT($F2643,3)="P2P",IFERROR(INDEX(Mapping!$E$3:$E$6,MATCH($G2643,Mapping!$D$3:$D$6,0)),IFERROR(INDEX(Mapping!$B$3:$B$13,MATCH($J2643,Mapping!$A$3:$A$13,0)),"(unmapped)")),IFERROR(INDEX(Mapping!$B$17:$B$22,MATCH($F2643,Mapping!$A$17:$A$22,0)),$F2643)&amp;" "&amp;IF($G2643="Banking","Banking",IFERROR(INDEX(Mapping!$E$17:$E$28,MATCH($J2643,Mapping!$D$17:$D$28,0)),"(unmapped)")))))</f>
        <v/>
      </c>
    </row>
    <row r="2644" spans="11:11" x14ac:dyDescent="0.3">
      <c r="K2644" t="str">
        <f>IF($D2644="","",IFERROR(INDEX(Mapping!$H$3:$H$32,MATCH($B2644,Mapping!$G$3:$G$32,0)),IF(LEFT($F2644,3)="P2P",IFERROR(INDEX(Mapping!$E$3:$E$6,MATCH($G2644,Mapping!$D$3:$D$6,0)),IFERROR(INDEX(Mapping!$B$3:$B$13,MATCH($J2644,Mapping!$A$3:$A$13,0)),"(unmapped)")),IFERROR(INDEX(Mapping!$B$17:$B$22,MATCH($F2644,Mapping!$A$17:$A$22,0)),$F2644)&amp;" "&amp;IF($G2644="Banking","Banking",IFERROR(INDEX(Mapping!$E$17:$E$28,MATCH($J2644,Mapping!$D$17:$D$28,0)),"(unmapped)")))))</f>
        <v/>
      </c>
    </row>
    <row r="2645" spans="11:11" x14ac:dyDescent="0.3">
      <c r="K2645" t="str">
        <f>IF($D2645="","",IFERROR(INDEX(Mapping!$H$3:$H$32,MATCH($B2645,Mapping!$G$3:$G$32,0)),IF(LEFT($F2645,3)="P2P",IFERROR(INDEX(Mapping!$E$3:$E$6,MATCH($G2645,Mapping!$D$3:$D$6,0)),IFERROR(INDEX(Mapping!$B$3:$B$13,MATCH($J2645,Mapping!$A$3:$A$13,0)),"(unmapped)")),IFERROR(INDEX(Mapping!$B$17:$B$22,MATCH($F2645,Mapping!$A$17:$A$22,0)),$F2645)&amp;" "&amp;IF($G2645="Banking","Banking",IFERROR(INDEX(Mapping!$E$17:$E$28,MATCH($J2645,Mapping!$D$17:$D$28,0)),"(unmapped)")))))</f>
        <v/>
      </c>
    </row>
    <row r="2646" spans="11:11" x14ac:dyDescent="0.3">
      <c r="K2646" t="str">
        <f>IF($D2646="","",IFERROR(INDEX(Mapping!$H$3:$H$32,MATCH($B2646,Mapping!$G$3:$G$32,0)),IF(LEFT($F2646,3)="P2P",IFERROR(INDEX(Mapping!$E$3:$E$6,MATCH($G2646,Mapping!$D$3:$D$6,0)),IFERROR(INDEX(Mapping!$B$3:$B$13,MATCH($J2646,Mapping!$A$3:$A$13,0)),"(unmapped)")),IFERROR(INDEX(Mapping!$B$17:$B$22,MATCH($F2646,Mapping!$A$17:$A$22,0)),$F2646)&amp;" "&amp;IF($G2646="Banking","Banking",IFERROR(INDEX(Mapping!$E$17:$E$28,MATCH($J2646,Mapping!$D$17:$D$28,0)),"(unmapped)")))))</f>
        <v/>
      </c>
    </row>
    <row r="2647" spans="11:11" x14ac:dyDescent="0.3">
      <c r="K2647" t="str">
        <f>IF($D2647="","",IFERROR(INDEX(Mapping!$H$3:$H$32,MATCH($B2647,Mapping!$G$3:$G$32,0)),IF(LEFT($F2647,3)="P2P",IFERROR(INDEX(Mapping!$E$3:$E$6,MATCH($G2647,Mapping!$D$3:$D$6,0)),IFERROR(INDEX(Mapping!$B$3:$B$13,MATCH($J2647,Mapping!$A$3:$A$13,0)),"(unmapped)")),IFERROR(INDEX(Mapping!$B$17:$B$22,MATCH($F2647,Mapping!$A$17:$A$22,0)),$F2647)&amp;" "&amp;IF($G2647="Banking","Banking",IFERROR(INDEX(Mapping!$E$17:$E$28,MATCH($J2647,Mapping!$D$17:$D$28,0)),"(unmapped)")))))</f>
        <v/>
      </c>
    </row>
    <row r="2648" spans="11:11" x14ac:dyDescent="0.3">
      <c r="K2648" t="str">
        <f>IF($D2648="","",IFERROR(INDEX(Mapping!$H$3:$H$32,MATCH($B2648,Mapping!$G$3:$G$32,0)),IF(LEFT($F2648,3)="P2P",IFERROR(INDEX(Mapping!$E$3:$E$6,MATCH($G2648,Mapping!$D$3:$D$6,0)),IFERROR(INDEX(Mapping!$B$3:$B$13,MATCH($J2648,Mapping!$A$3:$A$13,0)),"(unmapped)")),IFERROR(INDEX(Mapping!$B$17:$B$22,MATCH($F2648,Mapping!$A$17:$A$22,0)),$F2648)&amp;" "&amp;IF($G2648="Banking","Banking",IFERROR(INDEX(Mapping!$E$17:$E$28,MATCH($J2648,Mapping!$D$17:$D$28,0)),"(unmapped)")))))</f>
        <v/>
      </c>
    </row>
    <row r="2649" spans="11:11" x14ac:dyDescent="0.3">
      <c r="K2649" t="str">
        <f>IF($D2649="","",IFERROR(INDEX(Mapping!$H$3:$H$32,MATCH($B2649,Mapping!$G$3:$G$32,0)),IF(LEFT($F2649,3)="P2P",IFERROR(INDEX(Mapping!$E$3:$E$6,MATCH($G2649,Mapping!$D$3:$D$6,0)),IFERROR(INDEX(Mapping!$B$3:$B$13,MATCH($J2649,Mapping!$A$3:$A$13,0)),"(unmapped)")),IFERROR(INDEX(Mapping!$B$17:$B$22,MATCH($F2649,Mapping!$A$17:$A$22,0)),$F2649)&amp;" "&amp;IF($G2649="Banking","Banking",IFERROR(INDEX(Mapping!$E$17:$E$28,MATCH($J2649,Mapping!$D$17:$D$28,0)),"(unmapped)")))))</f>
        <v/>
      </c>
    </row>
    <row r="2650" spans="11:11" x14ac:dyDescent="0.3">
      <c r="K2650" t="str">
        <f>IF($D2650="","",IFERROR(INDEX(Mapping!$H$3:$H$32,MATCH($B2650,Mapping!$G$3:$G$32,0)),IF(LEFT($F2650,3)="P2P",IFERROR(INDEX(Mapping!$E$3:$E$6,MATCH($G2650,Mapping!$D$3:$D$6,0)),IFERROR(INDEX(Mapping!$B$3:$B$13,MATCH($J2650,Mapping!$A$3:$A$13,0)),"(unmapped)")),IFERROR(INDEX(Mapping!$B$17:$B$22,MATCH($F2650,Mapping!$A$17:$A$22,0)),$F2650)&amp;" "&amp;IF($G2650="Banking","Banking",IFERROR(INDEX(Mapping!$E$17:$E$28,MATCH($J2650,Mapping!$D$17:$D$28,0)),"(unmapped)")))))</f>
        <v/>
      </c>
    </row>
    <row r="2651" spans="11:11" x14ac:dyDescent="0.3">
      <c r="K2651" t="str">
        <f>IF($D2651="","",IFERROR(INDEX(Mapping!$H$3:$H$32,MATCH($B2651,Mapping!$G$3:$G$32,0)),IF(LEFT($F2651,3)="P2P",IFERROR(INDEX(Mapping!$E$3:$E$6,MATCH($G2651,Mapping!$D$3:$D$6,0)),IFERROR(INDEX(Mapping!$B$3:$B$13,MATCH($J2651,Mapping!$A$3:$A$13,0)),"(unmapped)")),IFERROR(INDEX(Mapping!$B$17:$B$22,MATCH($F2651,Mapping!$A$17:$A$22,0)),$F2651)&amp;" "&amp;IF($G2651="Banking","Banking",IFERROR(INDEX(Mapping!$E$17:$E$28,MATCH($J2651,Mapping!$D$17:$D$28,0)),"(unmapped)")))))</f>
        <v/>
      </c>
    </row>
    <row r="2652" spans="11:11" x14ac:dyDescent="0.3">
      <c r="K2652" t="str">
        <f>IF($D2652="","",IFERROR(INDEX(Mapping!$H$3:$H$32,MATCH($B2652,Mapping!$G$3:$G$32,0)),IF(LEFT($F2652,3)="P2P",IFERROR(INDEX(Mapping!$E$3:$E$6,MATCH($G2652,Mapping!$D$3:$D$6,0)),IFERROR(INDEX(Mapping!$B$3:$B$13,MATCH($J2652,Mapping!$A$3:$A$13,0)),"(unmapped)")),IFERROR(INDEX(Mapping!$B$17:$B$22,MATCH($F2652,Mapping!$A$17:$A$22,0)),$F2652)&amp;" "&amp;IF($G2652="Banking","Banking",IFERROR(INDEX(Mapping!$E$17:$E$28,MATCH($J2652,Mapping!$D$17:$D$28,0)),"(unmapped)")))))</f>
        <v/>
      </c>
    </row>
    <row r="2653" spans="11:11" x14ac:dyDescent="0.3">
      <c r="K2653" t="str">
        <f>IF($D2653="","",IFERROR(INDEX(Mapping!$H$3:$H$32,MATCH($B2653,Mapping!$G$3:$G$32,0)),IF(LEFT($F2653,3)="P2P",IFERROR(INDEX(Mapping!$E$3:$E$6,MATCH($G2653,Mapping!$D$3:$D$6,0)),IFERROR(INDEX(Mapping!$B$3:$B$13,MATCH($J2653,Mapping!$A$3:$A$13,0)),"(unmapped)")),IFERROR(INDEX(Mapping!$B$17:$B$22,MATCH($F2653,Mapping!$A$17:$A$22,0)),$F2653)&amp;" "&amp;IF($G2653="Banking","Banking",IFERROR(INDEX(Mapping!$E$17:$E$28,MATCH($J2653,Mapping!$D$17:$D$28,0)),"(unmapped)")))))</f>
        <v/>
      </c>
    </row>
    <row r="2654" spans="11:11" x14ac:dyDescent="0.3">
      <c r="K2654" t="str">
        <f>IF($D2654="","",IFERROR(INDEX(Mapping!$H$3:$H$32,MATCH($B2654,Mapping!$G$3:$G$32,0)),IF(LEFT($F2654,3)="P2P",IFERROR(INDEX(Mapping!$E$3:$E$6,MATCH($G2654,Mapping!$D$3:$D$6,0)),IFERROR(INDEX(Mapping!$B$3:$B$13,MATCH($J2654,Mapping!$A$3:$A$13,0)),"(unmapped)")),IFERROR(INDEX(Mapping!$B$17:$B$22,MATCH($F2654,Mapping!$A$17:$A$22,0)),$F2654)&amp;" "&amp;IF($G2654="Banking","Banking",IFERROR(INDEX(Mapping!$E$17:$E$28,MATCH($J2654,Mapping!$D$17:$D$28,0)),"(unmapped)")))))</f>
        <v/>
      </c>
    </row>
    <row r="2655" spans="11:11" x14ac:dyDescent="0.3">
      <c r="K2655" t="str">
        <f>IF($D2655="","",IFERROR(INDEX(Mapping!$H$3:$H$32,MATCH($B2655,Mapping!$G$3:$G$32,0)),IF(LEFT($F2655,3)="P2P",IFERROR(INDEX(Mapping!$E$3:$E$6,MATCH($G2655,Mapping!$D$3:$D$6,0)),IFERROR(INDEX(Mapping!$B$3:$B$13,MATCH($J2655,Mapping!$A$3:$A$13,0)),"(unmapped)")),IFERROR(INDEX(Mapping!$B$17:$B$22,MATCH($F2655,Mapping!$A$17:$A$22,0)),$F2655)&amp;" "&amp;IF($G2655="Banking","Banking",IFERROR(INDEX(Mapping!$E$17:$E$28,MATCH($J2655,Mapping!$D$17:$D$28,0)),"(unmapped)")))))</f>
        <v/>
      </c>
    </row>
    <row r="2656" spans="11:11" x14ac:dyDescent="0.3">
      <c r="K2656" t="str">
        <f>IF($D2656="","",IFERROR(INDEX(Mapping!$H$3:$H$32,MATCH($B2656,Mapping!$G$3:$G$32,0)),IF(LEFT($F2656,3)="P2P",IFERROR(INDEX(Mapping!$E$3:$E$6,MATCH($G2656,Mapping!$D$3:$D$6,0)),IFERROR(INDEX(Mapping!$B$3:$B$13,MATCH($J2656,Mapping!$A$3:$A$13,0)),"(unmapped)")),IFERROR(INDEX(Mapping!$B$17:$B$22,MATCH($F2656,Mapping!$A$17:$A$22,0)),$F2656)&amp;" "&amp;IF($G2656="Banking","Banking",IFERROR(INDEX(Mapping!$E$17:$E$28,MATCH($J2656,Mapping!$D$17:$D$28,0)),"(unmapped)")))))</f>
        <v/>
      </c>
    </row>
    <row r="2657" spans="11:11" x14ac:dyDescent="0.3">
      <c r="K2657" t="str">
        <f>IF($D2657="","",IFERROR(INDEX(Mapping!$H$3:$H$32,MATCH($B2657,Mapping!$G$3:$G$32,0)),IF(LEFT($F2657,3)="P2P",IFERROR(INDEX(Mapping!$E$3:$E$6,MATCH($G2657,Mapping!$D$3:$D$6,0)),IFERROR(INDEX(Mapping!$B$3:$B$13,MATCH($J2657,Mapping!$A$3:$A$13,0)),"(unmapped)")),IFERROR(INDEX(Mapping!$B$17:$B$22,MATCH($F2657,Mapping!$A$17:$A$22,0)),$F2657)&amp;" "&amp;IF($G2657="Banking","Banking",IFERROR(INDEX(Mapping!$E$17:$E$28,MATCH($J2657,Mapping!$D$17:$D$28,0)),"(unmapped)")))))</f>
        <v/>
      </c>
    </row>
    <row r="2658" spans="11:11" x14ac:dyDescent="0.3">
      <c r="K2658" t="str">
        <f>IF($D2658="","",IFERROR(INDEX(Mapping!$H$3:$H$32,MATCH($B2658,Mapping!$G$3:$G$32,0)),IF(LEFT($F2658,3)="P2P",IFERROR(INDEX(Mapping!$E$3:$E$6,MATCH($G2658,Mapping!$D$3:$D$6,0)),IFERROR(INDEX(Mapping!$B$3:$B$13,MATCH($J2658,Mapping!$A$3:$A$13,0)),"(unmapped)")),IFERROR(INDEX(Mapping!$B$17:$B$22,MATCH($F2658,Mapping!$A$17:$A$22,0)),$F2658)&amp;" "&amp;IF($G2658="Banking","Banking",IFERROR(INDEX(Mapping!$E$17:$E$28,MATCH($J2658,Mapping!$D$17:$D$28,0)),"(unmapped)")))))</f>
        <v/>
      </c>
    </row>
    <row r="2659" spans="11:11" x14ac:dyDescent="0.3">
      <c r="K2659" t="str">
        <f>IF($D2659="","",IFERROR(INDEX(Mapping!$H$3:$H$32,MATCH($B2659,Mapping!$G$3:$G$32,0)),IF(LEFT($F2659,3)="P2P",IFERROR(INDEX(Mapping!$E$3:$E$6,MATCH($G2659,Mapping!$D$3:$D$6,0)),IFERROR(INDEX(Mapping!$B$3:$B$13,MATCH($J2659,Mapping!$A$3:$A$13,0)),"(unmapped)")),IFERROR(INDEX(Mapping!$B$17:$B$22,MATCH($F2659,Mapping!$A$17:$A$22,0)),$F2659)&amp;" "&amp;IF($G2659="Banking","Banking",IFERROR(INDEX(Mapping!$E$17:$E$28,MATCH($J2659,Mapping!$D$17:$D$28,0)),"(unmapped)")))))</f>
        <v/>
      </c>
    </row>
    <row r="2660" spans="11:11" x14ac:dyDescent="0.3">
      <c r="K2660" t="str">
        <f>IF($D2660="","",IFERROR(INDEX(Mapping!$H$3:$H$32,MATCH($B2660,Mapping!$G$3:$G$32,0)),IF(LEFT($F2660,3)="P2P",IFERROR(INDEX(Mapping!$E$3:$E$6,MATCH($G2660,Mapping!$D$3:$D$6,0)),IFERROR(INDEX(Mapping!$B$3:$B$13,MATCH($J2660,Mapping!$A$3:$A$13,0)),"(unmapped)")),IFERROR(INDEX(Mapping!$B$17:$B$22,MATCH($F2660,Mapping!$A$17:$A$22,0)),$F2660)&amp;" "&amp;IF($G2660="Banking","Banking",IFERROR(INDEX(Mapping!$E$17:$E$28,MATCH($J2660,Mapping!$D$17:$D$28,0)),"(unmapped)")))))</f>
        <v/>
      </c>
    </row>
    <row r="2661" spans="11:11" x14ac:dyDescent="0.3">
      <c r="K2661" t="str">
        <f>IF($D2661="","",IFERROR(INDEX(Mapping!$H$3:$H$32,MATCH($B2661,Mapping!$G$3:$G$32,0)),IF(LEFT($F2661,3)="P2P",IFERROR(INDEX(Mapping!$E$3:$E$6,MATCH($G2661,Mapping!$D$3:$D$6,0)),IFERROR(INDEX(Mapping!$B$3:$B$13,MATCH($J2661,Mapping!$A$3:$A$13,0)),"(unmapped)")),IFERROR(INDEX(Mapping!$B$17:$B$22,MATCH($F2661,Mapping!$A$17:$A$22,0)),$F2661)&amp;" "&amp;IF($G2661="Banking","Banking",IFERROR(INDEX(Mapping!$E$17:$E$28,MATCH($J2661,Mapping!$D$17:$D$28,0)),"(unmapped)")))))</f>
        <v/>
      </c>
    </row>
    <row r="2662" spans="11:11" x14ac:dyDescent="0.3">
      <c r="K2662" t="str">
        <f>IF($D2662="","",IFERROR(INDEX(Mapping!$H$3:$H$32,MATCH($B2662,Mapping!$G$3:$G$32,0)),IF(LEFT($F2662,3)="P2P",IFERROR(INDEX(Mapping!$E$3:$E$6,MATCH($G2662,Mapping!$D$3:$D$6,0)),IFERROR(INDEX(Mapping!$B$3:$B$13,MATCH($J2662,Mapping!$A$3:$A$13,0)),"(unmapped)")),IFERROR(INDEX(Mapping!$B$17:$B$22,MATCH($F2662,Mapping!$A$17:$A$22,0)),$F2662)&amp;" "&amp;IF($G2662="Banking","Banking",IFERROR(INDEX(Mapping!$E$17:$E$28,MATCH($J2662,Mapping!$D$17:$D$28,0)),"(unmapped)")))))</f>
        <v/>
      </c>
    </row>
    <row r="2663" spans="11:11" x14ac:dyDescent="0.3">
      <c r="K2663" t="str">
        <f>IF($D2663="","",IFERROR(INDEX(Mapping!$H$3:$H$32,MATCH($B2663,Mapping!$G$3:$G$32,0)),IF(LEFT($F2663,3)="P2P",IFERROR(INDEX(Mapping!$E$3:$E$6,MATCH($G2663,Mapping!$D$3:$D$6,0)),IFERROR(INDEX(Mapping!$B$3:$B$13,MATCH($J2663,Mapping!$A$3:$A$13,0)),"(unmapped)")),IFERROR(INDEX(Mapping!$B$17:$B$22,MATCH($F2663,Mapping!$A$17:$A$22,0)),$F2663)&amp;" "&amp;IF($G2663="Banking","Banking",IFERROR(INDEX(Mapping!$E$17:$E$28,MATCH($J2663,Mapping!$D$17:$D$28,0)),"(unmapped)")))))</f>
        <v/>
      </c>
    </row>
    <row r="2664" spans="11:11" x14ac:dyDescent="0.3">
      <c r="K2664" t="str">
        <f>IF($D2664="","",IFERROR(INDEX(Mapping!$H$3:$H$32,MATCH($B2664,Mapping!$G$3:$G$32,0)),IF(LEFT($F2664,3)="P2P",IFERROR(INDEX(Mapping!$E$3:$E$6,MATCH($G2664,Mapping!$D$3:$D$6,0)),IFERROR(INDEX(Mapping!$B$3:$B$13,MATCH($J2664,Mapping!$A$3:$A$13,0)),"(unmapped)")),IFERROR(INDEX(Mapping!$B$17:$B$22,MATCH($F2664,Mapping!$A$17:$A$22,0)),$F2664)&amp;" "&amp;IF($G2664="Banking","Banking",IFERROR(INDEX(Mapping!$E$17:$E$28,MATCH($J2664,Mapping!$D$17:$D$28,0)),"(unmapped)")))))</f>
        <v/>
      </c>
    </row>
    <row r="2665" spans="11:11" x14ac:dyDescent="0.3">
      <c r="K2665" t="str">
        <f>IF($D2665="","",IFERROR(INDEX(Mapping!$H$3:$H$32,MATCH($B2665,Mapping!$G$3:$G$32,0)),IF(LEFT($F2665,3)="P2P",IFERROR(INDEX(Mapping!$E$3:$E$6,MATCH($G2665,Mapping!$D$3:$D$6,0)),IFERROR(INDEX(Mapping!$B$3:$B$13,MATCH($J2665,Mapping!$A$3:$A$13,0)),"(unmapped)")),IFERROR(INDEX(Mapping!$B$17:$B$22,MATCH($F2665,Mapping!$A$17:$A$22,0)),$F2665)&amp;" "&amp;IF($G2665="Banking","Banking",IFERROR(INDEX(Mapping!$E$17:$E$28,MATCH($J2665,Mapping!$D$17:$D$28,0)),"(unmapped)")))))</f>
        <v/>
      </c>
    </row>
    <row r="2666" spans="11:11" x14ac:dyDescent="0.3">
      <c r="K2666" t="str">
        <f>IF($D2666="","",IFERROR(INDEX(Mapping!$H$3:$H$32,MATCH($B2666,Mapping!$G$3:$G$32,0)),IF(LEFT($F2666,3)="P2P",IFERROR(INDEX(Mapping!$E$3:$E$6,MATCH($G2666,Mapping!$D$3:$D$6,0)),IFERROR(INDEX(Mapping!$B$3:$B$13,MATCH($J2666,Mapping!$A$3:$A$13,0)),"(unmapped)")),IFERROR(INDEX(Mapping!$B$17:$B$22,MATCH($F2666,Mapping!$A$17:$A$22,0)),$F2666)&amp;" "&amp;IF($G2666="Banking","Banking",IFERROR(INDEX(Mapping!$E$17:$E$28,MATCH($J2666,Mapping!$D$17:$D$28,0)),"(unmapped)")))))</f>
        <v/>
      </c>
    </row>
    <row r="2667" spans="11:11" x14ac:dyDescent="0.3">
      <c r="K2667" t="str">
        <f>IF($D2667="","",IFERROR(INDEX(Mapping!$H$3:$H$32,MATCH($B2667,Mapping!$G$3:$G$32,0)),IF(LEFT($F2667,3)="P2P",IFERROR(INDEX(Mapping!$E$3:$E$6,MATCH($G2667,Mapping!$D$3:$D$6,0)),IFERROR(INDEX(Mapping!$B$3:$B$13,MATCH($J2667,Mapping!$A$3:$A$13,0)),"(unmapped)")),IFERROR(INDEX(Mapping!$B$17:$B$22,MATCH($F2667,Mapping!$A$17:$A$22,0)),$F2667)&amp;" "&amp;IF($G2667="Banking","Banking",IFERROR(INDEX(Mapping!$E$17:$E$28,MATCH($J2667,Mapping!$D$17:$D$28,0)),"(unmapped)")))))</f>
        <v/>
      </c>
    </row>
    <row r="2668" spans="11:11" x14ac:dyDescent="0.3">
      <c r="K2668" t="str">
        <f>IF($D2668="","",IFERROR(INDEX(Mapping!$H$3:$H$32,MATCH($B2668,Mapping!$G$3:$G$32,0)),IF(LEFT($F2668,3)="P2P",IFERROR(INDEX(Mapping!$E$3:$E$6,MATCH($G2668,Mapping!$D$3:$D$6,0)),IFERROR(INDEX(Mapping!$B$3:$B$13,MATCH($J2668,Mapping!$A$3:$A$13,0)),"(unmapped)")),IFERROR(INDEX(Mapping!$B$17:$B$22,MATCH($F2668,Mapping!$A$17:$A$22,0)),$F2668)&amp;" "&amp;IF($G2668="Banking","Banking",IFERROR(INDEX(Mapping!$E$17:$E$28,MATCH($J2668,Mapping!$D$17:$D$28,0)),"(unmapped)")))))</f>
        <v/>
      </c>
    </row>
    <row r="2669" spans="11:11" x14ac:dyDescent="0.3">
      <c r="K2669" t="str">
        <f>IF($D2669="","",IFERROR(INDEX(Mapping!$H$3:$H$32,MATCH($B2669,Mapping!$G$3:$G$32,0)),IF(LEFT($F2669,3)="P2P",IFERROR(INDEX(Mapping!$E$3:$E$6,MATCH($G2669,Mapping!$D$3:$D$6,0)),IFERROR(INDEX(Mapping!$B$3:$B$13,MATCH($J2669,Mapping!$A$3:$A$13,0)),"(unmapped)")),IFERROR(INDEX(Mapping!$B$17:$B$22,MATCH($F2669,Mapping!$A$17:$A$22,0)),$F2669)&amp;" "&amp;IF($G2669="Banking","Banking",IFERROR(INDEX(Mapping!$E$17:$E$28,MATCH($J2669,Mapping!$D$17:$D$28,0)),"(unmapped)")))))</f>
        <v/>
      </c>
    </row>
    <row r="2670" spans="11:11" x14ac:dyDescent="0.3">
      <c r="K2670" t="str">
        <f>IF($D2670="","",IFERROR(INDEX(Mapping!$H$3:$H$32,MATCH($B2670,Mapping!$G$3:$G$32,0)),IF(LEFT($F2670,3)="P2P",IFERROR(INDEX(Mapping!$E$3:$E$6,MATCH($G2670,Mapping!$D$3:$D$6,0)),IFERROR(INDEX(Mapping!$B$3:$B$13,MATCH($J2670,Mapping!$A$3:$A$13,0)),"(unmapped)")),IFERROR(INDEX(Mapping!$B$17:$B$22,MATCH($F2670,Mapping!$A$17:$A$22,0)),$F2670)&amp;" "&amp;IF($G2670="Banking","Banking",IFERROR(INDEX(Mapping!$E$17:$E$28,MATCH($J2670,Mapping!$D$17:$D$28,0)),"(unmapped)")))))</f>
        <v/>
      </c>
    </row>
    <row r="2671" spans="11:11" x14ac:dyDescent="0.3">
      <c r="K2671" t="str">
        <f>IF($D2671="","",IFERROR(INDEX(Mapping!$H$3:$H$32,MATCH($B2671,Mapping!$G$3:$G$32,0)),IF(LEFT($F2671,3)="P2P",IFERROR(INDEX(Mapping!$E$3:$E$6,MATCH($G2671,Mapping!$D$3:$D$6,0)),IFERROR(INDEX(Mapping!$B$3:$B$13,MATCH($J2671,Mapping!$A$3:$A$13,0)),"(unmapped)")),IFERROR(INDEX(Mapping!$B$17:$B$22,MATCH($F2671,Mapping!$A$17:$A$22,0)),$F2671)&amp;" "&amp;IF($G2671="Banking","Banking",IFERROR(INDEX(Mapping!$E$17:$E$28,MATCH($J2671,Mapping!$D$17:$D$28,0)),"(unmapped)")))))</f>
        <v/>
      </c>
    </row>
    <row r="2672" spans="11:11" x14ac:dyDescent="0.3">
      <c r="K2672" t="str">
        <f>IF($D2672="","",IFERROR(INDEX(Mapping!$H$3:$H$32,MATCH($B2672,Mapping!$G$3:$G$32,0)),IF(LEFT($F2672,3)="P2P",IFERROR(INDEX(Mapping!$E$3:$E$6,MATCH($G2672,Mapping!$D$3:$D$6,0)),IFERROR(INDEX(Mapping!$B$3:$B$13,MATCH($J2672,Mapping!$A$3:$A$13,0)),"(unmapped)")),IFERROR(INDEX(Mapping!$B$17:$B$22,MATCH($F2672,Mapping!$A$17:$A$22,0)),$F2672)&amp;" "&amp;IF($G2672="Banking","Banking",IFERROR(INDEX(Mapping!$E$17:$E$28,MATCH($J2672,Mapping!$D$17:$D$28,0)),"(unmapped)")))))</f>
        <v/>
      </c>
    </row>
    <row r="2673" spans="11:11" x14ac:dyDescent="0.3">
      <c r="K2673" t="str">
        <f>IF($D2673="","",IFERROR(INDEX(Mapping!$H$3:$H$32,MATCH($B2673,Mapping!$G$3:$G$32,0)),IF(LEFT($F2673,3)="P2P",IFERROR(INDEX(Mapping!$E$3:$E$6,MATCH($G2673,Mapping!$D$3:$D$6,0)),IFERROR(INDEX(Mapping!$B$3:$B$13,MATCH($J2673,Mapping!$A$3:$A$13,0)),"(unmapped)")),IFERROR(INDEX(Mapping!$B$17:$B$22,MATCH($F2673,Mapping!$A$17:$A$22,0)),$F2673)&amp;" "&amp;IF($G2673="Banking","Banking",IFERROR(INDEX(Mapping!$E$17:$E$28,MATCH($J2673,Mapping!$D$17:$D$28,0)),"(unmapped)")))))</f>
        <v/>
      </c>
    </row>
    <row r="2674" spans="11:11" x14ac:dyDescent="0.3">
      <c r="K2674" t="str">
        <f>IF($D2674="","",IFERROR(INDEX(Mapping!$H$3:$H$32,MATCH($B2674,Mapping!$G$3:$G$32,0)),IF(LEFT($F2674,3)="P2P",IFERROR(INDEX(Mapping!$E$3:$E$6,MATCH($G2674,Mapping!$D$3:$D$6,0)),IFERROR(INDEX(Mapping!$B$3:$B$13,MATCH($J2674,Mapping!$A$3:$A$13,0)),"(unmapped)")),IFERROR(INDEX(Mapping!$B$17:$B$22,MATCH($F2674,Mapping!$A$17:$A$22,0)),$F2674)&amp;" "&amp;IF($G2674="Banking","Banking",IFERROR(INDEX(Mapping!$E$17:$E$28,MATCH($J2674,Mapping!$D$17:$D$28,0)),"(unmapped)")))))</f>
        <v/>
      </c>
    </row>
    <row r="2675" spans="11:11" x14ac:dyDescent="0.3">
      <c r="K2675" t="str">
        <f>IF($D2675="","",IFERROR(INDEX(Mapping!$H$3:$H$32,MATCH($B2675,Mapping!$G$3:$G$32,0)),IF(LEFT($F2675,3)="P2P",IFERROR(INDEX(Mapping!$E$3:$E$6,MATCH($G2675,Mapping!$D$3:$D$6,0)),IFERROR(INDEX(Mapping!$B$3:$B$13,MATCH($J2675,Mapping!$A$3:$A$13,0)),"(unmapped)")),IFERROR(INDEX(Mapping!$B$17:$B$22,MATCH($F2675,Mapping!$A$17:$A$22,0)),$F2675)&amp;" "&amp;IF($G2675="Banking","Banking",IFERROR(INDEX(Mapping!$E$17:$E$28,MATCH($J2675,Mapping!$D$17:$D$28,0)),"(unmapped)")))))</f>
        <v/>
      </c>
    </row>
    <row r="2676" spans="11:11" x14ac:dyDescent="0.3">
      <c r="K2676" t="str">
        <f>IF($D2676="","",IFERROR(INDEX(Mapping!$H$3:$H$32,MATCH($B2676,Mapping!$G$3:$G$32,0)),IF(LEFT($F2676,3)="P2P",IFERROR(INDEX(Mapping!$E$3:$E$6,MATCH($G2676,Mapping!$D$3:$D$6,0)),IFERROR(INDEX(Mapping!$B$3:$B$13,MATCH($J2676,Mapping!$A$3:$A$13,0)),"(unmapped)")),IFERROR(INDEX(Mapping!$B$17:$B$22,MATCH($F2676,Mapping!$A$17:$A$22,0)),$F2676)&amp;" "&amp;IF($G2676="Banking","Banking",IFERROR(INDEX(Mapping!$E$17:$E$28,MATCH($J2676,Mapping!$D$17:$D$28,0)),"(unmapped)")))))</f>
        <v/>
      </c>
    </row>
    <row r="2677" spans="11:11" x14ac:dyDescent="0.3">
      <c r="K2677" t="str">
        <f>IF($D2677="","",IFERROR(INDEX(Mapping!$H$3:$H$32,MATCH($B2677,Mapping!$G$3:$G$32,0)),IF(LEFT($F2677,3)="P2P",IFERROR(INDEX(Mapping!$E$3:$E$6,MATCH($G2677,Mapping!$D$3:$D$6,0)),IFERROR(INDEX(Mapping!$B$3:$B$13,MATCH($J2677,Mapping!$A$3:$A$13,0)),"(unmapped)")),IFERROR(INDEX(Mapping!$B$17:$B$22,MATCH($F2677,Mapping!$A$17:$A$22,0)),$F2677)&amp;" "&amp;IF($G2677="Banking","Banking",IFERROR(INDEX(Mapping!$E$17:$E$28,MATCH($J2677,Mapping!$D$17:$D$28,0)),"(unmapped)")))))</f>
        <v/>
      </c>
    </row>
    <row r="2678" spans="11:11" x14ac:dyDescent="0.3">
      <c r="K2678" t="str">
        <f>IF($D2678="","",IFERROR(INDEX(Mapping!$H$3:$H$32,MATCH($B2678,Mapping!$G$3:$G$32,0)),IF(LEFT($F2678,3)="P2P",IFERROR(INDEX(Mapping!$E$3:$E$6,MATCH($G2678,Mapping!$D$3:$D$6,0)),IFERROR(INDEX(Mapping!$B$3:$B$13,MATCH($J2678,Mapping!$A$3:$A$13,0)),"(unmapped)")),IFERROR(INDEX(Mapping!$B$17:$B$22,MATCH($F2678,Mapping!$A$17:$A$22,0)),$F2678)&amp;" "&amp;IF($G2678="Banking","Banking",IFERROR(INDEX(Mapping!$E$17:$E$28,MATCH($J2678,Mapping!$D$17:$D$28,0)),"(unmapped)")))))</f>
        <v/>
      </c>
    </row>
    <row r="2679" spans="11:11" x14ac:dyDescent="0.3">
      <c r="K2679" t="str">
        <f>IF($D2679="","",IFERROR(INDEX(Mapping!$H$3:$H$32,MATCH($B2679,Mapping!$G$3:$G$32,0)),IF(LEFT($F2679,3)="P2P",IFERROR(INDEX(Mapping!$E$3:$E$6,MATCH($G2679,Mapping!$D$3:$D$6,0)),IFERROR(INDEX(Mapping!$B$3:$B$13,MATCH($J2679,Mapping!$A$3:$A$13,0)),"(unmapped)")),IFERROR(INDEX(Mapping!$B$17:$B$22,MATCH($F2679,Mapping!$A$17:$A$22,0)),$F2679)&amp;" "&amp;IF($G2679="Banking","Banking",IFERROR(INDEX(Mapping!$E$17:$E$28,MATCH($J2679,Mapping!$D$17:$D$28,0)),"(unmapped)")))))</f>
        <v/>
      </c>
    </row>
    <row r="2680" spans="11:11" x14ac:dyDescent="0.3">
      <c r="K2680" t="str">
        <f>IF($D2680="","",IFERROR(INDEX(Mapping!$H$3:$H$32,MATCH($B2680,Mapping!$G$3:$G$32,0)),IF(LEFT($F2680,3)="P2P",IFERROR(INDEX(Mapping!$E$3:$E$6,MATCH($G2680,Mapping!$D$3:$D$6,0)),IFERROR(INDEX(Mapping!$B$3:$B$13,MATCH($J2680,Mapping!$A$3:$A$13,0)),"(unmapped)")),IFERROR(INDEX(Mapping!$B$17:$B$22,MATCH($F2680,Mapping!$A$17:$A$22,0)),$F2680)&amp;" "&amp;IF($G2680="Banking","Banking",IFERROR(INDEX(Mapping!$E$17:$E$28,MATCH($J2680,Mapping!$D$17:$D$28,0)),"(unmapped)")))))</f>
        <v/>
      </c>
    </row>
    <row r="2681" spans="11:11" x14ac:dyDescent="0.3">
      <c r="K2681" t="str">
        <f>IF($D2681="","",IFERROR(INDEX(Mapping!$H$3:$H$32,MATCH($B2681,Mapping!$G$3:$G$32,0)),IF(LEFT($F2681,3)="P2P",IFERROR(INDEX(Mapping!$E$3:$E$6,MATCH($G2681,Mapping!$D$3:$D$6,0)),IFERROR(INDEX(Mapping!$B$3:$B$13,MATCH($J2681,Mapping!$A$3:$A$13,0)),"(unmapped)")),IFERROR(INDEX(Mapping!$B$17:$B$22,MATCH($F2681,Mapping!$A$17:$A$22,0)),$F2681)&amp;" "&amp;IF($G2681="Banking","Banking",IFERROR(INDEX(Mapping!$E$17:$E$28,MATCH($J2681,Mapping!$D$17:$D$28,0)),"(unmapped)")))))</f>
        <v/>
      </c>
    </row>
    <row r="2682" spans="11:11" x14ac:dyDescent="0.3">
      <c r="K2682" t="str">
        <f>IF($D2682="","",IFERROR(INDEX(Mapping!$H$3:$H$32,MATCH($B2682,Mapping!$G$3:$G$32,0)),IF(LEFT($F2682,3)="P2P",IFERROR(INDEX(Mapping!$E$3:$E$6,MATCH($G2682,Mapping!$D$3:$D$6,0)),IFERROR(INDEX(Mapping!$B$3:$B$13,MATCH($J2682,Mapping!$A$3:$A$13,0)),"(unmapped)")),IFERROR(INDEX(Mapping!$B$17:$B$22,MATCH($F2682,Mapping!$A$17:$A$22,0)),$F2682)&amp;" "&amp;IF($G2682="Banking","Banking",IFERROR(INDEX(Mapping!$E$17:$E$28,MATCH($J2682,Mapping!$D$17:$D$28,0)),"(unmapped)")))))</f>
        <v/>
      </c>
    </row>
    <row r="2683" spans="11:11" x14ac:dyDescent="0.3">
      <c r="K2683" t="str">
        <f>IF($D2683="","",IFERROR(INDEX(Mapping!$H$3:$H$32,MATCH($B2683,Mapping!$G$3:$G$32,0)),IF(LEFT($F2683,3)="P2P",IFERROR(INDEX(Mapping!$E$3:$E$6,MATCH($G2683,Mapping!$D$3:$D$6,0)),IFERROR(INDEX(Mapping!$B$3:$B$13,MATCH($J2683,Mapping!$A$3:$A$13,0)),"(unmapped)")),IFERROR(INDEX(Mapping!$B$17:$B$22,MATCH($F2683,Mapping!$A$17:$A$22,0)),$F2683)&amp;" "&amp;IF($G2683="Banking","Banking",IFERROR(INDEX(Mapping!$E$17:$E$28,MATCH($J2683,Mapping!$D$17:$D$28,0)),"(unmapped)")))))</f>
        <v/>
      </c>
    </row>
    <row r="2684" spans="11:11" x14ac:dyDescent="0.3">
      <c r="K2684" t="str">
        <f>IF($D2684="","",IFERROR(INDEX(Mapping!$H$3:$H$32,MATCH($B2684,Mapping!$G$3:$G$32,0)),IF(LEFT($F2684,3)="P2P",IFERROR(INDEX(Mapping!$E$3:$E$6,MATCH($G2684,Mapping!$D$3:$D$6,0)),IFERROR(INDEX(Mapping!$B$3:$B$13,MATCH($J2684,Mapping!$A$3:$A$13,0)),"(unmapped)")),IFERROR(INDEX(Mapping!$B$17:$B$22,MATCH($F2684,Mapping!$A$17:$A$22,0)),$F2684)&amp;" "&amp;IF($G2684="Banking","Banking",IFERROR(INDEX(Mapping!$E$17:$E$28,MATCH($J2684,Mapping!$D$17:$D$28,0)),"(unmapped)")))))</f>
        <v/>
      </c>
    </row>
    <row r="2685" spans="11:11" x14ac:dyDescent="0.3">
      <c r="K2685" t="str">
        <f>IF($D2685="","",IFERROR(INDEX(Mapping!$H$3:$H$32,MATCH($B2685,Mapping!$G$3:$G$32,0)),IF(LEFT($F2685,3)="P2P",IFERROR(INDEX(Mapping!$E$3:$E$6,MATCH($G2685,Mapping!$D$3:$D$6,0)),IFERROR(INDEX(Mapping!$B$3:$B$13,MATCH($J2685,Mapping!$A$3:$A$13,0)),"(unmapped)")),IFERROR(INDEX(Mapping!$B$17:$B$22,MATCH($F2685,Mapping!$A$17:$A$22,0)),$F2685)&amp;" "&amp;IF($G2685="Banking","Banking",IFERROR(INDEX(Mapping!$E$17:$E$28,MATCH($J2685,Mapping!$D$17:$D$28,0)),"(unmapped)")))))</f>
        <v/>
      </c>
    </row>
    <row r="2686" spans="11:11" x14ac:dyDescent="0.3">
      <c r="K2686" t="str">
        <f>IF($D2686="","",IFERROR(INDEX(Mapping!$H$3:$H$32,MATCH($B2686,Mapping!$G$3:$G$32,0)),IF(LEFT($F2686,3)="P2P",IFERROR(INDEX(Mapping!$E$3:$E$6,MATCH($G2686,Mapping!$D$3:$D$6,0)),IFERROR(INDEX(Mapping!$B$3:$B$13,MATCH($J2686,Mapping!$A$3:$A$13,0)),"(unmapped)")),IFERROR(INDEX(Mapping!$B$17:$B$22,MATCH($F2686,Mapping!$A$17:$A$22,0)),$F2686)&amp;" "&amp;IF($G2686="Banking","Banking",IFERROR(INDEX(Mapping!$E$17:$E$28,MATCH($J2686,Mapping!$D$17:$D$28,0)),"(unmapped)")))))</f>
        <v/>
      </c>
    </row>
    <row r="2687" spans="11:11" x14ac:dyDescent="0.3">
      <c r="K2687" t="str">
        <f>IF($D2687="","",IFERROR(INDEX(Mapping!$H$3:$H$32,MATCH($B2687,Mapping!$G$3:$G$32,0)),IF(LEFT($F2687,3)="P2P",IFERROR(INDEX(Mapping!$E$3:$E$6,MATCH($G2687,Mapping!$D$3:$D$6,0)),IFERROR(INDEX(Mapping!$B$3:$B$13,MATCH($J2687,Mapping!$A$3:$A$13,0)),"(unmapped)")),IFERROR(INDEX(Mapping!$B$17:$B$22,MATCH($F2687,Mapping!$A$17:$A$22,0)),$F2687)&amp;" "&amp;IF($G2687="Banking","Banking",IFERROR(INDEX(Mapping!$E$17:$E$28,MATCH($J2687,Mapping!$D$17:$D$28,0)),"(unmapped)")))))</f>
        <v/>
      </c>
    </row>
    <row r="2688" spans="11:11" x14ac:dyDescent="0.3">
      <c r="K2688" t="str">
        <f>IF($D2688="","",IFERROR(INDEX(Mapping!$H$3:$H$32,MATCH($B2688,Mapping!$G$3:$G$32,0)),IF(LEFT($F2688,3)="P2P",IFERROR(INDEX(Mapping!$E$3:$E$6,MATCH($G2688,Mapping!$D$3:$D$6,0)),IFERROR(INDEX(Mapping!$B$3:$B$13,MATCH($J2688,Mapping!$A$3:$A$13,0)),"(unmapped)")),IFERROR(INDEX(Mapping!$B$17:$B$22,MATCH($F2688,Mapping!$A$17:$A$22,0)),$F2688)&amp;" "&amp;IF($G2688="Banking","Banking",IFERROR(INDEX(Mapping!$E$17:$E$28,MATCH($J2688,Mapping!$D$17:$D$28,0)),"(unmapped)")))))</f>
        <v/>
      </c>
    </row>
    <row r="2689" spans="11:11" x14ac:dyDescent="0.3">
      <c r="K2689" t="str">
        <f>IF($D2689="","",IFERROR(INDEX(Mapping!$H$3:$H$32,MATCH($B2689,Mapping!$G$3:$G$32,0)),IF(LEFT($F2689,3)="P2P",IFERROR(INDEX(Mapping!$E$3:$E$6,MATCH($G2689,Mapping!$D$3:$D$6,0)),IFERROR(INDEX(Mapping!$B$3:$B$13,MATCH($J2689,Mapping!$A$3:$A$13,0)),"(unmapped)")),IFERROR(INDEX(Mapping!$B$17:$B$22,MATCH($F2689,Mapping!$A$17:$A$22,0)),$F2689)&amp;" "&amp;IF($G2689="Banking","Banking",IFERROR(INDEX(Mapping!$E$17:$E$28,MATCH($J2689,Mapping!$D$17:$D$28,0)),"(unmapped)")))))</f>
        <v/>
      </c>
    </row>
    <row r="2690" spans="11:11" x14ac:dyDescent="0.3">
      <c r="K2690" t="str">
        <f>IF($D2690="","",IFERROR(INDEX(Mapping!$H$3:$H$32,MATCH($B2690,Mapping!$G$3:$G$32,0)),IF(LEFT($F2690,3)="P2P",IFERROR(INDEX(Mapping!$E$3:$E$6,MATCH($G2690,Mapping!$D$3:$D$6,0)),IFERROR(INDEX(Mapping!$B$3:$B$13,MATCH($J2690,Mapping!$A$3:$A$13,0)),"(unmapped)")),IFERROR(INDEX(Mapping!$B$17:$B$22,MATCH($F2690,Mapping!$A$17:$A$22,0)),$F2690)&amp;" "&amp;IF($G2690="Banking","Banking",IFERROR(INDEX(Mapping!$E$17:$E$28,MATCH($J2690,Mapping!$D$17:$D$28,0)),"(unmapped)")))))</f>
        <v/>
      </c>
    </row>
    <row r="2691" spans="11:11" x14ac:dyDescent="0.3">
      <c r="K2691" t="str">
        <f>IF($D2691="","",IFERROR(INDEX(Mapping!$H$3:$H$32,MATCH($B2691,Mapping!$G$3:$G$32,0)),IF(LEFT($F2691,3)="P2P",IFERROR(INDEX(Mapping!$E$3:$E$6,MATCH($G2691,Mapping!$D$3:$D$6,0)),IFERROR(INDEX(Mapping!$B$3:$B$13,MATCH($J2691,Mapping!$A$3:$A$13,0)),"(unmapped)")),IFERROR(INDEX(Mapping!$B$17:$B$22,MATCH($F2691,Mapping!$A$17:$A$22,0)),$F2691)&amp;" "&amp;IF($G2691="Banking","Banking",IFERROR(INDEX(Mapping!$E$17:$E$28,MATCH($J2691,Mapping!$D$17:$D$28,0)),"(unmapped)")))))</f>
        <v/>
      </c>
    </row>
    <row r="2692" spans="11:11" x14ac:dyDescent="0.3">
      <c r="K2692" t="str">
        <f>IF($D2692="","",IFERROR(INDEX(Mapping!$H$3:$H$32,MATCH($B2692,Mapping!$G$3:$G$32,0)),IF(LEFT($F2692,3)="P2P",IFERROR(INDEX(Mapping!$E$3:$E$6,MATCH($G2692,Mapping!$D$3:$D$6,0)),IFERROR(INDEX(Mapping!$B$3:$B$13,MATCH($J2692,Mapping!$A$3:$A$13,0)),"(unmapped)")),IFERROR(INDEX(Mapping!$B$17:$B$22,MATCH($F2692,Mapping!$A$17:$A$22,0)),$F2692)&amp;" "&amp;IF($G2692="Banking","Banking",IFERROR(INDEX(Mapping!$E$17:$E$28,MATCH($J2692,Mapping!$D$17:$D$28,0)),"(unmapped)")))))</f>
        <v/>
      </c>
    </row>
    <row r="2693" spans="11:11" x14ac:dyDescent="0.3">
      <c r="K2693" t="str">
        <f>IF($D2693="","",IFERROR(INDEX(Mapping!$H$3:$H$32,MATCH($B2693,Mapping!$G$3:$G$32,0)),IF(LEFT($F2693,3)="P2P",IFERROR(INDEX(Mapping!$E$3:$E$6,MATCH($G2693,Mapping!$D$3:$D$6,0)),IFERROR(INDEX(Mapping!$B$3:$B$13,MATCH($J2693,Mapping!$A$3:$A$13,0)),"(unmapped)")),IFERROR(INDEX(Mapping!$B$17:$B$22,MATCH($F2693,Mapping!$A$17:$A$22,0)),$F2693)&amp;" "&amp;IF($G2693="Banking","Banking",IFERROR(INDEX(Mapping!$E$17:$E$28,MATCH($J2693,Mapping!$D$17:$D$28,0)),"(unmapped)")))))</f>
        <v/>
      </c>
    </row>
    <row r="2694" spans="11:11" x14ac:dyDescent="0.3">
      <c r="K2694" t="str">
        <f>IF($D2694="","",IFERROR(INDEX(Mapping!$H$3:$H$32,MATCH($B2694,Mapping!$G$3:$G$32,0)),IF(LEFT($F2694,3)="P2P",IFERROR(INDEX(Mapping!$E$3:$E$6,MATCH($G2694,Mapping!$D$3:$D$6,0)),IFERROR(INDEX(Mapping!$B$3:$B$13,MATCH($J2694,Mapping!$A$3:$A$13,0)),"(unmapped)")),IFERROR(INDEX(Mapping!$B$17:$B$22,MATCH($F2694,Mapping!$A$17:$A$22,0)),$F2694)&amp;" "&amp;IF($G2694="Banking","Banking",IFERROR(INDEX(Mapping!$E$17:$E$28,MATCH($J2694,Mapping!$D$17:$D$28,0)),"(unmapped)")))))</f>
        <v/>
      </c>
    </row>
    <row r="2695" spans="11:11" x14ac:dyDescent="0.3">
      <c r="K2695" t="str">
        <f>IF($D2695="","",IFERROR(INDEX(Mapping!$H$3:$H$32,MATCH($B2695,Mapping!$G$3:$G$32,0)),IF(LEFT($F2695,3)="P2P",IFERROR(INDEX(Mapping!$E$3:$E$6,MATCH($G2695,Mapping!$D$3:$D$6,0)),IFERROR(INDEX(Mapping!$B$3:$B$13,MATCH($J2695,Mapping!$A$3:$A$13,0)),"(unmapped)")),IFERROR(INDEX(Mapping!$B$17:$B$22,MATCH($F2695,Mapping!$A$17:$A$22,0)),$F2695)&amp;" "&amp;IF($G2695="Banking","Banking",IFERROR(INDEX(Mapping!$E$17:$E$28,MATCH($J2695,Mapping!$D$17:$D$28,0)),"(unmapped)")))))</f>
        <v/>
      </c>
    </row>
    <row r="2696" spans="11:11" x14ac:dyDescent="0.3">
      <c r="K2696" t="str">
        <f>IF($D2696="","",IFERROR(INDEX(Mapping!$H$3:$H$32,MATCH($B2696,Mapping!$G$3:$G$32,0)),IF(LEFT($F2696,3)="P2P",IFERROR(INDEX(Mapping!$E$3:$E$6,MATCH($G2696,Mapping!$D$3:$D$6,0)),IFERROR(INDEX(Mapping!$B$3:$B$13,MATCH($J2696,Mapping!$A$3:$A$13,0)),"(unmapped)")),IFERROR(INDEX(Mapping!$B$17:$B$22,MATCH($F2696,Mapping!$A$17:$A$22,0)),$F2696)&amp;" "&amp;IF($G2696="Banking","Banking",IFERROR(INDEX(Mapping!$E$17:$E$28,MATCH($J2696,Mapping!$D$17:$D$28,0)),"(unmapped)")))))</f>
        <v/>
      </c>
    </row>
    <row r="2697" spans="11:11" x14ac:dyDescent="0.3">
      <c r="K2697" t="str">
        <f>IF($D2697="","",IFERROR(INDEX(Mapping!$H$3:$H$32,MATCH($B2697,Mapping!$G$3:$G$32,0)),IF(LEFT($F2697,3)="P2P",IFERROR(INDEX(Mapping!$E$3:$E$6,MATCH($G2697,Mapping!$D$3:$D$6,0)),IFERROR(INDEX(Mapping!$B$3:$B$13,MATCH($J2697,Mapping!$A$3:$A$13,0)),"(unmapped)")),IFERROR(INDEX(Mapping!$B$17:$B$22,MATCH($F2697,Mapping!$A$17:$A$22,0)),$F2697)&amp;" "&amp;IF($G2697="Banking","Banking",IFERROR(INDEX(Mapping!$E$17:$E$28,MATCH($J2697,Mapping!$D$17:$D$28,0)),"(unmapped)")))))</f>
        <v/>
      </c>
    </row>
    <row r="2698" spans="11:11" x14ac:dyDescent="0.3">
      <c r="K2698" t="str">
        <f>IF($D2698="","",IFERROR(INDEX(Mapping!$H$3:$H$32,MATCH($B2698,Mapping!$G$3:$G$32,0)),IF(LEFT($F2698,3)="P2P",IFERROR(INDEX(Mapping!$E$3:$E$6,MATCH($G2698,Mapping!$D$3:$D$6,0)),IFERROR(INDEX(Mapping!$B$3:$B$13,MATCH($J2698,Mapping!$A$3:$A$13,0)),"(unmapped)")),IFERROR(INDEX(Mapping!$B$17:$B$22,MATCH($F2698,Mapping!$A$17:$A$22,0)),$F2698)&amp;" "&amp;IF($G2698="Banking","Banking",IFERROR(INDEX(Mapping!$E$17:$E$28,MATCH($J2698,Mapping!$D$17:$D$28,0)),"(unmapped)")))))</f>
        <v/>
      </c>
    </row>
    <row r="2699" spans="11:11" x14ac:dyDescent="0.3">
      <c r="K2699" t="str">
        <f>IF($D2699="","",IFERROR(INDEX(Mapping!$H$3:$H$32,MATCH($B2699,Mapping!$G$3:$G$32,0)),IF(LEFT($F2699,3)="P2P",IFERROR(INDEX(Mapping!$E$3:$E$6,MATCH($G2699,Mapping!$D$3:$D$6,0)),IFERROR(INDEX(Mapping!$B$3:$B$13,MATCH($J2699,Mapping!$A$3:$A$13,0)),"(unmapped)")),IFERROR(INDEX(Mapping!$B$17:$B$22,MATCH($F2699,Mapping!$A$17:$A$22,0)),$F2699)&amp;" "&amp;IF($G2699="Banking","Banking",IFERROR(INDEX(Mapping!$E$17:$E$28,MATCH($J2699,Mapping!$D$17:$D$28,0)),"(unmapped)")))))</f>
        <v/>
      </c>
    </row>
    <row r="2700" spans="11:11" x14ac:dyDescent="0.3">
      <c r="K2700" t="str">
        <f>IF($D2700="","",IFERROR(INDEX(Mapping!$H$3:$H$32,MATCH($B2700,Mapping!$G$3:$G$32,0)),IF(LEFT($F2700,3)="P2P",IFERROR(INDEX(Mapping!$E$3:$E$6,MATCH($G2700,Mapping!$D$3:$D$6,0)),IFERROR(INDEX(Mapping!$B$3:$B$13,MATCH($J2700,Mapping!$A$3:$A$13,0)),"(unmapped)")),IFERROR(INDEX(Mapping!$B$17:$B$22,MATCH($F2700,Mapping!$A$17:$A$22,0)),$F2700)&amp;" "&amp;IF($G2700="Banking","Banking",IFERROR(INDEX(Mapping!$E$17:$E$28,MATCH($J2700,Mapping!$D$17:$D$28,0)),"(unmapped)")))))</f>
        <v/>
      </c>
    </row>
    <row r="2701" spans="11:11" x14ac:dyDescent="0.3">
      <c r="K2701" t="str">
        <f>IF($D2701="","",IFERROR(INDEX(Mapping!$H$3:$H$32,MATCH($B2701,Mapping!$G$3:$G$32,0)),IF(LEFT($F2701,3)="P2P",IFERROR(INDEX(Mapping!$E$3:$E$6,MATCH($G2701,Mapping!$D$3:$D$6,0)),IFERROR(INDEX(Mapping!$B$3:$B$13,MATCH($J2701,Mapping!$A$3:$A$13,0)),"(unmapped)")),IFERROR(INDEX(Mapping!$B$17:$B$22,MATCH($F2701,Mapping!$A$17:$A$22,0)),$F2701)&amp;" "&amp;IF($G2701="Banking","Banking",IFERROR(INDEX(Mapping!$E$17:$E$28,MATCH($J2701,Mapping!$D$17:$D$28,0)),"(unmapped)")))))</f>
        <v/>
      </c>
    </row>
    <row r="2702" spans="11:11" x14ac:dyDescent="0.3">
      <c r="K2702" t="str">
        <f>IF($D2702="","",IFERROR(INDEX(Mapping!$H$3:$H$32,MATCH($B2702,Mapping!$G$3:$G$32,0)),IF(LEFT($F2702,3)="P2P",IFERROR(INDEX(Mapping!$E$3:$E$6,MATCH($G2702,Mapping!$D$3:$D$6,0)),IFERROR(INDEX(Mapping!$B$3:$B$13,MATCH($J2702,Mapping!$A$3:$A$13,0)),"(unmapped)")),IFERROR(INDEX(Mapping!$B$17:$B$22,MATCH($F2702,Mapping!$A$17:$A$22,0)),$F2702)&amp;" "&amp;IF($G2702="Banking","Banking",IFERROR(INDEX(Mapping!$E$17:$E$28,MATCH($J2702,Mapping!$D$17:$D$28,0)),"(unmapped)")))))</f>
        <v/>
      </c>
    </row>
    <row r="2703" spans="11:11" x14ac:dyDescent="0.3">
      <c r="K2703" t="str">
        <f>IF($D2703="","",IFERROR(INDEX(Mapping!$H$3:$H$32,MATCH($B2703,Mapping!$G$3:$G$32,0)),IF(LEFT($F2703,3)="P2P",IFERROR(INDEX(Mapping!$E$3:$E$6,MATCH($G2703,Mapping!$D$3:$D$6,0)),IFERROR(INDEX(Mapping!$B$3:$B$13,MATCH($J2703,Mapping!$A$3:$A$13,0)),"(unmapped)")),IFERROR(INDEX(Mapping!$B$17:$B$22,MATCH($F2703,Mapping!$A$17:$A$22,0)),$F2703)&amp;" "&amp;IF($G2703="Banking","Banking",IFERROR(INDEX(Mapping!$E$17:$E$28,MATCH($J2703,Mapping!$D$17:$D$28,0)),"(unmapped)")))))</f>
        <v/>
      </c>
    </row>
    <row r="2704" spans="11:11" x14ac:dyDescent="0.3">
      <c r="K2704" t="str">
        <f>IF($D2704="","",IFERROR(INDEX(Mapping!$H$3:$H$32,MATCH($B2704,Mapping!$G$3:$G$32,0)),IF(LEFT($F2704,3)="P2P",IFERROR(INDEX(Mapping!$E$3:$E$6,MATCH($G2704,Mapping!$D$3:$D$6,0)),IFERROR(INDEX(Mapping!$B$3:$B$13,MATCH($J2704,Mapping!$A$3:$A$13,0)),"(unmapped)")),IFERROR(INDEX(Mapping!$B$17:$B$22,MATCH($F2704,Mapping!$A$17:$A$22,0)),$F2704)&amp;" "&amp;IF($G2704="Banking","Banking",IFERROR(INDEX(Mapping!$E$17:$E$28,MATCH($J2704,Mapping!$D$17:$D$28,0)),"(unmapped)")))))</f>
        <v/>
      </c>
    </row>
    <row r="2705" spans="11:11" x14ac:dyDescent="0.3">
      <c r="K2705" t="str">
        <f>IF($D2705="","",IFERROR(INDEX(Mapping!$H$3:$H$32,MATCH($B2705,Mapping!$G$3:$G$32,0)),IF(LEFT($F2705,3)="P2P",IFERROR(INDEX(Mapping!$E$3:$E$6,MATCH($G2705,Mapping!$D$3:$D$6,0)),IFERROR(INDEX(Mapping!$B$3:$B$13,MATCH($J2705,Mapping!$A$3:$A$13,0)),"(unmapped)")),IFERROR(INDEX(Mapping!$B$17:$B$22,MATCH($F2705,Mapping!$A$17:$A$22,0)),$F2705)&amp;" "&amp;IF($G2705="Banking","Banking",IFERROR(INDEX(Mapping!$E$17:$E$28,MATCH($J2705,Mapping!$D$17:$D$28,0)),"(unmapped)")))))</f>
        <v/>
      </c>
    </row>
    <row r="2706" spans="11:11" x14ac:dyDescent="0.3">
      <c r="K2706" t="str">
        <f>IF($D2706="","",IFERROR(INDEX(Mapping!$H$3:$H$32,MATCH($B2706,Mapping!$G$3:$G$32,0)),IF(LEFT($F2706,3)="P2P",IFERROR(INDEX(Mapping!$E$3:$E$6,MATCH($G2706,Mapping!$D$3:$D$6,0)),IFERROR(INDEX(Mapping!$B$3:$B$13,MATCH($J2706,Mapping!$A$3:$A$13,0)),"(unmapped)")),IFERROR(INDEX(Mapping!$B$17:$B$22,MATCH($F2706,Mapping!$A$17:$A$22,0)),$F2706)&amp;" "&amp;IF($G2706="Banking","Banking",IFERROR(INDEX(Mapping!$E$17:$E$28,MATCH($J2706,Mapping!$D$17:$D$28,0)),"(unmapped)")))))</f>
        <v/>
      </c>
    </row>
    <row r="2707" spans="11:11" x14ac:dyDescent="0.3">
      <c r="K2707" t="str">
        <f>IF($D2707="","",IFERROR(INDEX(Mapping!$H$3:$H$32,MATCH($B2707,Mapping!$G$3:$G$32,0)),IF(LEFT($F2707,3)="P2P",IFERROR(INDEX(Mapping!$E$3:$E$6,MATCH($G2707,Mapping!$D$3:$D$6,0)),IFERROR(INDEX(Mapping!$B$3:$B$13,MATCH($J2707,Mapping!$A$3:$A$13,0)),"(unmapped)")),IFERROR(INDEX(Mapping!$B$17:$B$22,MATCH($F2707,Mapping!$A$17:$A$22,0)),$F2707)&amp;" "&amp;IF($G2707="Banking","Banking",IFERROR(INDEX(Mapping!$E$17:$E$28,MATCH($J2707,Mapping!$D$17:$D$28,0)),"(unmapped)")))))</f>
        <v/>
      </c>
    </row>
    <row r="2708" spans="11:11" x14ac:dyDescent="0.3">
      <c r="K2708" t="str">
        <f>IF($D2708="","",IFERROR(INDEX(Mapping!$H$3:$H$32,MATCH($B2708,Mapping!$G$3:$G$32,0)),IF(LEFT($F2708,3)="P2P",IFERROR(INDEX(Mapping!$E$3:$E$6,MATCH($G2708,Mapping!$D$3:$D$6,0)),IFERROR(INDEX(Mapping!$B$3:$B$13,MATCH($J2708,Mapping!$A$3:$A$13,0)),"(unmapped)")),IFERROR(INDEX(Mapping!$B$17:$B$22,MATCH($F2708,Mapping!$A$17:$A$22,0)),$F2708)&amp;" "&amp;IF($G2708="Banking","Banking",IFERROR(INDEX(Mapping!$E$17:$E$28,MATCH($J2708,Mapping!$D$17:$D$28,0)),"(unmapped)")))))</f>
        <v/>
      </c>
    </row>
    <row r="2709" spans="11:11" x14ac:dyDescent="0.3">
      <c r="K2709" t="str">
        <f>IF($D2709="","",IFERROR(INDEX(Mapping!$H$3:$H$32,MATCH($B2709,Mapping!$G$3:$G$32,0)),IF(LEFT($F2709,3)="P2P",IFERROR(INDEX(Mapping!$E$3:$E$6,MATCH($G2709,Mapping!$D$3:$D$6,0)),IFERROR(INDEX(Mapping!$B$3:$B$13,MATCH($J2709,Mapping!$A$3:$A$13,0)),"(unmapped)")),IFERROR(INDEX(Mapping!$B$17:$B$22,MATCH($F2709,Mapping!$A$17:$A$22,0)),$F2709)&amp;" "&amp;IF($G2709="Banking","Banking",IFERROR(INDEX(Mapping!$E$17:$E$28,MATCH($J2709,Mapping!$D$17:$D$28,0)),"(unmapped)")))))</f>
        <v/>
      </c>
    </row>
    <row r="2710" spans="11:11" x14ac:dyDescent="0.3">
      <c r="K2710" t="str">
        <f>IF($D2710="","",IFERROR(INDEX(Mapping!$H$3:$H$32,MATCH($B2710,Mapping!$G$3:$G$32,0)),IF(LEFT($F2710,3)="P2P",IFERROR(INDEX(Mapping!$E$3:$E$6,MATCH($G2710,Mapping!$D$3:$D$6,0)),IFERROR(INDEX(Mapping!$B$3:$B$13,MATCH($J2710,Mapping!$A$3:$A$13,0)),"(unmapped)")),IFERROR(INDEX(Mapping!$B$17:$B$22,MATCH($F2710,Mapping!$A$17:$A$22,0)),$F2710)&amp;" "&amp;IF($G2710="Banking","Banking",IFERROR(INDEX(Mapping!$E$17:$E$28,MATCH($J2710,Mapping!$D$17:$D$28,0)),"(unmapped)")))))</f>
        <v/>
      </c>
    </row>
    <row r="2711" spans="11:11" x14ac:dyDescent="0.3">
      <c r="K2711" t="str">
        <f>IF($D2711="","",IFERROR(INDEX(Mapping!$H$3:$H$32,MATCH($B2711,Mapping!$G$3:$G$32,0)),IF(LEFT($F2711,3)="P2P",IFERROR(INDEX(Mapping!$E$3:$E$6,MATCH($G2711,Mapping!$D$3:$D$6,0)),IFERROR(INDEX(Mapping!$B$3:$B$13,MATCH($J2711,Mapping!$A$3:$A$13,0)),"(unmapped)")),IFERROR(INDEX(Mapping!$B$17:$B$22,MATCH($F2711,Mapping!$A$17:$A$22,0)),$F2711)&amp;" "&amp;IF($G2711="Banking","Banking",IFERROR(INDEX(Mapping!$E$17:$E$28,MATCH($J2711,Mapping!$D$17:$D$28,0)),"(unmapped)")))))</f>
        <v/>
      </c>
    </row>
    <row r="2712" spans="11:11" x14ac:dyDescent="0.3">
      <c r="K2712" t="str">
        <f>IF($D2712="","",IFERROR(INDEX(Mapping!$H$3:$H$32,MATCH($B2712,Mapping!$G$3:$G$32,0)),IF(LEFT($F2712,3)="P2P",IFERROR(INDEX(Mapping!$E$3:$E$6,MATCH($G2712,Mapping!$D$3:$D$6,0)),IFERROR(INDEX(Mapping!$B$3:$B$13,MATCH($J2712,Mapping!$A$3:$A$13,0)),"(unmapped)")),IFERROR(INDEX(Mapping!$B$17:$B$22,MATCH($F2712,Mapping!$A$17:$A$22,0)),$F2712)&amp;" "&amp;IF($G2712="Banking","Banking",IFERROR(INDEX(Mapping!$E$17:$E$28,MATCH($J2712,Mapping!$D$17:$D$28,0)),"(unmapped)")))))</f>
        <v/>
      </c>
    </row>
    <row r="2713" spans="11:11" x14ac:dyDescent="0.3">
      <c r="K2713" t="str">
        <f>IF($D2713="","",IFERROR(INDEX(Mapping!$H$3:$H$32,MATCH($B2713,Mapping!$G$3:$G$32,0)),IF(LEFT($F2713,3)="P2P",IFERROR(INDEX(Mapping!$E$3:$E$6,MATCH($G2713,Mapping!$D$3:$D$6,0)),IFERROR(INDEX(Mapping!$B$3:$B$13,MATCH($J2713,Mapping!$A$3:$A$13,0)),"(unmapped)")),IFERROR(INDEX(Mapping!$B$17:$B$22,MATCH($F2713,Mapping!$A$17:$A$22,0)),$F2713)&amp;" "&amp;IF($G2713="Banking","Banking",IFERROR(INDEX(Mapping!$E$17:$E$28,MATCH($J2713,Mapping!$D$17:$D$28,0)),"(unmapped)")))))</f>
        <v/>
      </c>
    </row>
    <row r="2714" spans="11:11" x14ac:dyDescent="0.3">
      <c r="K2714" t="str">
        <f>IF($D2714="","",IFERROR(INDEX(Mapping!$H$3:$H$32,MATCH($B2714,Mapping!$G$3:$G$32,0)),IF(LEFT($F2714,3)="P2P",IFERROR(INDEX(Mapping!$E$3:$E$6,MATCH($G2714,Mapping!$D$3:$D$6,0)),IFERROR(INDEX(Mapping!$B$3:$B$13,MATCH($J2714,Mapping!$A$3:$A$13,0)),"(unmapped)")),IFERROR(INDEX(Mapping!$B$17:$B$22,MATCH($F2714,Mapping!$A$17:$A$22,0)),$F2714)&amp;" "&amp;IF($G2714="Banking","Banking",IFERROR(INDEX(Mapping!$E$17:$E$28,MATCH($J2714,Mapping!$D$17:$D$28,0)),"(unmapped)")))))</f>
        <v/>
      </c>
    </row>
    <row r="2715" spans="11:11" x14ac:dyDescent="0.3">
      <c r="K2715" t="str">
        <f>IF($D2715="","",IFERROR(INDEX(Mapping!$H$3:$H$32,MATCH($B2715,Mapping!$G$3:$G$32,0)),IF(LEFT($F2715,3)="P2P",IFERROR(INDEX(Mapping!$E$3:$E$6,MATCH($G2715,Mapping!$D$3:$D$6,0)),IFERROR(INDEX(Mapping!$B$3:$B$13,MATCH($J2715,Mapping!$A$3:$A$13,0)),"(unmapped)")),IFERROR(INDEX(Mapping!$B$17:$B$22,MATCH($F2715,Mapping!$A$17:$A$22,0)),$F2715)&amp;" "&amp;IF($G2715="Banking","Banking",IFERROR(INDEX(Mapping!$E$17:$E$28,MATCH($J2715,Mapping!$D$17:$D$28,0)),"(unmapped)")))))</f>
        <v/>
      </c>
    </row>
    <row r="2716" spans="11:11" x14ac:dyDescent="0.3">
      <c r="K2716" t="str">
        <f>IF($D2716="","",IFERROR(INDEX(Mapping!$H$3:$H$32,MATCH($B2716,Mapping!$G$3:$G$32,0)),IF(LEFT($F2716,3)="P2P",IFERROR(INDEX(Mapping!$E$3:$E$6,MATCH($G2716,Mapping!$D$3:$D$6,0)),IFERROR(INDEX(Mapping!$B$3:$B$13,MATCH($J2716,Mapping!$A$3:$A$13,0)),"(unmapped)")),IFERROR(INDEX(Mapping!$B$17:$B$22,MATCH($F2716,Mapping!$A$17:$A$22,0)),$F2716)&amp;" "&amp;IF($G2716="Banking","Banking",IFERROR(INDEX(Mapping!$E$17:$E$28,MATCH($J2716,Mapping!$D$17:$D$28,0)),"(unmapped)")))))</f>
        <v/>
      </c>
    </row>
    <row r="2717" spans="11:11" x14ac:dyDescent="0.3">
      <c r="K2717" t="str">
        <f>IF($D2717="","",IFERROR(INDEX(Mapping!$H$3:$H$32,MATCH($B2717,Mapping!$G$3:$G$32,0)),IF(LEFT($F2717,3)="P2P",IFERROR(INDEX(Mapping!$E$3:$E$6,MATCH($G2717,Mapping!$D$3:$D$6,0)),IFERROR(INDEX(Mapping!$B$3:$B$13,MATCH($J2717,Mapping!$A$3:$A$13,0)),"(unmapped)")),IFERROR(INDEX(Mapping!$B$17:$B$22,MATCH($F2717,Mapping!$A$17:$A$22,0)),$F2717)&amp;" "&amp;IF($G2717="Banking","Banking",IFERROR(INDEX(Mapping!$E$17:$E$28,MATCH($J2717,Mapping!$D$17:$D$28,0)),"(unmapped)")))))</f>
        <v/>
      </c>
    </row>
    <row r="2718" spans="11:11" x14ac:dyDescent="0.3">
      <c r="K2718" t="str">
        <f>IF($D2718="","",IFERROR(INDEX(Mapping!$H$3:$H$32,MATCH($B2718,Mapping!$G$3:$G$32,0)),IF(LEFT($F2718,3)="P2P",IFERROR(INDEX(Mapping!$E$3:$E$6,MATCH($G2718,Mapping!$D$3:$D$6,0)),IFERROR(INDEX(Mapping!$B$3:$B$13,MATCH($J2718,Mapping!$A$3:$A$13,0)),"(unmapped)")),IFERROR(INDEX(Mapping!$B$17:$B$22,MATCH($F2718,Mapping!$A$17:$A$22,0)),$F2718)&amp;" "&amp;IF($G2718="Banking","Banking",IFERROR(INDEX(Mapping!$E$17:$E$28,MATCH($J2718,Mapping!$D$17:$D$28,0)),"(unmapped)")))))</f>
        <v/>
      </c>
    </row>
    <row r="2719" spans="11:11" x14ac:dyDescent="0.3">
      <c r="K2719" t="str">
        <f>IF($D2719="","",IFERROR(INDEX(Mapping!$H$3:$H$32,MATCH($B2719,Mapping!$G$3:$G$32,0)),IF(LEFT($F2719,3)="P2P",IFERROR(INDEX(Mapping!$E$3:$E$6,MATCH($G2719,Mapping!$D$3:$D$6,0)),IFERROR(INDEX(Mapping!$B$3:$B$13,MATCH($J2719,Mapping!$A$3:$A$13,0)),"(unmapped)")),IFERROR(INDEX(Mapping!$B$17:$B$22,MATCH($F2719,Mapping!$A$17:$A$22,0)),$F2719)&amp;" "&amp;IF($G2719="Banking","Banking",IFERROR(INDEX(Mapping!$E$17:$E$28,MATCH($J2719,Mapping!$D$17:$D$28,0)),"(unmapped)")))))</f>
        <v/>
      </c>
    </row>
    <row r="2720" spans="11:11" x14ac:dyDescent="0.3">
      <c r="K2720" t="str">
        <f>IF($D2720="","",IFERROR(INDEX(Mapping!$H$3:$H$32,MATCH($B2720,Mapping!$G$3:$G$32,0)),IF(LEFT($F2720,3)="P2P",IFERROR(INDEX(Mapping!$E$3:$E$6,MATCH($G2720,Mapping!$D$3:$D$6,0)),IFERROR(INDEX(Mapping!$B$3:$B$13,MATCH($J2720,Mapping!$A$3:$A$13,0)),"(unmapped)")),IFERROR(INDEX(Mapping!$B$17:$B$22,MATCH($F2720,Mapping!$A$17:$A$22,0)),$F2720)&amp;" "&amp;IF($G2720="Banking","Banking",IFERROR(INDEX(Mapping!$E$17:$E$28,MATCH($J2720,Mapping!$D$17:$D$28,0)),"(unmapped)")))))</f>
        <v/>
      </c>
    </row>
    <row r="2721" spans="11:11" x14ac:dyDescent="0.3">
      <c r="K2721" t="str">
        <f>IF($D2721="","",IFERROR(INDEX(Mapping!$H$3:$H$32,MATCH($B2721,Mapping!$G$3:$G$32,0)),IF(LEFT($F2721,3)="P2P",IFERROR(INDEX(Mapping!$E$3:$E$6,MATCH($G2721,Mapping!$D$3:$D$6,0)),IFERROR(INDEX(Mapping!$B$3:$B$13,MATCH($J2721,Mapping!$A$3:$A$13,0)),"(unmapped)")),IFERROR(INDEX(Mapping!$B$17:$B$22,MATCH($F2721,Mapping!$A$17:$A$22,0)),$F2721)&amp;" "&amp;IF($G2721="Banking","Banking",IFERROR(INDEX(Mapping!$E$17:$E$28,MATCH($J2721,Mapping!$D$17:$D$28,0)),"(unmapped)")))))</f>
        <v/>
      </c>
    </row>
    <row r="2722" spans="11:11" x14ac:dyDescent="0.3">
      <c r="K2722" t="str">
        <f>IF($D2722="","",IFERROR(INDEX(Mapping!$H$3:$H$32,MATCH($B2722,Mapping!$G$3:$G$32,0)),IF(LEFT($F2722,3)="P2P",IFERROR(INDEX(Mapping!$E$3:$E$6,MATCH($G2722,Mapping!$D$3:$D$6,0)),IFERROR(INDEX(Mapping!$B$3:$B$13,MATCH($J2722,Mapping!$A$3:$A$13,0)),"(unmapped)")),IFERROR(INDEX(Mapping!$B$17:$B$22,MATCH($F2722,Mapping!$A$17:$A$22,0)),$F2722)&amp;" "&amp;IF($G2722="Banking","Banking",IFERROR(INDEX(Mapping!$E$17:$E$28,MATCH($J2722,Mapping!$D$17:$D$28,0)),"(unmapped)")))))</f>
        <v/>
      </c>
    </row>
    <row r="2723" spans="11:11" x14ac:dyDescent="0.3">
      <c r="K2723" t="str">
        <f>IF($D2723="","",IFERROR(INDEX(Mapping!$H$3:$H$32,MATCH($B2723,Mapping!$G$3:$G$32,0)),IF(LEFT($F2723,3)="P2P",IFERROR(INDEX(Mapping!$E$3:$E$6,MATCH($G2723,Mapping!$D$3:$D$6,0)),IFERROR(INDEX(Mapping!$B$3:$B$13,MATCH($J2723,Mapping!$A$3:$A$13,0)),"(unmapped)")),IFERROR(INDEX(Mapping!$B$17:$B$22,MATCH($F2723,Mapping!$A$17:$A$22,0)),$F2723)&amp;" "&amp;IF($G2723="Banking","Banking",IFERROR(INDEX(Mapping!$E$17:$E$28,MATCH($J2723,Mapping!$D$17:$D$28,0)),"(unmapped)")))))</f>
        <v/>
      </c>
    </row>
    <row r="2724" spans="11:11" x14ac:dyDescent="0.3">
      <c r="K2724" t="str">
        <f>IF($D2724="","",IFERROR(INDEX(Mapping!$H$3:$H$32,MATCH($B2724,Mapping!$G$3:$G$32,0)),IF(LEFT($F2724,3)="P2P",IFERROR(INDEX(Mapping!$E$3:$E$6,MATCH($G2724,Mapping!$D$3:$D$6,0)),IFERROR(INDEX(Mapping!$B$3:$B$13,MATCH($J2724,Mapping!$A$3:$A$13,0)),"(unmapped)")),IFERROR(INDEX(Mapping!$B$17:$B$22,MATCH($F2724,Mapping!$A$17:$A$22,0)),$F2724)&amp;" "&amp;IF($G2724="Banking","Banking",IFERROR(INDEX(Mapping!$E$17:$E$28,MATCH($J2724,Mapping!$D$17:$D$28,0)),"(unmapped)")))))</f>
        <v/>
      </c>
    </row>
    <row r="2725" spans="11:11" x14ac:dyDescent="0.3">
      <c r="K2725" t="str">
        <f>IF($D2725="","",IFERROR(INDEX(Mapping!$H$3:$H$32,MATCH($B2725,Mapping!$G$3:$G$32,0)),IF(LEFT($F2725,3)="P2P",IFERROR(INDEX(Mapping!$E$3:$E$6,MATCH($G2725,Mapping!$D$3:$D$6,0)),IFERROR(INDEX(Mapping!$B$3:$B$13,MATCH($J2725,Mapping!$A$3:$A$13,0)),"(unmapped)")),IFERROR(INDEX(Mapping!$B$17:$B$22,MATCH($F2725,Mapping!$A$17:$A$22,0)),$F2725)&amp;" "&amp;IF($G2725="Banking","Banking",IFERROR(INDEX(Mapping!$E$17:$E$28,MATCH($J2725,Mapping!$D$17:$D$28,0)),"(unmapped)")))))</f>
        <v/>
      </c>
    </row>
    <row r="2726" spans="11:11" x14ac:dyDescent="0.3">
      <c r="K2726" t="str">
        <f>IF($D2726="","",IFERROR(INDEX(Mapping!$H$3:$H$32,MATCH($B2726,Mapping!$G$3:$G$32,0)),IF(LEFT($F2726,3)="P2P",IFERROR(INDEX(Mapping!$E$3:$E$6,MATCH($G2726,Mapping!$D$3:$D$6,0)),IFERROR(INDEX(Mapping!$B$3:$B$13,MATCH($J2726,Mapping!$A$3:$A$13,0)),"(unmapped)")),IFERROR(INDEX(Mapping!$B$17:$B$22,MATCH($F2726,Mapping!$A$17:$A$22,0)),$F2726)&amp;" "&amp;IF($G2726="Banking","Banking",IFERROR(INDEX(Mapping!$E$17:$E$28,MATCH($J2726,Mapping!$D$17:$D$28,0)),"(unmapped)")))))</f>
        <v/>
      </c>
    </row>
    <row r="2727" spans="11:11" x14ac:dyDescent="0.3">
      <c r="K2727" t="str">
        <f>IF($D2727="","",IFERROR(INDEX(Mapping!$H$3:$H$32,MATCH($B2727,Mapping!$G$3:$G$32,0)),IF(LEFT($F2727,3)="P2P",IFERROR(INDEX(Mapping!$E$3:$E$6,MATCH($G2727,Mapping!$D$3:$D$6,0)),IFERROR(INDEX(Mapping!$B$3:$B$13,MATCH($J2727,Mapping!$A$3:$A$13,0)),"(unmapped)")),IFERROR(INDEX(Mapping!$B$17:$B$22,MATCH($F2727,Mapping!$A$17:$A$22,0)),$F2727)&amp;" "&amp;IF($G2727="Banking","Banking",IFERROR(INDEX(Mapping!$E$17:$E$28,MATCH($J2727,Mapping!$D$17:$D$28,0)),"(unmapped)")))))</f>
        <v/>
      </c>
    </row>
    <row r="2728" spans="11:11" x14ac:dyDescent="0.3">
      <c r="K2728" t="str">
        <f>IF($D2728="","",IFERROR(INDEX(Mapping!$H$3:$H$32,MATCH($B2728,Mapping!$G$3:$G$32,0)),IF(LEFT($F2728,3)="P2P",IFERROR(INDEX(Mapping!$E$3:$E$6,MATCH($G2728,Mapping!$D$3:$D$6,0)),IFERROR(INDEX(Mapping!$B$3:$B$13,MATCH($J2728,Mapping!$A$3:$A$13,0)),"(unmapped)")),IFERROR(INDEX(Mapping!$B$17:$B$22,MATCH($F2728,Mapping!$A$17:$A$22,0)),$F2728)&amp;" "&amp;IF($G2728="Banking","Banking",IFERROR(INDEX(Mapping!$E$17:$E$28,MATCH($J2728,Mapping!$D$17:$D$28,0)),"(unmapped)")))))</f>
        <v/>
      </c>
    </row>
    <row r="2729" spans="11:11" x14ac:dyDescent="0.3">
      <c r="K2729" t="str">
        <f>IF($D2729="","",IFERROR(INDEX(Mapping!$H$3:$H$32,MATCH($B2729,Mapping!$G$3:$G$32,0)),IF(LEFT($F2729,3)="P2P",IFERROR(INDEX(Mapping!$E$3:$E$6,MATCH($G2729,Mapping!$D$3:$D$6,0)),IFERROR(INDEX(Mapping!$B$3:$B$13,MATCH($J2729,Mapping!$A$3:$A$13,0)),"(unmapped)")),IFERROR(INDEX(Mapping!$B$17:$B$22,MATCH($F2729,Mapping!$A$17:$A$22,0)),$F2729)&amp;" "&amp;IF($G2729="Banking","Banking",IFERROR(INDEX(Mapping!$E$17:$E$28,MATCH($J2729,Mapping!$D$17:$D$28,0)),"(unmapped)")))))</f>
        <v/>
      </c>
    </row>
    <row r="2730" spans="11:11" x14ac:dyDescent="0.3">
      <c r="K2730" t="str">
        <f>IF($D2730="","",IFERROR(INDEX(Mapping!$H$3:$H$32,MATCH($B2730,Mapping!$G$3:$G$32,0)),IF(LEFT($F2730,3)="P2P",IFERROR(INDEX(Mapping!$E$3:$E$6,MATCH($G2730,Mapping!$D$3:$D$6,0)),IFERROR(INDEX(Mapping!$B$3:$B$13,MATCH($J2730,Mapping!$A$3:$A$13,0)),"(unmapped)")),IFERROR(INDEX(Mapping!$B$17:$B$22,MATCH($F2730,Mapping!$A$17:$A$22,0)),$F2730)&amp;" "&amp;IF($G2730="Banking","Banking",IFERROR(INDEX(Mapping!$E$17:$E$28,MATCH($J2730,Mapping!$D$17:$D$28,0)),"(unmapped)")))))</f>
        <v/>
      </c>
    </row>
    <row r="2731" spans="11:11" x14ac:dyDescent="0.3">
      <c r="K2731" t="str">
        <f>IF($D2731="","",IFERROR(INDEX(Mapping!$H$3:$H$32,MATCH($B2731,Mapping!$G$3:$G$32,0)),IF(LEFT($F2731,3)="P2P",IFERROR(INDEX(Mapping!$E$3:$E$6,MATCH($G2731,Mapping!$D$3:$D$6,0)),IFERROR(INDEX(Mapping!$B$3:$B$13,MATCH($J2731,Mapping!$A$3:$A$13,0)),"(unmapped)")),IFERROR(INDEX(Mapping!$B$17:$B$22,MATCH($F2731,Mapping!$A$17:$A$22,0)),$F2731)&amp;" "&amp;IF($G2731="Banking","Banking",IFERROR(INDEX(Mapping!$E$17:$E$28,MATCH($J2731,Mapping!$D$17:$D$28,0)),"(unmapped)")))))</f>
        <v/>
      </c>
    </row>
    <row r="2732" spans="11:11" x14ac:dyDescent="0.3">
      <c r="K2732" t="str">
        <f>IF($D2732="","",IFERROR(INDEX(Mapping!$H$3:$H$32,MATCH($B2732,Mapping!$G$3:$G$32,0)),IF(LEFT($F2732,3)="P2P",IFERROR(INDEX(Mapping!$E$3:$E$6,MATCH($G2732,Mapping!$D$3:$D$6,0)),IFERROR(INDEX(Mapping!$B$3:$B$13,MATCH($J2732,Mapping!$A$3:$A$13,0)),"(unmapped)")),IFERROR(INDEX(Mapping!$B$17:$B$22,MATCH($F2732,Mapping!$A$17:$A$22,0)),$F2732)&amp;" "&amp;IF($G2732="Banking","Banking",IFERROR(INDEX(Mapping!$E$17:$E$28,MATCH($J2732,Mapping!$D$17:$D$28,0)),"(unmapped)")))))</f>
        <v/>
      </c>
    </row>
    <row r="2733" spans="11:11" x14ac:dyDescent="0.3">
      <c r="K2733" t="str">
        <f>IF($D2733="","",IFERROR(INDEX(Mapping!$H$3:$H$32,MATCH($B2733,Mapping!$G$3:$G$32,0)),IF(LEFT($F2733,3)="P2P",IFERROR(INDEX(Mapping!$E$3:$E$6,MATCH($G2733,Mapping!$D$3:$D$6,0)),IFERROR(INDEX(Mapping!$B$3:$B$13,MATCH($J2733,Mapping!$A$3:$A$13,0)),"(unmapped)")),IFERROR(INDEX(Mapping!$B$17:$B$22,MATCH($F2733,Mapping!$A$17:$A$22,0)),$F2733)&amp;" "&amp;IF($G2733="Banking","Banking",IFERROR(INDEX(Mapping!$E$17:$E$28,MATCH($J2733,Mapping!$D$17:$D$28,0)),"(unmapped)")))))</f>
        <v/>
      </c>
    </row>
    <row r="2734" spans="11:11" x14ac:dyDescent="0.3">
      <c r="K2734" t="str">
        <f>IF($D2734="","",IFERROR(INDEX(Mapping!$H$3:$H$32,MATCH($B2734,Mapping!$G$3:$G$32,0)),IF(LEFT($F2734,3)="P2P",IFERROR(INDEX(Mapping!$E$3:$E$6,MATCH($G2734,Mapping!$D$3:$D$6,0)),IFERROR(INDEX(Mapping!$B$3:$B$13,MATCH($J2734,Mapping!$A$3:$A$13,0)),"(unmapped)")),IFERROR(INDEX(Mapping!$B$17:$B$22,MATCH($F2734,Mapping!$A$17:$A$22,0)),$F2734)&amp;" "&amp;IF($G2734="Banking","Banking",IFERROR(INDEX(Mapping!$E$17:$E$28,MATCH($J2734,Mapping!$D$17:$D$28,0)),"(unmapped)")))))</f>
        <v/>
      </c>
    </row>
    <row r="2735" spans="11:11" x14ac:dyDescent="0.3">
      <c r="K2735" t="str">
        <f>IF($D2735="","",IFERROR(INDEX(Mapping!$H$3:$H$32,MATCH($B2735,Mapping!$G$3:$G$32,0)),IF(LEFT($F2735,3)="P2P",IFERROR(INDEX(Mapping!$E$3:$E$6,MATCH($G2735,Mapping!$D$3:$D$6,0)),IFERROR(INDEX(Mapping!$B$3:$B$13,MATCH($J2735,Mapping!$A$3:$A$13,0)),"(unmapped)")),IFERROR(INDEX(Mapping!$B$17:$B$22,MATCH($F2735,Mapping!$A$17:$A$22,0)),$F2735)&amp;" "&amp;IF($G2735="Banking","Banking",IFERROR(INDEX(Mapping!$E$17:$E$28,MATCH($J2735,Mapping!$D$17:$D$28,0)),"(unmapped)")))))</f>
        <v/>
      </c>
    </row>
    <row r="2736" spans="11:11" x14ac:dyDescent="0.3">
      <c r="K2736" t="str">
        <f>IF($D2736="","",IFERROR(INDEX(Mapping!$H$3:$H$32,MATCH($B2736,Mapping!$G$3:$G$32,0)),IF(LEFT($F2736,3)="P2P",IFERROR(INDEX(Mapping!$E$3:$E$6,MATCH($G2736,Mapping!$D$3:$D$6,0)),IFERROR(INDEX(Mapping!$B$3:$B$13,MATCH($J2736,Mapping!$A$3:$A$13,0)),"(unmapped)")),IFERROR(INDEX(Mapping!$B$17:$B$22,MATCH($F2736,Mapping!$A$17:$A$22,0)),$F2736)&amp;" "&amp;IF($G2736="Banking","Banking",IFERROR(INDEX(Mapping!$E$17:$E$28,MATCH($J2736,Mapping!$D$17:$D$28,0)),"(unmapped)")))))</f>
        <v/>
      </c>
    </row>
    <row r="2737" spans="11:11" x14ac:dyDescent="0.3">
      <c r="K2737" t="str">
        <f>IF($D2737="","",IFERROR(INDEX(Mapping!$H$3:$H$32,MATCH($B2737,Mapping!$G$3:$G$32,0)),IF(LEFT($F2737,3)="P2P",IFERROR(INDEX(Mapping!$E$3:$E$6,MATCH($G2737,Mapping!$D$3:$D$6,0)),IFERROR(INDEX(Mapping!$B$3:$B$13,MATCH($J2737,Mapping!$A$3:$A$13,0)),"(unmapped)")),IFERROR(INDEX(Mapping!$B$17:$B$22,MATCH($F2737,Mapping!$A$17:$A$22,0)),$F2737)&amp;" "&amp;IF($G2737="Banking","Banking",IFERROR(INDEX(Mapping!$E$17:$E$28,MATCH($J2737,Mapping!$D$17:$D$28,0)),"(unmapped)")))))</f>
        <v/>
      </c>
    </row>
    <row r="2738" spans="11:11" x14ac:dyDescent="0.3">
      <c r="K2738" t="str">
        <f>IF($D2738="","",IFERROR(INDEX(Mapping!$H$3:$H$32,MATCH($B2738,Mapping!$G$3:$G$32,0)),IF(LEFT($F2738,3)="P2P",IFERROR(INDEX(Mapping!$E$3:$E$6,MATCH($G2738,Mapping!$D$3:$D$6,0)),IFERROR(INDEX(Mapping!$B$3:$B$13,MATCH($J2738,Mapping!$A$3:$A$13,0)),"(unmapped)")),IFERROR(INDEX(Mapping!$B$17:$B$22,MATCH($F2738,Mapping!$A$17:$A$22,0)),$F2738)&amp;" "&amp;IF($G2738="Banking","Banking",IFERROR(INDEX(Mapping!$E$17:$E$28,MATCH($J2738,Mapping!$D$17:$D$28,0)),"(unmapped)")))))</f>
        <v/>
      </c>
    </row>
    <row r="2739" spans="11:11" x14ac:dyDescent="0.3">
      <c r="K2739" t="str">
        <f>IF($D2739="","",IFERROR(INDEX(Mapping!$H$3:$H$32,MATCH($B2739,Mapping!$G$3:$G$32,0)),IF(LEFT($F2739,3)="P2P",IFERROR(INDEX(Mapping!$E$3:$E$6,MATCH($G2739,Mapping!$D$3:$D$6,0)),IFERROR(INDEX(Mapping!$B$3:$B$13,MATCH($J2739,Mapping!$A$3:$A$13,0)),"(unmapped)")),IFERROR(INDEX(Mapping!$B$17:$B$22,MATCH($F2739,Mapping!$A$17:$A$22,0)),$F2739)&amp;" "&amp;IF($G2739="Banking","Banking",IFERROR(INDEX(Mapping!$E$17:$E$28,MATCH($J2739,Mapping!$D$17:$D$28,0)),"(unmapped)")))))</f>
        <v/>
      </c>
    </row>
    <row r="2740" spans="11:11" x14ac:dyDescent="0.3">
      <c r="K2740" t="str">
        <f>IF($D2740="","",IFERROR(INDEX(Mapping!$H$3:$H$32,MATCH($B2740,Mapping!$G$3:$G$32,0)),IF(LEFT($F2740,3)="P2P",IFERROR(INDEX(Mapping!$E$3:$E$6,MATCH($G2740,Mapping!$D$3:$D$6,0)),IFERROR(INDEX(Mapping!$B$3:$B$13,MATCH($J2740,Mapping!$A$3:$A$13,0)),"(unmapped)")),IFERROR(INDEX(Mapping!$B$17:$B$22,MATCH($F2740,Mapping!$A$17:$A$22,0)),$F2740)&amp;" "&amp;IF($G2740="Banking","Banking",IFERROR(INDEX(Mapping!$E$17:$E$28,MATCH($J2740,Mapping!$D$17:$D$28,0)),"(unmapped)")))))</f>
        <v/>
      </c>
    </row>
    <row r="2741" spans="11:11" x14ac:dyDescent="0.3">
      <c r="K2741" t="str">
        <f>IF($D2741="","",IFERROR(INDEX(Mapping!$H$3:$H$32,MATCH($B2741,Mapping!$G$3:$G$32,0)),IF(LEFT($F2741,3)="P2P",IFERROR(INDEX(Mapping!$E$3:$E$6,MATCH($G2741,Mapping!$D$3:$D$6,0)),IFERROR(INDEX(Mapping!$B$3:$B$13,MATCH($J2741,Mapping!$A$3:$A$13,0)),"(unmapped)")),IFERROR(INDEX(Mapping!$B$17:$B$22,MATCH($F2741,Mapping!$A$17:$A$22,0)),$F2741)&amp;" "&amp;IF($G2741="Banking","Banking",IFERROR(INDEX(Mapping!$E$17:$E$28,MATCH($J2741,Mapping!$D$17:$D$28,0)),"(unmapped)")))))</f>
        <v/>
      </c>
    </row>
    <row r="2742" spans="11:11" x14ac:dyDescent="0.3">
      <c r="K2742" t="str">
        <f>IF($D2742="","",IFERROR(INDEX(Mapping!$H$3:$H$32,MATCH($B2742,Mapping!$G$3:$G$32,0)),IF(LEFT($F2742,3)="P2P",IFERROR(INDEX(Mapping!$E$3:$E$6,MATCH($G2742,Mapping!$D$3:$D$6,0)),IFERROR(INDEX(Mapping!$B$3:$B$13,MATCH($J2742,Mapping!$A$3:$A$13,0)),"(unmapped)")),IFERROR(INDEX(Mapping!$B$17:$B$22,MATCH($F2742,Mapping!$A$17:$A$22,0)),$F2742)&amp;" "&amp;IF($G2742="Banking","Banking",IFERROR(INDEX(Mapping!$E$17:$E$28,MATCH($J2742,Mapping!$D$17:$D$28,0)),"(unmapped)")))))</f>
        <v/>
      </c>
    </row>
    <row r="2743" spans="11:11" x14ac:dyDescent="0.3">
      <c r="K2743" t="str">
        <f>IF($D2743="","",IFERROR(INDEX(Mapping!$H$3:$H$32,MATCH($B2743,Mapping!$G$3:$G$32,0)),IF(LEFT($F2743,3)="P2P",IFERROR(INDEX(Mapping!$E$3:$E$6,MATCH($G2743,Mapping!$D$3:$D$6,0)),IFERROR(INDEX(Mapping!$B$3:$B$13,MATCH($J2743,Mapping!$A$3:$A$13,0)),"(unmapped)")),IFERROR(INDEX(Mapping!$B$17:$B$22,MATCH($F2743,Mapping!$A$17:$A$22,0)),$F2743)&amp;" "&amp;IF($G2743="Banking","Banking",IFERROR(INDEX(Mapping!$E$17:$E$28,MATCH($J2743,Mapping!$D$17:$D$28,0)),"(unmapped)")))))</f>
        <v/>
      </c>
    </row>
    <row r="2744" spans="11:11" x14ac:dyDescent="0.3">
      <c r="K2744" t="str">
        <f>IF($D2744="","",IFERROR(INDEX(Mapping!$H$3:$H$32,MATCH($B2744,Mapping!$G$3:$G$32,0)),IF(LEFT($F2744,3)="P2P",IFERROR(INDEX(Mapping!$E$3:$E$6,MATCH($G2744,Mapping!$D$3:$D$6,0)),IFERROR(INDEX(Mapping!$B$3:$B$13,MATCH($J2744,Mapping!$A$3:$A$13,0)),"(unmapped)")),IFERROR(INDEX(Mapping!$B$17:$B$22,MATCH($F2744,Mapping!$A$17:$A$22,0)),$F2744)&amp;" "&amp;IF($G2744="Banking","Banking",IFERROR(INDEX(Mapping!$E$17:$E$28,MATCH($J2744,Mapping!$D$17:$D$28,0)),"(unmapped)")))))</f>
        <v/>
      </c>
    </row>
    <row r="2745" spans="11:11" x14ac:dyDescent="0.3">
      <c r="K2745" t="str">
        <f>IF($D2745="","",IFERROR(INDEX(Mapping!$H$3:$H$32,MATCH($B2745,Mapping!$G$3:$G$32,0)),IF(LEFT($F2745,3)="P2P",IFERROR(INDEX(Mapping!$E$3:$E$6,MATCH($G2745,Mapping!$D$3:$D$6,0)),IFERROR(INDEX(Mapping!$B$3:$B$13,MATCH($J2745,Mapping!$A$3:$A$13,0)),"(unmapped)")),IFERROR(INDEX(Mapping!$B$17:$B$22,MATCH($F2745,Mapping!$A$17:$A$22,0)),$F2745)&amp;" "&amp;IF($G2745="Banking","Banking",IFERROR(INDEX(Mapping!$E$17:$E$28,MATCH($J2745,Mapping!$D$17:$D$28,0)),"(unmapped)")))))</f>
        <v/>
      </c>
    </row>
    <row r="2746" spans="11:11" x14ac:dyDescent="0.3">
      <c r="K2746" t="str">
        <f>IF($D2746="","",IFERROR(INDEX(Mapping!$H$3:$H$32,MATCH($B2746,Mapping!$G$3:$G$32,0)),IF(LEFT($F2746,3)="P2P",IFERROR(INDEX(Mapping!$E$3:$E$6,MATCH($G2746,Mapping!$D$3:$D$6,0)),IFERROR(INDEX(Mapping!$B$3:$B$13,MATCH($J2746,Mapping!$A$3:$A$13,0)),"(unmapped)")),IFERROR(INDEX(Mapping!$B$17:$B$22,MATCH($F2746,Mapping!$A$17:$A$22,0)),$F2746)&amp;" "&amp;IF($G2746="Banking","Banking",IFERROR(INDEX(Mapping!$E$17:$E$28,MATCH($J2746,Mapping!$D$17:$D$28,0)),"(unmapped)")))))</f>
        <v/>
      </c>
    </row>
    <row r="2747" spans="11:11" x14ac:dyDescent="0.3">
      <c r="K2747" t="str">
        <f>IF($D2747="","",IFERROR(INDEX(Mapping!$H$3:$H$32,MATCH($B2747,Mapping!$G$3:$G$32,0)),IF(LEFT($F2747,3)="P2P",IFERROR(INDEX(Mapping!$E$3:$E$6,MATCH($G2747,Mapping!$D$3:$D$6,0)),IFERROR(INDEX(Mapping!$B$3:$B$13,MATCH($J2747,Mapping!$A$3:$A$13,0)),"(unmapped)")),IFERROR(INDEX(Mapping!$B$17:$B$22,MATCH($F2747,Mapping!$A$17:$A$22,0)),$F2747)&amp;" "&amp;IF($G2747="Banking","Banking",IFERROR(INDEX(Mapping!$E$17:$E$28,MATCH($J2747,Mapping!$D$17:$D$28,0)),"(unmapped)")))))</f>
        <v/>
      </c>
    </row>
    <row r="2748" spans="11:11" x14ac:dyDescent="0.3">
      <c r="K2748" t="str">
        <f>IF($D2748="","",IFERROR(INDEX(Mapping!$H$3:$H$32,MATCH($B2748,Mapping!$G$3:$G$32,0)),IF(LEFT($F2748,3)="P2P",IFERROR(INDEX(Mapping!$E$3:$E$6,MATCH($G2748,Mapping!$D$3:$D$6,0)),IFERROR(INDEX(Mapping!$B$3:$B$13,MATCH($J2748,Mapping!$A$3:$A$13,0)),"(unmapped)")),IFERROR(INDEX(Mapping!$B$17:$B$22,MATCH($F2748,Mapping!$A$17:$A$22,0)),$F2748)&amp;" "&amp;IF($G2748="Banking","Banking",IFERROR(INDEX(Mapping!$E$17:$E$28,MATCH($J2748,Mapping!$D$17:$D$28,0)),"(unmapped)")))))</f>
        <v/>
      </c>
    </row>
    <row r="2749" spans="11:11" x14ac:dyDescent="0.3">
      <c r="K2749" t="str">
        <f>IF($D2749="","",IFERROR(INDEX(Mapping!$H$3:$H$32,MATCH($B2749,Mapping!$G$3:$G$32,0)),IF(LEFT($F2749,3)="P2P",IFERROR(INDEX(Mapping!$E$3:$E$6,MATCH($G2749,Mapping!$D$3:$D$6,0)),IFERROR(INDEX(Mapping!$B$3:$B$13,MATCH($J2749,Mapping!$A$3:$A$13,0)),"(unmapped)")),IFERROR(INDEX(Mapping!$B$17:$B$22,MATCH($F2749,Mapping!$A$17:$A$22,0)),$F2749)&amp;" "&amp;IF($G2749="Banking","Banking",IFERROR(INDEX(Mapping!$E$17:$E$28,MATCH($J2749,Mapping!$D$17:$D$28,0)),"(unmapped)")))))</f>
        <v/>
      </c>
    </row>
    <row r="2750" spans="11:11" x14ac:dyDescent="0.3">
      <c r="K2750" t="str">
        <f>IF($D2750="","",IFERROR(INDEX(Mapping!$H$3:$H$32,MATCH($B2750,Mapping!$G$3:$G$32,0)),IF(LEFT($F2750,3)="P2P",IFERROR(INDEX(Mapping!$E$3:$E$6,MATCH($G2750,Mapping!$D$3:$D$6,0)),IFERROR(INDEX(Mapping!$B$3:$B$13,MATCH($J2750,Mapping!$A$3:$A$13,0)),"(unmapped)")),IFERROR(INDEX(Mapping!$B$17:$B$22,MATCH($F2750,Mapping!$A$17:$A$22,0)),$F2750)&amp;" "&amp;IF($G2750="Banking","Banking",IFERROR(INDEX(Mapping!$E$17:$E$28,MATCH($J2750,Mapping!$D$17:$D$28,0)),"(unmapped)")))))</f>
        <v/>
      </c>
    </row>
    <row r="2751" spans="11:11" x14ac:dyDescent="0.3">
      <c r="K2751" t="str">
        <f>IF($D2751="","",IFERROR(INDEX(Mapping!$H$3:$H$32,MATCH($B2751,Mapping!$G$3:$G$32,0)),IF(LEFT($F2751,3)="P2P",IFERROR(INDEX(Mapping!$E$3:$E$6,MATCH($G2751,Mapping!$D$3:$D$6,0)),IFERROR(INDEX(Mapping!$B$3:$B$13,MATCH($J2751,Mapping!$A$3:$A$13,0)),"(unmapped)")),IFERROR(INDEX(Mapping!$B$17:$B$22,MATCH($F2751,Mapping!$A$17:$A$22,0)),$F2751)&amp;" "&amp;IF($G2751="Banking","Banking",IFERROR(INDEX(Mapping!$E$17:$E$28,MATCH($J2751,Mapping!$D$17:$D$28,0)),"(unmapped)")))))</f>
        <v/>
      </c>
    </row>
    <row r="2752" spans="11:11" x14ac:dyDescent="0.3">
      <c r="K2752" t="str">
        <f>IF($D2752="","",IFERROR(INDEX(Mapping!$H$3:$H$32,MATCH($B2752,Mapping!$G$3:$G$32,0)),IF(LEFT($F2752,3)="P2P",IFERROR(INDEX(Mapping!$E$3:$E$6,MATCH($G2752,Mapping!$D$3:$D$6,0)),IFERROR(INDEX(Mapping!$B$3:$B$13,MATCH($J2752,Mapping!$A$3:$A$13,0)),"(unmapped)")),IFERROR(INDEX(Mapping!$B$17:$B$22,MATCH($F2752,Mapping!$A$17:$A$22,0)),$F2752)&amp;" "&amp;IF($G2752="Banking","Banking",IFERROR(INDEX(Mapping!$E$17:$E$28,MATCH($J2752,Mapping!$D$17:$D$28,0)),"(unmapped)")))))</f>
        <v/>
      </c>
    </row>
    <row r="2753" spans="11:11" x14ac:dyDescent="0.3">
      <c r="K2753" t="str">
        <f>IF($D2753="","",IFERROR(INDEX(Mapping!$H$3:$H$32,MATCH($B2753,Mapping!$G$3:$G$32,0)),IF(LEFT($F2753,3)="P2P",IFERROR(INDEX(Mapping!$E$3:$E$6,MATCH($G2753,Mapping!$D$3:$D$6,0)),IFERROR(INDEX(Mapping!$B$3:$B$13,MATCH($J2753,Mapping!$A$3:$A$13,0)),"(unmapped)")),IFERROR(INDEX(Mapping!$B$17:$B$22,MATCH($F2753,Mapping!$A$17:$A$22,0)),$F2753)&amp;" "&amp;IF($G2753="Banking","Banking",IFERROR(INDEX(Mapping!$E$17:$E$28,MATCH($J2753,Mapping!$D$17:$D$28,0)),"(unmapped)")))))</f>
        <v/>
      </c>
    </row>
    <row r="2754" spans="11:11" x14ac:dyDescent="0.3">
      <c r="K2754" t="str">
        <f>IF($D2754="","",IFERROR(INDEX(Mapping!$H$3:$H$32,MATCH($B2754,Mapping!$G$3:$G$32,0)),IF(LEFT($F2754,3)="P2P",IFERROR(INDEX(Mapping!$E$3:$E$6,MATCH($G2754,Mapping!$D$3:$D$6,0)),IFERROR(INDEX(Mapping!$B$3:$B$13,MATCH($J2754,Mapping!$A$3:$A$13,0)),"(unmapped)")),IFERROR(INDEX(Mapping!$B$17:$B$22,MATCH($F2754,Mapping!$A$17:$A$22,0)),$F2754)&amp;" "&amp;IF($G2754="Banking","Banking",IFERROR(INDEX(Mapping!$E$17:$E$28,MATCH($J2754,Mapping!$D$17:$D$28,0)),"(unmapped)")))))</f>
        <v/>
      </c>
    </row>
    <row r="2755" spans="11:11" x14ac:dyDescent="0.3">
      <c r="K2755" t="str">
        <f>IF($D2755="","",IFERROR(INDEX(Mapping!$H$3:$H$32,MATCH($B2755,Mapping!$G$3:$G$32,0)),IF(LEFT($F2755,3)="P2P",IFERROR(INDEX(Mapping!$E$3:$E$6,MATCH($G2755,Mapping!$D$3:$D$6,0)),IFERROR(INDEX(Mapping!$B$3:$B$13,MATCH($J2755,Mapping!$A$3:$A$13,0)),"(unmapped)")),IFERROR(INDEX(Mapping!$B$17:$B$22,MATCH($F2755,Mapping!$A$17:$A$22,0)),$F2755)&amp;" "&amp;IF($G2755="Banking","Banking",IFERROR(INDEX(Mapping!$E$17:$E$28,MATCH($J2755,Mapping!$D$17:$D$28,0)),"(unmapped)")))))</f>
        <v/>
      </c>
    </row>
    <row r="2756" spans="11:11" x14ac:dyDescent="0.3">
      <c r="K2756" t="str">
        <f>IF($D2756="","",IFERROR(INDEX(Mapping!$H$3:$H$32,MATCH($B2756,Mapping!$G$3:$G$32,0)),IF(LEFT($F2756,3)="P2P",IFERROR(INDEX(Mapping!$E$3:$E$6,MATCH($G2756,Mapping!$D$3:$D$6,0)),IFERROR(INDEX(Mapping!$B$3:$B$13,MATCH($J2756,Mapping!$A$3:$A$13,0)),"(unmapped)")),IFERROR(INDEX(Mapping!$B$17:$B$22,MATCH($F2756,Mapping!$A$17:$A$22,0)),$F2756)&amp;" "&amp;IF($G2756="Banking","Banking",IFERROR(INDEX(Mapping!$E$17:$E$28,MATCH($J2756,Mapping!$D$17:$D$28,0)),"(unmapped)")))))</f>
        <v/>
      </c>
    </row>
    <row r="2757" spans="11:11" x14ac:dyDescent="0.3">
      <c r="K2757" t="str">
        <f>IF($D2757="","",IFERROR(INDEX(Mapping!$H$3:$H$32,MATCH($B2757,Mapping!$G$3:$G$32,0)),IF(LEFT($F2757,3)="P2P",IFERROR(INDEX(Mapping!$E$3:$E$6,MATCH($G2757,Mapping!$D$3:$D$6,0)),IFERROR(INDEX(Mapping!$B$3:$B$13,MATCH($J2757,Mapping!$A$3:$A$13,0)),"(unmapped)")),IFERROR(INDEX(Mapping!$B$17:$B$22,MATCH($F2757,Mapping!$A$17:$A$22,0)),$F2757)&amp;" "&amp;IF($G2757="Banking","Banking",IFERROR(INDEX(Mapping!$E$17:$E$28,MATCH($J2757,Mapping!$D$17:$D$28,0)),"(unmapped)")))))</f>
        <v/>
      </c>
    </row>
    <row r="2758" spans="11:11" x14ac:dyDescent="0.3">
      <c r="K2758" t="str">
        <f>IF($D2758="","",IFERROR(INDEX(Mapping!$H$3:$H$32,MATCH($B2758,Mapping!$G$3:$G$32,0)),IF(LEFT($F2758,3)="P2P",IFERROR(INDEX(Mapping!$E$3:$E$6,MATCH($G2758,Mapping!$D$3:$D$6,0)),IFERROR(INDEX(Mapping!$B$3:$B$13,MATCH($J2758,Mapping!$A$3:$A$13,0)),"(unmapped)")),IFERROR(INDEX(Mapping!$B$17:$B$22,MATCH($F2758,Mapping!$A$17:$A$22,0)),$F2758)&amp;" "&amp;IF($G2758="Banking","Banking",IFERROR(INDEX(Mapping!$E$17:$E$28,MATCH($J2758,Mapping!$D$17:$D$28,0)),"(unmapped)")))))</f>
        <v/>
      </c>
    </row>
    <row r="2759" spans="11:11" x14ac:dyDescent="0.3">
      <c r="K2759" t="str">
        <f>IF($D2759="","",IFERROR(INDEX(Mapping!$H$3:$H$32,MATCH($B2759,Mapping!$G$3:$G$32,0)),IF(LEFT($F2759,3)="P2P",IFERROR(INDEX(Mapping!$E$3:$E$6,MATCH($G2759,Mapping!$D$3:$D$6,0)),IFERROR(INDEX(Mapping!$B$3:$B$13,MATCH($J2759,Mapping!$A$3:$A$13,0)),"(unmapped)")),IFERROR(INDEX(Mapping!$B$17:$B$22,MATCH($F2759,Mapping!$A$17:$A$22,0)),$F2759)&amp;" "&amp;IF($G2759="Banking","Banking",IFERROR(INDEX(Mapping!$E$17:$E$28,MATCH($J2759,Mapping!$D$17:$D$28,0)),"(unmapped)")))))</f>
        <v/>
      </c>
    </row>
    <row r="2760" spans="11:11" x14ac:dyDescent="0.3">
      <c r="K2760" t="str">
        <f>IF($D2760="","",IFERROR(INDEX(Mapping!$H$3:$H$32,MATCH($B2760,Mapping!$G$3:$G$32,0)),IF(LEFT($F2760,3)="P2P",IFERROR(INDEX(Mapping!$E$3:$E$6,MATCH($G2760,Mapping!$D$3:$D$6,0)),IFERROR(INDEX(Mapping!$B$3:$B$13,MATCH($J2760,Mapping!$A$3:$A$13,0)),"(unmapped)")),IFERROR(INDEX(Mapping!$B$17:$B$22,MATCH($F2760,Mapping!$A$17:$A$22,0)),$F2760)&amp;" "&amp;IF($G2760="Banking","Banking",IFERROR(INDEX(Mapping!$E$17:$E$28,MATCH($J2760,Mapping!$D$17:$D$28,0)),"(unmapped)")))))</f>
        <v/>
      </c>
    </row>
    <row r="2761" spans="11:11" x14ac:dyDescent="0.3">
      <c r="K2761" t="str">
        <f>IF($D2761="","",IFERROR(INDEX(Mapping!$H$3:$H$32,MATCH($B2761,Mapping!$G$3:$G$32,0)),IF(LEFT($F2761,3)="P2P",IFERROR(INDEX(Mapping!$E$3:$E$6,MATCH($G2761,Mapping!$D$3:$D$6,0)),IFERROR(INDEX(Mapping!$B$3:$B$13,MATCH($J2761,Mapping!$A$3:$A$13,0)),"(unmapped)")),IFERROR(INDEX(Mapping!$B$17:$B$22,MATCH($F2761,Mapping!$A$17:$A$22,0)),$F2761)&amp;" "&amp;IF($G2761="Banking","Banking",IFERROR(INDEX(Mapping!$E$17:$E$28,MATCH($J2761,Mapping!$D$17:$D$28,0)),"(unmapped)")))))</f>
        <v/>
      </c>
    </row>
    <row r="2762" spans="11:11" x14ac:dyDescent="0.3">
      <c r="K2762" t="str">
        <f>IF($D2762="","",IFERROR(INDEX(Mapping!$H$3:$H$32,MATCH($B2762,Mapping!$G$3:$G$32,0)),IF(LEFT($F2762,3)="P2P",IFERROR(INDEX(Mapping!$E$3:$E$6,MATCH($G2762,Mapping!$D$3:$D$6,0)),IFERROR(INDEX(Mapping!$B$3:$B$13,MATCH($J2762,Mapping!$A$3:$A$13,0)),"(unmapped)")),IFERROR(INDEX(Mapping!$B$17:$B$22,MATCH($F2762,Mapping!$A$17:$A$22,0)),$F2762)&amp;" "&amp;IF($G2762="Banking","Banking",IFERROR(INDEX(Mapping!$E$17:$E$28,MATCH($J2762,Mapping!$D$17:$D$28,0)),"(unmapped)")))))</f>
        <v/>
      </c>
    </row>
    <row r="2763" spans="11:11" x14ac:dyDescent="0.3">
      <c r="K2763" t="str">
        <f>IF($D2763="","",IFERROR(INDEX(Mapping!$H$3:$H$32,MATCH($B2763,Mapping!$G$3:$G$32,0)),IF(LEFT($F2763,3)="P2P",IFERROR(INDEX(Mapping!$E$3:$E$6,MATCH($G2763,Mapping!$D$3:$D$6,0)),IFERROR(INDEX(Mapping!$B$3:$B$13,MATCH($J2763,Mapping!$A$3:$A$13,0)),"(unmapped)")),IFERROR(INDEX(Mapping!$B$17:$B$22,MATCH($F2763,Mapping!$A$17:$A$22,0)),$F2763)&amp;" "&amp;IF($G2763="Banking","Banking",IFERROR(INDEX(Mapping!$E$17:$E$28,MATCH($J2763,Mapping!$D$17:$D$28,0)),"(unmapped)")))))</f>
        <v/>
      </c>
    </row>
    <row r="2764" spans="11:11" x14ac:dyDescent="0.3">
      <c r="K2764" t="str">
        <f>IF($D2764="","",IFERROR(INDEX(Mapping!$H$3:$H$32,MATCH($B2764,Mapping!$G$3:$G$32,0)),IF(LEFT($F2764,3)="P2P",IFERROR(INDEX(Mapping!$E$3:$E$6,MATCH($G2764,Mapping!$D$3:$D$6,0)),IFERROR(INDEX(Mapping!$B$3:$B$13,MATCH($J2764,Mapping!$A$3:$A$13,0)),"(unmapped)")),IFERROR(INDEX(Mapping!$B$17:$B$22,MATCH($F2764,Mapping!$A$17:$A$22,0)),$F2764)&amp;" "&amp;IF($G2764="Banking","Banking",IFERROR(INDEX(Mapping!$E$17:$E$28,MATCH($J2764,Mapping!$D$17:$D$28,0)),"(unmapped)")))))</f>
        <v/>
      </c>
    </row>
    <row r="2765" spans="11:11" x14ac:dyDescent="0.3">
      <c r="K2765" t="str">
        <f>IF($D2765="","",IFERROR(INDEX(Mapping!$H$3:$H$32,MATCH($B2765,Mapping!$G$3:$G$32,0)),IF(LEFT($F2765,3)="P2P",IFERROR(INDEX(Mapping!$E$3:$E$6,MATCH($G2765,Mapping!$D$3:$D$6,0)),IFERROR(INDEX(Mapping!$B$3:$B$13,MATCH($J2765,Mapping!$A$3:$A$13,0)),"(unmapped)")),IFERROR(INDEX(Mapping!$B$17:$B$22,MATCH($F2765,Mapping!$A$17:$A$22,0)),$F2765)&amp;" "&amp;IF($G2765="Banking","Banking",IFERROR(INDEX(Mapping!$E$17:$E$28,MATCH($J2765,Mapping!$D$17:$D$28,0)),"(unmapped)")))))</f>
        <v/>
      </c>
    </row>
    <row r="2766" spans="11:11" x14ac:dyDescent="0.3">
      <c r="K2766" t="str">
        <f>IF($D2766="","",IFERROR(INDEX(Mapping!$H$3:$H$32,MATCH($B2766,Mapping!$G$3:$G$32,0)),IF(LEFT($F2766,3)="P2P",IFERROR(INDEX(Mapping!$E$3:$E$6,MATCH($G2766,Mapping!$D$3:$D$6,0)),IFERROR(INDEX(Mapping!$B$3:$B$13,MATCH($J2766,Mapping!$A$3:$A$13,0)),"(unmapped)")),IFERROR(INDEX(Mapping!$B$17:$B$22,MATCH($F2766,Mapping!$A$17:$A$22,0)),$F2766)&amp;" "&amp;IF($G2766="Banking","Banking",IFERROR(INDEX(Mapping!$E$17:$E$28,MATCH($J2766,Mapping!$D$17:$D$28,0)),"(unmapped)")))))</f>
        <v/>
      </c>
    </row>
    <row r="2767" spans="11:11" x14ac:dyDescent="0.3">
      <c r="K2767" t="str">
        <f>IF($D2767="","",IFERROR(INDEX(Mapping!$H$3:$H$32,MATCH($B2767,Mapping!$G$3:$G$32,0)),IF(LEFT($F2767,3)="P2P",IFERROR(INDEX(Mapping!$E$3:$E$6,MATCH($G2767,Mapping!$D$3:$D$6,0)),IFERROR(INDEX(Mapping!$B$3:$B$13,MATCH($J2767,Mapping!$A$3:$A$13,0)),"(unmapped)")),IFERROR(INDEX(Mapping!$B$17:$B$22,MATCH($F2767,Mapping!$A$17:$A$22,0)),$F2767)&amp;" "&amp;IF($G2767="Banking","Banking",IFERROR(INDEX(Mapping!$E$17:$E$28,MATCH($J2767,Mapping!$D$17:$D$28,0)),"(unmapped)")))))</f>
        <v/>
      </c>
    </row>
    <row r="2768" spans="11:11" x14ac:dyDescent="0.3">
      <c r="K2768" t="str">
        <f>IF($D2768="","",IFERROR(INDEX(Mapping!$H$3:$H$32,MATCH($B2768,Mapping!$G$3:$G$32,0)),IF(LEFT($F2768,3)="P2P",IFERROR(INDEX(Mapping!$E$3:$E$6,MATCH($G2768,Mapping!$D$3:$D$6,0)),IFERROR(INDEX(Mapping!$B$3:$B$13,MATCH($J2768,Mapping!$A$3:$A$13,0)),"(unmapped)")),IFERROR(INDEX(Mapping!$B$17:$B$22,MATCH($F2768,Mapping!$A$17:$A$22,0)),$F2768)&amp;" "&amp;IF($G2768="Banking","Banking",IFERROR(INDEX(Mapping!$E$17:$E$28,MATCH($J2768,Mapping!$D$17:$D$28,0)),"(unmapped)")))))</f>
        <v/>
      </c>
    </row>
    <row r="2769" spans="11:11" x14ac:dyDescent="0.3">
      <c r="K2769" t="str">
        <f>IF($D2769="","",IFERROR(INDEX(Mapping!$H$3:$H$32,MATCH($B2769,Mapping!$G$3:$G$32,0)),IF(LEFT($F2769,3)="P2P",IFERROR(INDEX(Mapping!$E$3:$E$6,MATCH($G2769,Mapping!$D$3:$D$6,0)),IFERROR(INDEX(Mapping!$B$3:$B$13,MATCH($J2769,Mapping!$A$3:$A$13,0)),"(unmapped)")),IFERROR(INDEX(Mapping!$B$17:$B$22,MATCH($F2769,Mapping!$A$17:$A$22,0)),$F2769)&amp;" "&amp;IF($G2769="Banking","Banking",IFERROR(INDEX(Mapping!$E$17:$E$28,MATCH($J2769,Mapping!$D$17:$D$28,0)),"(unmapped)")))))</f>
        <v/>
      </c>
    </row>
    <row r="2770" spans="11:11" x14ac:dyDescent="0.3">
      <c r="K2770" t="str">
        <f>IF($D2770="","",IFERROR(INDEX(Mapping!$H$3:$H$32,MATCH($B2770,Mapping!$G$3:$G$32,0)),IF(LEFT($F2770,3)="P2P",IFERROR(INDEX(Mapping!$E$3:$E$6,MATCH($G2770,Mapping!$D$3:$D$6,0)),IFERROR(INDEX(Mapping!$B$3:$B$13,MATCH($J2770,Mapping!$A$3:$A$13,0)),"(unmapped)")),IFERROR(INDEX(Mapping!$B$17:$B$22,MATCH($F2770,Mapping!$A$17:$A$22,0)),$F2770)&amp;" "&amp;IF($G2770="Banking","Banking",IFERROR(INDEX(Mapping!$E$17:$E$28,MATCH($J2770,Mapping!$D$17:$D$28,0)),"(unmapped)")))))</f>
        <v/>
      </c>
    </row>
    <row r="2771" spans="11:11" x14ac:dyDescent="0.3">
      <c r="K2771" t="str">
        <f>IF($D2771="","",IFERROR(INDEX(Mapping!$H$3:$H$32,MATCH($B2771,Mapping!$G$3:$G$32,0)),IF(LEFT($F2771,3)="P2P",IFERROR(INDEX(Mapping!$E$3:$E$6,MATCH($G2771,Mapping!$D$3:$D$6,0)),IFERROR(INDEX(Mapping!$B$3:$B$13,MATCH($J2771,Mapping!$A$3:$A$13,0)),"(unmapped)")),IFERROR(INDEX(Mapping!$B$17:$B$22,MATCH($F2771,Mapping!$A$17:$A$22,0)),$F2771)&amp;" "&amp;IF($G2771="Banking","Banking",IFERROR(INDEX(Mapping!$E$17:$E$28,MATCH($J2771,Mapping!$D$17:$D$28,0)),"(unmapped)")))))</f>
        <v/>
      </c>
    </row>
    <row r="2772" spans="11:11" x14ac:dyDescent="0.3">
      <c r="K2772" t="str">
        <f>IF($D2772="","",IFERROR(INDEX(Mapping!$H$3:$H$32,MATCH($B2772,Mapping!$G$3:$G$32,0)),IF(LEFT($F2772,3)="P2P",IFERROR(INDEX(Mapping!$E$3:$E$6,MATCH($G2772,Mapping!$D$3:$D$6,0)),IFERROR(INDEX(Mapping!$B$3:$B$13,MATCH($J2772,Mapping!$A$3:$A$13,0)),"(unmapped)")),IFERROR(INDEX(Mapping!$B$17:$B$22,MATCH($F2772,Mapping!$A$17:$A$22,0)),$F2772)&amp;" "&amp;IF($G2772="Banking","Banking",IFERROR(INDEX(Mapping!$E$17:$E$28,MATCH($J2772,Mapping!$D$17:$D$28,0)),"(unmapped)")))))</f>
        <v/>
      </c>
    </row>
    <row r="2773" spans="11:11" x14ac:dyDescent="0.3">
      <c r="K2773" t="str">
        <f>IF($D2773="","",IFERROR(INDEX(Mapping!$H$3:$H$32,MATCH($B2773,Mapping!$G$3:$G$32,0)),IF(LEFT($F2773,3)="P2P",IFERROR(INDEX(Mapping!$E$3:$E$6,MATCH($G2773,Mapping!$D$3:$D$6,0)),IFERROR(INDEX(Mapping!$B$3:$B$13,MATCH($J2773,Mapping!$A$3:$A$13,0)),"(unmapped)")),IFERROR(INDEX(Mapping!$B$17:$B$22,MATCH($F2773,Mapping!$A$17:$A$22,0)),$F2773)&amp;" "&amp;IF($G2773="Banking","Banking",IFERROR(INDEX(Mapping!$E$17:$E$28,MATCH($J2773,Mapping!$D$17:$D$28,0)),"(unmapped)")))))</f>
        <v/>
      </c>
    </row>
    <row r="2774" spans="11:11" x14ac:dyDescent="0.3">
      <c r="K2774" t="str">
        <f>IF($D2774="","",IFERROR(INDEX(Mapping!$H$3:$H$32,MATCH($B2774,Mapping!$G$3:$G$32,0)),IF(LEFT($F2774,3)="P2P",IFERROR(INDEX(Mapping!$E$3:$E$6,MATCH($G2774,Mapping!$D$3:$D$6,0)),IFERROR(INDEX(Mapping!$B$3:$B$13,MATCH($J2774,Mapping!$A$3:$A$13,0)),"(unmapped)")),IFERROR(INDEX(Mapping!$B$17:$B$22,MATCH($F2774,Mapping!$A$17:$A$22,0)),$F2774)&amp;" "&amp;IF($G2774="Banking","Banking",IFERROR(INDEX(Mapping!$E$17:$E$28,MATCH($J2774,Mapping!$D$17:$D$28,0)),"(unmapped)")))))</f>
        <v/>
      </c>
    </row>
    <row r="2775" spans="11:11" x14ac:dyDescent="0.3">
      <c r="K2775" t="str">
        <f>IF($D2775="","",IFERROR(INDEX(Mapping!$H$3:$H$32,MATCH($B2775,Mapping!$G$3:$G$32,0)),IF(LEFT($F2775,3)="P2P",IFERROR(INDEX(Mapping!$E$3:$E$6,MATCH($G2775,Mapping!$D$3:$D$6,0)),IFERROR(INDEX(Mapping!$B$3:$B$13,MATCH($J2775,Mapping!$A$3:$A$13,0)),"(unmapped)")),IFERROR(INDEX(Mapping!$B$17:$B$22,MATCH($F2775,Mapping!$A$17:$A$22,0)),$F2775)&amp;" "&amp;IF($G2775="Banking","Banking",IFERROR(INDEX(Mapping!$E$17:$E$28,MATCH($J2775,Mapping!$D$17:$D$28,0)),"(unmapped)")))))</f>
        <v/>
      </c>
    </row>
    <row r="2776" spans="11:11" x14ac:dyDescent="0.3">
      <c r="K2776" t="str">
        <f>IF($D2776="","",IFERROR(INDEX(Mapping!$H$3:$H$32,MATCH($B2776,Mapping!$G$3:$G$32,0)),IF(LEFT($F2776,3)="P2P",IFERROR(INDEX(Mapping!$E$3:$E$6,MATCH($G2776,Mapping!$D$3:$D$6,0)),IFERROR(INDEX(Mapping!$B$3:$B$13,MATCH($J2776,Mapping!$A$3:$A$13,0)),"(unmapped)")),IFERROR(INDEX(Mapping!$B$17:$B$22,MATCH($F2776,Mapping!$A$17:$A$22,0)),$F2776)&amp;" "&amp;IF($G2776="Banking","Banking",IFERROR(INDEX(Mapping!$E$17:$E$28,MATCH($J2776,Mapping!$D$17:$D$28,0)),"(unmapped)")))))</f>
        <v/>
      </c>
    </row>
    <row r="2777" spans="11:11" x14ac:dyDescent="0.3">
      <c r="K2777" t="str">
        <f>IF($D2777="","",IFERROR(INDEX(Mapping!$H$3:$H$32,MATCH($B2777,Mapping!$G$3:$G$32,0)),IF(LEFT($F2777,3)="P2P",IFERROR(INDEX(Mapping!$E$3:$E$6,MATCH($G2777,Mapping!$D$3:$D$6,0)),IFERROR(INDEX(Mapping!$B$3:$B$13,MATCH($J2777,Mapping!$A$3:$A$13,0)),"(unmapped)")),IFERROR(INDEX(Mapping!$B$17:$B$22,MATCH($F2777,Mapping!$A$17:$A$22,0)),$F2777)&amp;" "&amp;IF($G2777="Banking","Banking",IFERROR(INDEX(Mapping!$E$17:$E$28,MATCH($J2777,Mapping!$D$17:$D$28,0)),"(unmapped)")))))</f>
        <v/>
      </c>
    </row>
    <row r="2778" spans="11:11" x14ac:dyDescent="0.3">
      <c r="K2778" t="str">
        <f>IF($D2778="","",IFERROR(INDEX(Mapping!$H$3:$H$32,MATCH($B2778,Mapping!$G$3:$G$32,0)),IF(LEFT($F2778,3)="P2P",IFERROR(INDEX(Mapping!$E$3:$E$6,MATCH($G2778,Mapping!$D$3:$D$6,0)),IFERROR(INDEX(Mapping!$B$3:$B$13,MATCH($J2778,Mapping!$A$3:$A$13,0)),"(unmapped)")),IFERROR(INDEX(Mapping!$B$17:$B$22,MATCH($F2778,Mapping!$A$17:$A$22,0)),$F2778)&amp;" "&amp;IF($G2778="Banking","Banking",IFERROR(INDEX(Mapping!$E$17:$E$28,MATCH($J2778,Mapping!$D$17:$D$28,0)),"(unmapped)")))))</f>
        <v/>
      </c>
    </row>
    <row r="2779" spans="11:11" x14ac:dyDescent="0.3">
      <c r="K2779" t="str">
        <f>IF($D2779="","",IFERROR(INDEX(Mapping!$H$3:$H$32,MATCH($B2779,Mapping!$G$3:$G$32,0)),IF(LEFT($F2779,3)="P2P",IFERROR(INDEX(Mapping!$E$3:$E$6,MATCH($G2779,Mapping!$D$3:$D$6,0)),IFERROR(INDEX(Mapping!$B$3:$B$13,MATCH($J2779,Mapping!$A$3:$A$13,0)),"(unmapped)")),IFERROR(INDEX(Mapping!$B$17:$B$22,MATCH($F2779,Mapping!$A$17:$A$22,0)),$F2779)&amp;" "&amp;IF($G2779="Banking","Banking",IFERROR(INDEX(Mapping!$E$17:$E$28,MATCH($J2779,Mapping!$D$17:$D$28,0)),"(unmapped)")))))</f>
        <v/>
      </c>
    </row>
    <row r="2780" spans="11:11" x14ac:dyDescent="0.3">
      <c r="K2780" t="str">
        <f>IF($D2780="","",IFERROR(INDEX(Mapping!$H$3:$H$32,MATCH($B2780,Mapping!$G$3:$G$32,0)),IF(LEFT($F2780,3)="P2P",IFERROR(INDEX(Mapping!$E$3:$E$6,MATCH($G2780,Mapping!$D$3:$D$6,0)),IFERROR(INDEX(Mapping!$B$3:$B$13,MATCH($J2780,Mapping!$A$3:$A$13,0)),"(unmapped)")),IFERROR(INDEX(Mapping!$B$17:$B$22,MATCH($F2780,Mapping!$A$17:$A$22,0)),$F2780)&amp;" "&amp;IF($G2780="Banking","Banking",IFERROR(INDEX(Mapping!$E$17:$E$28,MATCH($J2780,Mapping!$D$17:$D$28,0)),"(unmapped)")))))</f>
        <v/>
      </c>
    </row>
    <row r="2781" spans="11:11" x14ac:dyDescent="0.3">
      <c r="K2781" t="str">
        <f>IF($D2781="","",IFERROR(INDEX(Mapping!$H$3:$H$32,MATCH($B2781,Mapping!$G$3:$G$32,0)),IF(LEFT($F2781,3)="P2P",IFERROR(INDEX(Mapping!$E$3:$E$6,MATCH($G2781,Mapping!$D$3:$D$6,0)),IFERROR(INDEX(Mapping!$B$3:$B$13,MATCH($J2781,Mapping!$A$3:$A$13,0)),"(unmapped)")),IFERROR(INDEX(Mapping!$B$17:$B$22,MATCH($F2781,Mapping!$A$17:$A$22,0)),$F2781)&amp;" "&amp;IF($G2781="Banking","Banking",IFERROR(INDEX(Mapping!$E$17:$E$28,MATCH($J2781,Mapping!$D$17:$D$28,0)),"(unmapped)")))))</f>
        <v/>
      </c>
    </row>
    <row r="2782" spans="11:11" x14ac:dyDescent="0.3">
      <c r="K2782" t="str">
        <f>IF($D2782="","",IFERROR(INDEX(Mapping!$H$3:$H$32,MATCH($B2782,Mapping!$G$3:$G$32,0)),IF(LEFT($F2782,3)="P2P",IFERROR(INDEX(Mapping!$E$3:$E$6,MATCH($G2782,Mapping!$D$3:$D$6,0)),IFERROR(INDEX(Mapping!$B$3:$B$13,MATCH($J2782,Mapping!$A$3:$A$13,0)),"(unmapped)")),IFERROR(INDEX(Mapping!$B$17:$B$22,MATCH($F2782,Mapping!$A$17:$A$22,0)),$F2782)&amp;" "&amp;IF($G2782="Banking","Banking",IFERROR(INDEX(Mapping!$E$17:$E$28,MATCH($J2782,Mapping!$D$17:$D$28,0)),"(unmapped)")))))</f>
        <v/>
      </c>
    </row>
    <row r="2783" spans="11:11" x14ac:dyDescent="0.3">
      <c r="K2783" t="str">
        <f>IF($D2783="","",IFERROR(INDEX(Mapping!$H$3:$H$32,MATCH($B2783,Mapping!$G$3:$G$32,0)),IF(LEFT($F2783,3)="P2P",IFERROR(INDEX(Mapping!$E$3:$E$6,MATCH($G2783,Mapping!$D$3:$D$6,0)),IFERROR(INDEX(Mapping!$B$3:$B$13,MATCH($J2783,Mapping!$A$3:$A$13,0)),"(unmapped)")),IFERROR(INDEX(Mapping!$B$17:$B$22,MATCH($F2783,Mapping!$A$17:$A$22,0)),$F2783)&amp;" "&amp;IF($G2783="Banking","Banking",IFERROR(INDEX(Mapping!$E$17:$E$28,MATCH($J2783,Mapping!$D$17:$D$28,0)),"(unmapped)")))))</f>
        <v/>
      </c>
    </row>
    <row r="2784" spans="11:11" x14ac:dyDescent="0.3">
      <c r="K2784" t="str">
        <f>IF($D2784="","",IFERROR(INDEX(Mapping!$H$3:$H$32,MATCH($B2784,Mapping!$G$3:$G$32,0)),IF(LEFT($F2784,3)="P2P",IFERROR(INDEX(Mapping!$E$3:$E$6,MATCH($G2784,Mapping!$D$3:$D$6,0)),IFERROR(INDEX(Mapping!$B$3:$B$13,MATCH($J2784,Mapping!$A$3:$A$13,0)),"(unmapped)")),IFERROR(INDEX(Mapping!$B$17:$B$22,MATCH($F2784,Mapping!$A$17:$A$22,0)),$F2784)&amp;" "&amp;IF($G2784="Banking","Banking",IFERROR(INDEX(Mapping!$E$17:$E$28,MATCH($J2784,Mapping!$D$17:$D$28,0)),"(unmapped)")))))</f>
        <v/>
      </c>
    </row>
    <row r="2785" spans="11:11" x14ac:dyDescent="0.3">
      <c r="K2785" t="str">
        <f>IF($D2785="","",IFERROR(INDEX(Mapping!$H$3:$H$32,MATCH($B2785,Mapping!$G$3:$G$32,0)),IF(LEFT($F2785,3)="P2P",IFERROR(INDEX(Mapping!$E$3:$E$6,MATCH($G2785,Mapping!$D$3:$D$6,0)),IFERROR(INDEX(Mapping!$B$3:$B$13,MATCH($J2785,Mapping!$A$3:$A$13,0)),"(unmapped)")),IFERROR(INDEX(Mapping!$B$17:$B$22,MATCH($F2785,Mapping!$A$17:$A$22,0)),$F2785)&amp;" "&amp;IF($G2785="Banking","Banking",IFERROR(INDEX(Mapping!$E$17:$E$28,MATCH($J2785,Mapping!$D$17:$D$28,0)),"(unmapped)")))))</f>
        <v/>
      </c>
    </row>
    <row r="2786" spans="11:11" x14ac:dyDescent="0.3">
      <c r="K2786" t="str">
        <f>IF($D2786="","",IFERROR(INDEX(Mapping!$H$3:$H$32,MATCH($B2786,Mapping!$G$3:$G$32,0)),IF(LEFT($F2786,3)="P2P",IFERROR(INDEX(Mapping!$E$3:$E$6,MATCH($G2786,Mapping!$D$3:$D$6,0)),IFERROR(INDEX(Mapping!$B$3:$B$13,MATCH($J2786,Mapping!$A$3:$A$13,0)),"(unmapped)")),IFERROR(INDEX(Mapping!$B$17:$B$22,MATCH($F2786,Mapping!$A$17:$A$22,0)),$F2786)&amp;" "&amp;IF($G2786="Banking","Banking",IFERROR(INDEX(Mapping!$E$17:$E$28,MATCH($J2786,Mapping!$D$17:$D$28,0)),"(unmapped)")))))</f>
        <v/>
      </c>
    </row>
    <row r="2787" spans="11:11" x14ac:dyDescent="0.3">
      <c r="K2787" t="str">
        <f>IF($D2787="","",IFERROR(INDEX(Mapping!$H$3:$H$32,MATCH($B2787,Mapping!$G$3:$G$32,0)),IF(LEFT($F2787,3)="P2P",IFERROR(INDEX(Mapping!$E$3:$E$6,MATCH($G2787,Mapping!$D$3:$D$6,0)),IFERROR(INDEX(Mapping!$B$3:$B$13,MATCH($J2787,Mapping!$A$3:$A$13,0)),"(unmapped)")),IFERROR(INDEX(Mapping!$B$17:$B$22,MATCH($F2787,Mapping!$A$17:$A$22,0)),$F2787)&amp;" "&amp;IF($G2787="Banking","Banking",IFERROR(INDEX(Mapping!$E$17:$E$28,MATCH($J2787,Mapping!$D$17:$D$28,0)),"(unmapped)")))))</f>
        <v/>
      </c>
    </row>
    <row r="2788" spans="11:11" x14ac:dyDescent="0.3">
      <c r="K2788" t="str">
        <f>IF($D2788="","",IFERROR(INDEX(Mapping!$H$3:$H$32,MATCH($B2788,Mapping!$G$3:$G$32,0)),IF(LEFT($F2788,3)="P2P",IFERROR(INDEX(Mapping!$E$3:$E$6,MATCH($G2788,Mapping!$D$3:$D$6,0)),IFERROR(INDEX(Mapping!$B$3:$B$13,MATCH($J2788,Mapping!$A$3:$A$13,0)),"(unmapped)")),IFERROR(INDEX(Mapping!$B$17:$B$22,MATCH($F2788,Mapping!$A$17:$A$22,0)),$F2788)&amp;" "&amp;IF($G2788="Banking","Banking",IFERROR(INDEX(Mapping!$E$17:$E$28,MATCH($J2788,Mapping!$D$17:$D$28,0)),"(unmapped)")))))</f>
        <v/>
      </c>
    </row>
    <row r="2789" spans="11:11" x14ac:dyDescent="0.3">
      <c r="K2789" t="str">
        <f>IF($D2789="","",IFERROR(INDEX(Mapping!$H$3:$H$32,MATCH($B2789,Mapping!$G$3:$G$32,0)),IF(LEFT($F2789,3)="P2P",IFERROR(INDEX(Mapping!$E$3:$E$6,MATCH($G2789,Mapping!$D$3:$D$6,0)),IFERROR(INDEX(Mapping!$B$3:$B$13,MATCH($J2789,Mapping!$A$3:$A$13,0)),"(unmapped)")),IFERROR(INDEX(Mapping!$B$17:$B$22,MATCH($F2789,Mapping!$A$17:$A$22,0)),$F2789)&amp;" "&amp;IF($G2789="Banking","Banking",IFERROR(INDEX(Mapping!$E$17:$E$28,MATCH($J2789,Mapping!$D$17:$D$28,0)),"(unmapped)")))))</f>
        <v/>
      </c>
    </row>
    <row r="2790" spans="11:11" x14ac:dyDescent="0.3">
      <c r="K2790" t="str">
        <f>IF($D2790="","",IFERROR(INDEX(Mapping!$H$3:$H$32,MATCH($B2790,Mapping!$G$3:$G$32,0)),IF(LEFT($F2790,3)="P2P",IFERROR(INDEX(Mapping!$E$3:$E$6,MATCH($G2790,Mapping!$D$3:$D$6,0)),IFERROR(INDEX(Mapping!$B$3:$B$13,MATCH($J2790,Mapping!$A$3:$A$13,0)),"(unmapped)")),IFERROR(INDEX(Mapping!$B$17:$B$22,MATCH($F2790,Mapping!$A$17:$A$22,0)),$F2790)&amp;" "&amp;IF($G2790="Banking","Banking",IFERROR(INDEX(Mapping!$E$17:$E$28,MATCH($J2790,Mapping!$D$17:$D$28,0)),"(unmapped)")))))</f>
        <v/>
      </c>
    </row>
    <row r="2791" spans="11:11" x14ac:dyDescent="0.3">
      <c r="K2791" t="str">
        <f>IF($D2791="","",IFERROR(INDEX(Mapping!$H$3:$H$32,MATCH($B2791,Mapping!$G$3:$G$32,0)),IF(LEFT($F2791,3)="P2P",IFERROR(INDEX(Mapping!$E$3:$E$6,MATCH($G2791,Mapping!$D$3:$D$6,0)),IFERROR(INDEX(Mapping!$B$3:$B$13,MATCH($J2791,Mapping!$A$3:$A$13,0)),"(unmapped)")),IFERROR(INDEX(Mapping!$B$17:$B$22,MATCH($F2791,Mapping!$A$17:$A$22,0)),$F2791)&amp;" "&amp;IF($G2791="Banking","Banking",IFERROR(INDEX(Mapping!$E$17:$E$28,MATCH($J2791,Mapping!$D$17:$D$28,0)),"(unmapped)")))))</f>
        <v/>
      </c>
    </row>
    <row r="2792" spans="11:11" x14ac:dyDescent="0.3">
      <c r="K2792" t="str">
        <f>IF($D2792="","",IFERROR(INDEX(Mapping!$H$3:$H$32,MATCH($B2792,Mapping!$G$3:$G$32,0)),IF(LEFT($F2792,3)="P2P",IFERROR(INDEX(Mapping!$E$3:$E$6,MATCH($G2792,Mapping!$D$3:$D$6,0)),IFERROR(INDEX(Mapping!$B$3:$B$13,MATCH($J2792,Mapping!$A$3:$A$13,0)),"(unmapped)")),IFERROR(INDEX(Mapping!$B$17:$B$22,MATCH($F2792,Mapping!$A$17:$A$22,0)),$F2792)&amp;" "&amp;IF($G2792="Banking","Banking",IFERROR(INDEX(Mapping!$E$17:$E$28,MATCH($J2792,Mapping!$D$17:$D$28,0)),"(unmapped)")))))</f>
        <v/>
      </c>
    </row>
    <row r="2793" spans="11:11" x14ac:dyDescent="0.3">
      <c r="K2793" t="str">
        <f>IF($D2793="","",IFERROR(INDEX(Mapping!$H$3:$H$32,MATCH($B2793,Mapping!$G$3:$G$32,0)),IF(LEFT($F2793,3)="P2P",IFERROR(INDEX(Mapping!$E$3:$E$6,MATCH($G2793,Mapping!$D$3:$D$6,0)),IFERROR(INDEX(Mapping!$B$3:$B$13,MATCH($J2793,Mapping!$A$3:$A$13,0)),"(unmapped)")),IFERROR(INDEX(Mapping!$B$17:$B$22,MATCH($F2793,Mapping!$A$17:$A$22,0)),$F2793)&amp;" "&amp;IF($G2793="Banking","Banking",IFERROR(INDEX(Mapping!$E$17:$E$28,MATCH($J2793,Mapping!$D$17:$D$28,0)),"(unmapped)")))))</f>
        <v/>
      </c>
    </row>
    <row r="2794" spans="11:11" x14ac:dyDescent="0.3">
      <c r="K2794" t="str">
        <f>IF($D2794="","",IFERROR(INDEX(Mapping!$H$3:$H$32,MATCH($B2794,Mapping!$G$3:$G$32,0)),IF(LEFT($F2794,3)="P2P",IFERROR(INDEX(Mapping!$E$3:$E$6,MATCH($G2794,Mapping!$D$3:$D$6,0)),IFERROR(INDEX(Mapping!$B$3:$B$13,MATCH($J2794,Mapping!$A$3:$A$13,0)),"(unmapped)")),IFERROR(INDEX(Mapping!$B$17:$B$22,MATCH($F2794,Mapping!$A$17:$A$22,0)),$F2794)&amp;" "&amp;IF($G2794="Banking","Banking",IFERROR(INDEX(Mapping!$E$17:$E$28,MATCH($J2794,Mapping!$D$17:$D$28,0)),"(unmapped)")))))</f>
        <v/>
      </c>
    </row>
    <row r="2795" spans="11:11" x14ac:dyDescent="0.3">
      <c r="K2795" t="str">
        <f>IF($D2795="","",IFERROR(INDEX(Mapping!$H$3:$H$32,MATCH($B2795,Mapping!$G$3:$G$32,0)),IF(LEFT($F2795,3)="P2P",IFERROR(INDEX(Mapping!$E$3:$E$6,MATCH($G2795,Mapping!$D$3:$D$6,0)),IFERROR(INDEX(Mapping!$B$3:$B$13,MATCH($J2795,Mapping!$A$3:$A$13,0)),"(unmapped)")),IFERROR(INDEX(Mapping!$B$17:$B$22,MATCH($F2795,Mapping!$A$17:$A$22,0)),$F2795)&amp;" "&amp;IF($G2795="Banking","Banking",IFERROR(INDEX(Mapping!$E$17:$E$28,MATCH($J2795,Mapping!$D$17:$D$28,0)),"(unmapped)")))))</f>
        <v/>
      </c>
    </row>
    <row r="2796" spans="11:11" x14ac:dyDescent="0.3">
      <c r="K2796" t="str">
        <f>IF($D2796="","",IFERROR(INDEX(Mapping!$H$3:$H$32,MATCH($B2796,Mapping!$G$3:$G$32,0)),IF(LEFT($F2796,3)="P2P",IFERROR(INDEX(Mapping!$E$3:$E$6,MATCH($G2796,Mapping!$D$3:$D$6,0)),IFERROR(INDEX(Mapping!$B$3:$B$13,MATCH($J2796,Mapping!$A$3:$A$13,0)),"(unmapped)")),IFERROR(INDEX(Mapping!$B$17:$B$22,MATCH($F2796,Mapping!$A$17:$A$22,0)),$F2796)&amp;" "&amp;IF($G2796="Banking","Banking",IFERROR(INDEX(Mapping!$E$17:$E$28,MATCH($J2796,Mapping!$D$17:$D$28,0)),"(unmapped)")))))</f>
        <v/>
      </c>
    </row>
    <row r="2797" spans="11:11" x14ac:dyDescent="0.3">
      <c r="K2797" t="str">
        <f>IF($D2797="","",IFERROR(INDEX(Mapping!$H$3:$H$32,MATCH($B2797,Mapping!$G$3:$G$32,0)),IF(LEFT($F2797,3)="P2P",IFERROR(INDEX(Mapping!$E$3:$E$6,MATCH($G2797,Mapping!$D$3:$D$6,0)),IFERROR(INDEX(Mapping!$B$3:$B$13,MATCH($J2797,Mapping!$A$3:$A$13,0)),"(unmapped)")),IFERROR(INDEX(Mapping!$B$17:$B$22,MATCH($F2797,Mapping!$A$17:$A$22,0)),$F2797)&amp;" "&amp;IF($G2797="Banking","Banking",IFERROR(INDEX(Mapping!$E$17:$E$28,MATCH($J2797,Mapping!$D$17:$D$28,0)),"(unmapped)")))))</f>
        <v/>
      </c>
    </row>
    <row r="2798" spans="11:11" x14ac:dyDescent="0.3">
      <c r="K2798" t="str">
        <f>IF($D2798="","",IFERROR(INDEX(Mapping!$H$3:$H$32,MATCH($B2798,Mapping!$G$3:$G$32,0)),IF(LEFT($F2798,3)="P2P",IFERROR(INDEX(Mapping!$E$3:$E$6,MATCH($G2798,Mapping!$D$3:$D$6,0)),IFERROR(INDEX(Mapping!$B$3:$B$13,MATCH($J2798,Mapping!$A$3:$A$13,0)),"(unmapped)")),IFERROR(INDEX(Mapping!$B$17:$B$22,MATCH($F2798,Mapping!$A$17:$A$22,0)),$F2798)&amp;" "&amp;IF($G2798="Banking","Banking",IFERROR(INDEX(Mapping!$E$17:$E$28,MATCH($J2798,Mapping!$D$17:$D$28,0)),"(unmapped)")))))</f>
        <v/>
      </c>
    </row>
    <row r="2799" spans="11:11" x14ac:dyDescent="0.3">
      <c r="K2799" t="str">
        <f>IF($D2799="","",IFERROR(INDEX(Mapping!$H$3:$H$32,MATCH($B2799,Mapping!$G$3:$G$32,0)),IF(LEFT($F2799,3)="P2P",IFERROR(INDEX(Mapping!$E$3:$E$6,MATCH($G2799,Mapping!$D$3:$D$6,0)),IFERROR(INDEX(Mapping!$B$3:$B$13,MATCH($J2799,Mapping!$A$3:$A$13,0)),"(unmapped)")),IFERROR(INDEX(Mapping!$B$17:$B$22,MATCH($F2799,Mapping!$A$17:$A$22,0)),$F2799)&amp;" "&amp;IF($G2799="Banking","Banking",IFERROR(INDEX(Mapping!$E$17:$E$28,MATCH($J2799,Mapping!$D$17:$D$28,0)),"(unmapped)")))))</f>
        <v/>
      </c>
    </row>
    <row r="2800" spans="11:11" x14ac:dyDescent="0.3">
      <c r="K2800" t="str">
        <f>IF($D2800="","",IFERROR(INDEX(Mapping!$H$3:$H$32,MATCH($B2800,Mapping!$G$3:$G$32,0)),IF(LEFT($F2800,3)="P2P",IFERROR(INDEX(Mapping!$E$3:$E$6,MATCH($G2800,Mapping!$D$3:$D$6,0)),IFERROR(INDEX(Mapping!$B$3:$B$13,MATCH($J2800,Mapping!$A$3:$A$13,0)),"(unmapped)")),IFERROR(INDEX(Mapping!$B$17:$B$22,MATCH($F2800,Mapping!$A$17:$A$22,0)),$F2800)&amp;" "&amp;IF($G2800="Banking","Banking",IFERROR(INDEX(Mapping!$E$17:$E$28,MATCH($J2800,Mapping!$D$17:$D$28,0)),"(unmapped)")))))</f>
        <v/>
      </c>
    </row>
    <row r="2801" spans="11:11" x14ac:dyDescent="0.3">
      <c r="K2801" t="str">
        <f>IF($D2801="","",IFERROR(INDEX(Mapping!$H$3:$H$32,MATCH($B2801,Mapping!$G$3:$G$32,0)),IF(LEFT($F2801,3)="P2P",IFERROR(INDEX(Mapping!$E$3:$E$6,MATCH($G2801,Mapping!$D$3:$D$6,0)),IFERROR(INDEX(Mapping!$B$3:$B$13,MATCH($J2801,Mapping!$A$3:$A$13,0)),"(unmapped)")),IFERROR(INDEX(Mapping!$B$17:$B$22,MATCH($F2801,Mapping!$A$17:$A$22,0)),$F2801)&amp;" "&amp;IF($G2801="Banking","Banking",IFERROR(INDEX(Mapping!$E$17:$E$28,MATCH($J2801,Mapping!$D$17:$D$28,0)),"(unmapped)")))))</f>
        <v/>
      </c>
    </row>
    <row r="2802" spans="11:11" x14ac:dyDescent="0.3">
      <c r="K2802" t="str">
        <f>IF($D2802="","",IFERROR(INDEX(Mapping!$H$3:$H$32,MATCH($B2802,Mapping!$G$3:$G$32,0)),IF(LEFT($F2802,3)="P2P",IFERROR(INDEX(Mapping!$E$3:$E$6,MATCH($G2802,Mapping!$D$3:$D$6,0)),IFERROR(INDEX(Mapping!$B$3:$B$13,MATCH($J2802,Mapping!$A$3:$A$13,0)),"(unmapped)")),IFERROR(INDEX(Mapping!$B$17:$B$22,MATCH($F2802,Mapping!$A$17:$A$22,0)),$F2802)&amp;" "&amp;IF($G2802="Banking","Banking",IFERROR(INDEX(Mapping!$E$17:$E$28,MATCH($J2802,Mapping!$D$17:$D$28,0)),"(unmapped)")))))</f>
        <v/>
      </c>
    </row>
    <row r="2803" spans="11:11" x14ac:dyDescent="0.3">
      <c r="K2803" t="str">
        <f>IF($D2803="","",IFERROR(INDEX(Mapping!$H$3:$H$32,MATCH($B2803,Mapping!$G$3:$G$32,0)),IF(LEFT($F2803,3)="P2P",IFERROR(INDEX(Mapping!$E$3:$E$6,MATCH($G2803,Mapping!$D$3:$D$6,0)),IFERROR(INDEX(Mapping!$B$3:$B$13,MATCH($J2803,Mapping!$A$3:$A$13,0)),"(unmapped)")),IFERROR(INDEX(Mapping!$B$17:$B$22,MATCH($F2803,Mapping!$A$17:$A$22,0)),$F2803)&amp;" "&amp;IF($G2803="Banking","Banking",IFERROR(INDEX(Mapping!$E$17:$E$28,MATCH($J2803,Mapping!$D$17:$D$28,0)),"(unmapped)")))))</f>
        <v/>
      </c>
    </row>
    <row r="2804" spans="11:11" x14ac:dyDescent="0.3">
      <c r="K2804" t="str">
        <f>IF($D2804="","",IFERROR(INDEX(Mapping!$H$3:$H$32,MATCH($B2804,Mapping!$G$3:$G$32,0)),IF(LEFT($F2804,3)="P2P",IFERROR(INDEX(Mapping!$E$3:$E$6,MATCH($G2804,Mapping!$D$3:$D$6,0)),IFERROR(INDEX(Mapping!$B$3:$B$13,MATCH($J2804,Mapping!$A$3:$A$13,0)),"(unmapped)")),IFERROR(INDEX(Mapping!$B$17:$B$22,MATCH($F2804,Mapping!$A$17:$A$22,0)),$F2804)&amp;" "&amp;IF($G2804="Banking","Banking",IFERROR(INDEX(Mapping!$E$17:$E$28,MATCH($J2804,Mapping!$D$17:$D$28,0)),"(unmapped)")))))</f>
        <v/>
      </c>
    </row>
    <row r="2805" spans="11:11" x14ac:dyDescent="0.3">
      <c r="K2805" t="str">
        <f>IF($D2805="","",IFERROR(INDEX(Mapping!$H$3:$H$32,MATCH($B2805,Mapping!$G$3:$G$32,0)),IF(LEFT($F2805,3)="P2P",IFERROR(INDEX(Mapping!$E$3:$E$6,MATCH($G2805,Mapping!$D$3:$D$6,0)),IFERROR(INDEX(Mapping!$B$3:$B$13,MATCH($J2805,Mapping!$A$3:$A$13,0)),"(unmapped)")),IFERROR(INDEX(Mapping!$B$17:$B$22,MATCH($F2805,Mapping!$A$17:$A$22,0)),$F2805)&amp;" "&amp;IF($G2805="Banking","Banking",IFERROR(INDEX(Mapping!$E$17:$E$28,MATCH($J2805,Mapping!$D$17:$D$28,0)),"(unmapped)")))))</f>
        <v/>
      </c>
    </row>
    <row r="2806" spans="11:11" x14ac:dyDescent="0.3">
      <c r="K2806" t="str">
        <f>IF($D2806="","",IFERROR(INDEX(Mapping!$H$3:$H$32,MATCH($B2806,Mapping!$G$3:$G$32,0)),IF(LEFT($F2806,3)="P2P",IFERROR(INDEX(Mapping!$E$3:$E$6,MATCH($G2806,Mapping!$D$3:$D$6,0)),IFERROR(INDEX(Mapping!$B$3:$B$13,MATCH($J2806,Mapping!$A$3:$A$13,0)),"(unmapped)")),IFERROR(INDEX(Mapping!$B$17:$B$22,MATCH($F2806,Mapping!$A$17:$A$22,0)),$F2806)&amp;" "&amp;IF($G2806="Banking","Banking",IFERROR(INDEX(Mapping!$E$17:$E$28,MATCH($J2806,Mapping!$D$17:$D$28,0)),"(unmapped)")))))</f>
        <v/>
      </c>
    </row>
    <row r="2807" spans="11:11" x14ac:dyDescent="0.3">
      <c r="K2807" t="str">
        <f>IF($D2807="","",IFERROR(INDEX(Mapping!$H$3:$H$32,MATCH($B2807,Mapping!$G$3:$G$32,0)),IF(LEFT($F2807,3)="P2P",IFERROR(INDEX(Mapping!$E$3:$E$6,MATCH($G2807,Mapping!$D$3:$D$6,0)),IFERROR(INDEX(Mapping!$B$3:$B$13,MATCH($J2807,Mapping!$A$3:$A$13,0)),"(unmapped)")),IFERROR(INDEX(Mapping!$B$17:$B$22,MATCH($F2807,Mapping!$A$17:$A$22,0)),$F2807)&amp;" "&amp;IF($G2807="Banking","Banking",IFERROR(INDEX(Mapping!$E$17:$E$28,MATCH($J2807,Mapping!$D$17:$D$28,0)),"(unmapped)")))))</f>
        <v/>
      </c>
    </row>
    <row r="2808" spans="11:11" x14ac:dyDescent="0.3">
      <c r="K2808" t="str">
        <f>IF($D2808="","",IFERROR(INDEX(Mapping!$H$3:$H$32,MATCH($B2808,Mapping!$G$3:$G$32,0)),IF(LEFT($F2808,3)="P2P",IFERROR(INDEX(Mapping!$E$3:$E$6,MATCH($G2808,Mapping!$D$3:$D$6,0)),IFERROR(INDEX(Mapping!$B$3:$B$13,MATCH($J2808,Mapping!$A$3:$A$13,0)),"(unmapped)")),IFERROR(INDEX(Mapping!$B$17:$B$22,MATCH($F2808,Mapping!$A$17:$A$22,0)),$F2808)&amp;" "&amp;IF($G2808="Banking","Banking",IFERROR(INDEX(Mapping!$E$17:$E$28,MATCH($J2808,Mapping!$D$17:$D$28,0)),"(unmapped)")))))</f>
        <v/>
      </c>
    </row>
    <row r="2809" spans="11:11" x14ac:dyDescent="0.3">
      <c r="K2809" t="str">
        <f>IF($D2809="","",IFERROR(INDEX(Mapping!$H$3:$H$32,MATCH($B2809,Mapping!$G$3:$G$32,0)),IF(LEFT($F2809,3)="P2P",IFERROR(INDEX(Mapping!$E$3:$E$6,MATCH($G2809,Mapping!$D$3:$D$6,0)),IFERROR(INDEX(Mapping!$B$3:$B$13,MATCH($J2809,Mapping!$A$3:$A$13,0)),"(unmapped)")),IFERROR(INDEX(Mapping!$B$17:$B$22,MATCH($F2809,Mapping!$A$17:$A$22,0)),$F2809)&amp;" "&amp;IF($G2809="Banking","Banking",IFERROR(INDEX(Mapping!$E$17:$E$28,MATCH($J2809,Mapping!$D$17:$D$28,0)),"(unmapped)")))))</f>
        <v/>
      </c>
    </row>
    <row r="2810" spans="11:11" x14ac:dyDescent="0.3">
      <c r="K2810" t="str">
        <f>IF($D2810="","",IFERROR(INDEX(Mapping!$H$3:$H$32,MATCH($B2810,Mapping!$G$3:$G$32,0)),IF(LEFT($F2810,3)="P2P",IFERROR(INDEX(Mapping!$E$3:$E$6,MATCH($G2810,Mapping!$D$3:$D$6,0)),IFERROR(INDEX(Mapping!$B$3:$B$13,MATCH($J2810,Mapping!$A$3:$A$13,0)),"(unmapped)")),IFERROR(INDEX(Mapping!$B$17:$B$22,MATCH($F2810,Mapping!$A$17:$A$22,0)),$F2810)&amp;" "&amp;IF($G2810="Banking","Banking",IFERROR(INDEX(Mapping!$E$17:$E$28,MATCH($J2810,Mapping!$D$17:$D$28,0)),"(unmapped)")))))</f>
        <v/>
      </c>
    </row>
    <row r="2811" spans="11:11" x14ac:dyDescent="0.3">
      <c r="K2811" t="str">
        <f>IF($D2811="","",IFERROR(INDEX(Mapping!$H$3:$H$32,MATCH($B2811,Mapping!$G$3:$G$32,0)),IF(LEFT($F2811,3)="P2P",IFERROR(INDEX(Mapping!$E$3:$E$6,MATCH($G2811,Mapping!$D$3:$D$6,0)),IFERROR(INDEX(Mapping!$B$3:$B$13,MATCH($J2811,Mapping!$A$3:$A$13,0)),"(unmapped)")),IFERROR(INDEX(Mapping!$B$17:$B$22,MATCH($F2811,Mapping!$A$17:$A$22,0)),$F2811)&amp;" "&amp;IF($G2811="Banking","Banking",IFERROR(INDEX(Mapping!$E$17:$E$28,MATCH($J2811,Mapping!$D$17:$D$28,0)),"(unmapped)")))))</f>
        <v/>
      </c>
    </row>
    <row r="2812" spans="11:11" x14ac:dyDescent="0.3">
      <c r="K2812" t="str">
        <f>IF($D2812="","",IFERROR(INDEX(Mapping!$H$3:$H$32,MATCH($B2812,Mapping!$G$3:$G$32,0)),IF(LEFT($F2812,3)="P2P",IFERROR(INDEX(Mapping!$E$3:$E$6,MATCH($G2812,Mapping!$D$3:$D$6,0)),IFERROR(INDEX(Mapping!$B$3:$B$13,MATCH($J2812,Mapping!$A$3:$A$13,0)),"(unmapped)")),IFERROR(INDEX(Mapping!$B$17:$B$22,MATCH($F2812,Mapping!$A$17:$A$22,0)),$F2812)&amp;" "&amp;IF($G2812="Banking","Banking",IFERROR(INDEX(Mapping!$E$17:$E$28,MATCH($J2812,Mapping!$D$17:$D$28,0)),"(unmapped)")))))</f>
        <v/>
      </c>
    </row>
    <row r="2813" spans="11:11" x14ac:dyDescent="0.3">
      <c r="K2813" t="str">
        <f>IF($D2813="","",IFERROR(INDEX(Mapping!$H$3:$H$32,MATCH($B2813,Mapping!$G$3:$G$32,0)),IF(LEFT($F2813,3)="P2P",IFERROR(INDEX(Mapping!$E$3:$E$6,MATCH($G2813,Mapping!$D$3:$D$6,0)),IFERROR(INDEX(Mapping!$B$3:$B$13,MATCH($J2813,Mapping!$A$3:$A$13,0)),"(unmapped)")),IFERROR(INDEX(Mapping!$B$17:$B$22,MATCH($F2813,Mapping!$A$17:$A$22,0)),$F2813)&amp;" "&amp;IF($G2813="Banking","Banking",IFERROR(INDEX(Mapping!$E$17:$E$28,MATCH($J2813,Mapping!$D$17:$D$28,0)),"(unmapped)")))))</f>
        <v/>
      </c>
    </row>
    <row r="2814" spans="11:11" x14ac:dyDescent="0.3">
      <c r="K2814" t="str">
        <f>IF($D2814="","",IFERROR(INDEX(Mapping!$H$3:$H$32,MATCH($B2814,Mapping!$G$3:$G$32,0)),IF(LEFT($F2814,3)="P2P",IFERROR(INDEX(Mapping!$E$3:$E$6,MATCH($G2814,Mapping!$D$3:$D$6,0)),IFERROR(INDEX(Mapping!$B$3:$B$13,MATCH($J2814,Mapping!$A$3:$A$13,0)),"(unmapped)")),IFERROR(INDEX(Mapping!$B$17:$B$22,MATCH($F2814,Mapping!$A$17:$A$22,0)),$F2814)&amp;" "&amp;IF($G2814="Banking","Banking",IFERROR(INDEX(Mapping!$E$17:$E$28,MATCH($J2814,Mapping!$D$17:$D$28,0)),"(unmapped)")))))</f>
        <v/>
      </c>
    </row>
    <row r="2815" spans="11:11" x14ac:dyDescent="0.3">
      <c r="K2815" t="str">
        <f>IF($D2815="","",IFERROR(INDEX(Mapping!$H$3:$H$32,MATCH($B2815,Mapping!$G$3:$G$32,0)),IF(LEFT($F2815,3)="P2P",IFERROR(INDEX(Mapping!$E$3:$E$6,MATCH($G2815,Mapping!$D$3:$D$6,0)),IFERROR(INDEX(Mapping!$B$3:$B$13,MATCH($J2815,Mapping!$A$3:$A$13,0)),"(unmapped)")),IFERROR(INDEX(Mapping!$B$17:$B$22,MATCH($F2815,Mapping!$A$17:$A$22,0)),$F2815)&amp;" "&amp;IF($G2815="Banking","Banking",IFERROR(INDEX(Mapping!$E$17:$E$28,MATCH($J2815,Mapping!$D$17:$D$28,0)),"(unmapped)")))))</f>
        <v/>
      </c>
    </row>
    <row r="2816" spans="11:11" x14ac:dyDescent="0.3">
      <c r="K2816" t="str">
        <f>IF($D2816="","",IFERROR(INDEX(Mapping!$H$3:$H$32,MATCH($B2816,Mapping!$G$3:$G$32,0)),IF(LEFT($F2816,3)="P2P",IFERROR(INDEX(Mapping!$E$3:$E$6,MATCH($G2816,Mapping!$D$3:$D$6,0)),IFERROR(INDEX(Mapping!$B$3:$B$13,MATCH($J2816,Mapping!$A$3:$A$13,0)),"(unmapped)")),IFERROR(INDEX(Mapping!$B$17:$B$22,MATCH($F2816,Mapping!$A$17:$A$22,0)),$F2816)&amp;" "&amp;IF($G2816="Banking","Banking",IFERROR(INDEX(Mapping!$E$17:$E$28,MATCH($J2816,Mapping!$D$17:$D$28,0)),"(unmapped)")))))</f>
        <v/>
      </c>
    </row>
    <row r="2817" spans="11:11" x14ac:dyDescent="0.3">
      <c r="K2817" t="str">
        <f>IF($D2817="","",IFERROR(INDEX(Mapping!$H$3:$H$32,MATCH($B2817,Mapping!$G$3:$G$32,0)),IF(LEFT($F2817,3)="P2P",IFERROR(INDEX(Mapping!$E$3:$E$6,MATCH($G2817,Mapping!$D$3:$D$6,0)),IFERROR(INDEX(Mapping!$B$3:$B$13,MATCH($J2817,Mapping!$A$3:$A$13,0)),"(unmapped)")),IFERROR(INDEX(Mapping!$B$17:$B$22,MATCH($F2817,Mapping!$A$17:$A$22,0)),$F2817)&amp;" "&amp;IF($G2817="Banking","Banking",IFERROR(INDEX(Mapping!$E$17:$E$28,MATCH($J2817,Mapping!$D$17:$D$28,0)),"(unmapped)")))))</f>
        <v/>
      </c>
    </row>
    <row r="2818" spans="11:11" x14ac:dyDescent="0.3">
      <c r="K2818" t="str">
        <f>IF($D2818="","",IFERROR(INDEX(Mapping!$H$3:$H$32,MATCH($B2818,Mapping!$G$3:$G$32,0)),IF(LEFT($F2818,3)="P2P",IFERROR(INDEX(Mapping!$E$3:$E$6,MATCH($G2818,Mapping!$D$3:$D$6,0)),IFERROR(INDEX(Mapping!$B$3:$B$13,MATCH($J2818,Mapping!$A$3:$A$13,0)),"(unmapped)")),IFERROR(INDEX(Mapping!$B$17:$B$22,MATCH($F2818,Mapping!$A$17:$A$22,0)),$F2818)&amp;" "&amp;IF($G2818="Banking","Banking",IFERROR(INDEX(Mapping!$E$17:$E$28,MATCH($J2818,Mapping!$D$17:$D$28,0)),"(unmapped)")))))</f>
        <v/>
      </c>
    </row>
    <row r="2819" spans="11:11" x14ac:dyDescent="0.3">
      <c r="K2819" t="str">
        <f>IF($D2819="","",IFERROR(INDEX(Mapping!$H$3:$H$32,MATCH($B2819,Mapping!$G$3:$G$32,0)),IF(LEFT($F2819,3)="P2P",IFERROR(INDEX(Mapping!$E$3:$E$6,MATCH($G2819,Mapping!$D$3:$D$6,0)),IFERROR(INDEX(Mapping!$B$3:$B$13,MATCH($J2819,Mapping!$A$3:$A$13,0)),"(unmapped)")),IFERROR(INDEX(Mapping!$B$17:$B$22,MATCH($F2819,Mapping!$A$17:$A$22,0)),$F2819)&amp;" "&amp;IF($G2819="Banking","Banking",IFERROR(INDEX(Mapping!$E$17:$E$28,MATCH($J2819,Mapping!$D$17:$D$28,0)),"(unmapped)")))))</f>
        <v/>
      </c>
    </row>
    <row r="2820" spans="11:11" x14ac:dyDescent="0.3">
      <c r="K2820" t="str">
        <f>IF($D2820="","",IFERROR(INDEX(Mapping!$H$3:$H$32,MATCH($B2820,Mapping!$G$3:$G$32,0)),IF(LEFT($F2820,3)="P2P",IFERROR(INDEX(Mapping!$E$3:$E$6,MATCH($G2820,Mapping!$D$3:$D$6,0)),IFERROR(INDEX(Mapping!$B$3:$B$13,MATCH($J2820,Mapping!$A$3:$A$13,0)),"(unmapped)")),IFERROR(INDEX(Mapping!$B$17:$B$22,MATCH($F2820,Mapping!$A$17:$A$22,0)),$F2820)&amp;" "&amp;IF($G2820="Banking","Banking",IFERROR(INDEX(Mapping!$E$17:$E$28,MATCH($J2820,Mapping!$D$17:$D$28,0)),"(unmapped)")))))</f>
        <v/>
      </c>
    </row>
    <row r="2821" spans="11:11" x14ac:dyDescent="0.3">
      <c r="K2821" t="str">
        <f>IF($D2821="","",IFERROR(INDEX(Mapping!$H$3:$H$32,MATCH($B2821,Mapping!$G$3:$G$32,0)),IF(LEFT($F2821,3)="P2P",IFERROR(INDEX(Mapping!$E$3:$E$6,MATCH($G2821,Mapping!$D$3:$D$6,0)),IFERROR(INDEX(Mapping!$B$3:$B$13,MATCH($J2821,Mapping!$A$3:$A$13,0)),"(unmapped)")),IFERROR(INDEX(Mapping!$B$17:$B$22,MATCH($F2821,Mapping!$A$17:$A$22,0)),$F2821)&amp;" "&amp;IF($G2821="Banking","Banking",IFERROR(INDEX(Mapping!$E$17:$E$28,MATCH($J2821,Mapping!$D$17:$D$28,0)),"(unmapped)")))))</f>
        <v/>
      </c>
    </row>
    <row r="2822" spans="11:11" x14ac:dyDescent="0.3">
      <c r="K2822" t="str">
        <f>IF($D2822="","",IFERROR(INDEX(Mapping!$H$3:$H$32,MATCH($B2822,Mapping!$G$3:$G$32,0)),IF(LEFT($F2822,3)="P2P",IFERROR(INDEX(Mapping!$E$3:$E$6,MATCH($G2822,Mapping!$D$3:$D$6,0)),IFERROR(INDEX(Mapping!$B$3:$B$13,MATCH($J2822,Mapping!$A$3:$A$13,0)),"(unmapped)")),IFERROR(INDEX(Mapping!$B$17:$B$22,MATCH($F2822,Mapping!$A$17:$A$22,0)),$F2822)&amp;" "&amp;IF($G2822="Banking","Banking",IFERROR(INDEX(Mapping!$E$17:$E$28,MATCH($J2822,Mapping!$D$17:$D$28,0)),"(unmapped)")))))</f>
        <v/>
      </c>
    </row>
    <row r="2823" spans="11:11" x14ac:dyDescent="0.3">
      <c r="K2823" t="str">
        <f>IF($D2823="","",IFERROR(INDEX(Mapping!$H$3:$H$32,MATCH($B2823,Mapping!$G$3:$G$32,0)),IF(LEFT($F2823,3)="P2P",IFERROR(INDEX(Mapping!$E$3:$E$6,MATCH($G2823,Mapping!$D$3:$D$6,0)),IFERROR(INDEX(Mapping!$B$3:$B$13,MATCH($J2823,Mapping!$A$3:$A$13,0)),"(unmapped)")),IFERROR(INDEX(Mapping!$B$17:$B$22,MATCH($F2823,Mapping!$A$17:$A$22,0)),$F2823)&amp;" "&amp;IF($G2823="Banking","Banking",IFERROR(INDEX(Mapping!$E$17:$E$28,MATCH($J2823,Mapping!$D$17:$D$28,0)),"(unmapped)")))))</f>
        <v/>
      </c>
    </row>
    <row r="2824" spans="11:11" x14ac:dyDescent="0.3">
      <c r="K2824" t="str">
        <f>IF($D2824="","",IFERROR(INDEX(Mapping!$H$3:$H$32,MATCH($B2824,Mapping!$G$3:$G$32,0)),IF(LEFT($F2824,3)="P2P",IFERROR(INDEX(Mapping!$E$3:$E$6,MATCH($G2824,Mapping!$D$3:$D$6,0)),IFERROR(INDEX(Mapping!$B$3:$B$13,MATCH($J2824,Mapping!$A$3:$A$13,0)),"(unmapped)")),IFERROR(INDEX(Mapping!$B$17:$B$22,MATCH($F2824,Mapping!$A$17:$A$22,0)),$F2824)&amp;" "&amp;IF($G2824="Banking","Banking",IFERROR(INDEX(Mapping!$E$17:$E$28,MATCH($J2824,Mapping!$D$17:$D$28,0)),"(unmapped)")))))</f>
        <v/>
      </c>
    </row>
    <row r="2825" spans="11:11" x14ac:dyDescent="0.3">
      <c r="K2825" t="str">
        <f>IF($D2825="","",IFERROR(INDEX(Mapping!$H$3:$H$32,MATCH($B2825,Mapping!$G$3:$G$32,0)),IF(LEFT($F2825,3)="P2P",IFERROR(INDEX(Mapping!$E$3:$E$6,MATCH($G2825,Mapping!$D$3:$D$6,0)),IFERROR(INDEX(Mapping!$B$3:$B$13,MATCH($J2825,Mapping!$A$3:$A$13,0)),"(unmapped)")),IFERROR(INDEX(Mapping!$B$17:$B$22,MATCH($F2825,Mapping!$A$17:$A$22,0)),$F2825)&amp;" "&amp;IF($G2825="Banking","Banking",IFERROR(INDEX(Mapping!$E$17:$E$28,MATCH($J2825,Mapping!$D$17:$D$28,0)),"(unmapped)")))))</f>
        <v/>
      </c>
    </row>
    <row r="2826" spans="11:11" x14ac:dyDescent="0.3">
      <c r="K2826" t="str">
        <f>IF($D2826="","",IFERROR(INDEX(Mapping!$H$3:$H$32,MATCH($B2826,Mapping!$G$3:$G$32,0)),IF(LEFT($F2826,3)="P2P",IFERROR(INDEX(Mapping!$E$3:$E$6,MATCH($G2826,Mapping!$D$3:$D$6,0)),IFERROR(INDEX(Mapping!$B$3:$B$13,MATCH($J2826,Mapping!$A$3:$A$13,0)),"(unmapped)")),IFERROR(INDEX(Mapping!$B$17:$B$22,MATCH($F2826,Mapping!$A$17:$A$22,0)),$F2826)&amp;" "&amp;IF($G2826="Banking","Banking",IFERROR(INDEX(Mapping!$E$17:$E$28,MATCH($J2826,Mapping!$D$17:$D$28,0)),"(unmapped)")))))</f>
        <v/>
      </c>
    </row>
    <row r="2827" spans="11:11" x14ac:dyDescent="0.3">
      <c r="K2827" t="str">
        <f>IF($D2827="","",IFERROR(INDEX(Mapping!$H$3:$H$32,MATCH($B2827,Mapping!$G$3:$G$32,0)),IF(LEFT($F2827,3)="P2P",IFERROR(INDEX(Mapping!$E$3:$E$6,MATCH($G2827,Mapping!$D$3:$D$6,0)),IFERROR(INDEX(Mapping!$B$3:$B$13,MATCH($J2827,Mapping!$A$3:$A$13,0)),"(unmapped)")),IFERROR(INDEX(Mapping!$B$17:$B$22,MATCH($F2827,Mapping!$A$17:$A$22,0)),$F2827)&amp;" "&amp;IF($G2827="Banking","Banking",IFERROR(INDEX(Mapping!$E$17:$E$28,MATCH($J2827,Mapping!$D$17:$D$28,0)),"(unmapped)")))))</f>
        <v/>
      </c>
    </row>
    <row r="2828" spans="11:11" x14ac:dyDescent="0.3">
      <c r="K2828" t="str">
        <f>IF($D2828="","",IFERROR(INDEX(Mapping!$H$3:$H$32,MATCH($B2828,Mapping!$G$3:$G$32,0)),IF(LEFT($F2828,3)="P2P",IFERROR(INDEX(Mapping!$E$3:$E$6,MATCH($G2828,Mapping!$D$3:$D$6,0)),IFERROR(INDEX(Mapping!$B$3:$B$13,MATCH($J2828,Mapping!$A$3:$A$13,0)),"(unmapped)")),IFERROR(INDEX(Mapping!$B$17:$B$22,MATCH($F2828,Mapping!$A$17:$A$22,0)),$F2828)&amp;" "&amp;IF($G2828="Banking","Banking",IFERROR(INDEX(Mapping!$E$17:$E$28,MATCH($J2828,Mapping!$D$17:$D$28,0)),"(unmapped)")))))</f>
        <v/>
      </c>
    </row>
    <row r="2829" spans="11:11" x14ac:dyDescent="0.3">
      <c r="K2829" t="str">
        <f>IF($D2829="","",IFERROR(INDEX(Mapping!$H$3:$H$32,MATCH($B2829,Mapping!$G$3:$G$32,0)),IF(LEFT($F2829,3)="P2P",IFERROR(INDEX(Mapping!$E$3:$E$6,MATCH($G2829,Mapping!$D$3:$D$6,0)),IFERROR(INDEX(Mapping!$B$3:$B$13,MATCH($J2829,Mapping!$A$3:$A$13,0)),"(unmapped)")),IFERROR(INDEX(Mapping!$B$17:$B$22,MATCH($F2829,Mapping!$A$17:$A$22,0)),$F2829)&amp;" "&amp;IF($G2829="Banking","Banking",IFERROR(INDEX(Mapping!$E$17:$E$28,MATCH($J2829,Mapping!$D$17:$D$28,0)),"(unmapped)")))))</f>
        <v/>
      </c>
    </row>
    <row r="2830" spans="11:11" x14ac:dyDescent="0.3">
      <c r="K2830" t="str">
        <f>IF($D2830="","",IFERROR(INDEX(Mapping!$H$3:$H$32,MATCH($B2830,Mapping!$G$3:$G$32,0)),IF(LEFT($F2830,3)="P2P",IFERROR(INDEX(Mapping!$E$3:$E$6,MATCH($G2830,Mapping!$D$3:$D$6,0)),IFERROR(INDEX(Mapping!$B$3:$B$13,MATCH($J2830,Mapping!$A$3:$A$13,0)),"(unmapped)")),IFERROR(INDEX(Mapping!$B$17:$B$22,MATCH($F2830,Mapping!$A$17:$A$22,0)),$F2830)&amp;" "&amp;IF($G2830="Banking","Banking",IFERROR(INDEX(Mapping!$E$17:$E$28,MATCH($J2830,Mapping!$D$17:$D$28,0)),"(unmapped)")))))</f>
        <v/>
      </c>
    </row>
    <row r="2831" spans="11:11" x14ac:dyDescent="0.3">
      <c r="K2831" t="str">
        <f>IF($D2831="","",IFERROR(INDEX(Mapping!$H$3:$H$32,MATCH($B2831,Mapping!$G$3:$G$32,0)),IF(LEFT($F2831,3)="P2P",IFERROR(INDEX(Mapping!$E$3:$E$6,MATCH($G2831,Mapping!$D$3:$D$6,0)),IFERROR(INDEX(Mapping!$B$3:$B$13,MATCH($J2831,Mapping!$A$3:$A$13,0)),"(unmapped)")),IFERROR(INDEX(Mapping!$B$17:$B$22,MATCH($F2831,Mapping!$A$17:$A$22,0)),$F2831)&amp;" "&amp;IF($G2831="Banking","Banking",IFERROR(INDEX(Mapping!$E$17:$E$28,MATCH($J2831,Mapping!$D$17:$D$28,0)),"(unmapped)")))))</f>
        <v/>
      </c>
    </row>
    <row r="2832" spans="11:11" x14ac:dyDescent="0.3">
      <c r="K2832" t="str">
        <f>IF($D2832="","",IFERROR(INDEX(Mapping!$H$3:$H$32,MATCH($B2832,Mapping!$G$3:$G$32,0)),IF(LEFT($F2832,3)="P2P",IFERROR(INDEX(Mapping!$E$3:$E$6,MATCH($G2832,Mapping!$D$3:$D$6,0)),IFERROR(INDEX(Mapping!$B$3:$B$13,MATCH($J2832,Mapping!$A$3:$A$13,0)),"(unmapped)")),IFERROR(INDEX(Mapping!$B$17:$B$22,MATCH($F2832,Mapping!$A$17:$A$22,0)),$F2832)&amp;" "&amp;IF($G2832="Banking","Banking",IFERROR(INDEX(Mapping!$E$17:$E$28,MATCH($J2832,Mapping!$D$17:$D$28,0)),"(unmapped)")))))</f>
        <v/>
      </c>
    </row>
    <row r="2833" spans="11:11" x14ac:dyDescent="0.3">
      <c r="K2833" t="str">
        <f>IF($D2833="","",IFERROR(INDEX(Mapping!$H$3:$H$32,MATCH($B2833,Mapping!$G$3:$G$32,0)),IF(LEFT($F2833,3)="P2P",IFERROR(INDEX(Mapping!$E$3:$E$6,MATCH($G2833,Mapping!$D$3:$D$6,0)),IFERROR(INDEX(Mapping!$B$3:$B$13,MATCH($J2833,Mapping!$A$3:$A$13,0)),"(unmapped)")),IFERROR(INDEX(Mapping!$B$17:$B$22,MATCH($F2833,Mapping!$A$17:$A$22,0)),$F2833)&amp;" "&amp;IF($G2833="Banking","Banking",IFERROR(INDEX(Mapping!$E$17:$E$28,MATCH($J2833,Mapping!$D$17:$D$28,0)),"(unmapped)")))))</f>
        <v/>
      </c>
    </row>
    <row r="2834" spans="11:11" x14ac:dyDescent="0.3">
      <c r="K2834" t="str">
        <f>IF($D2834="","",IFERROR(INDEX(Mapping!$H$3:$H$32,MATCH($B2834,Mapping!$G$3:$G$32,0)),IF(LEFT($F2834,3)="P2P",IFERROR(INDEX(Mapping!$E$3:$E$6,MATCH($G2834,Mapping!$D$3:$D$6,0)),IFERROR(INDEX(Mapping!$B$3:$B$13,MATCH($J2834,Mapping!$A$3:$A$13,0)),"(unmapped)")),IFERROR(INDEX(Mapping!$B$17:$B$22,MATCH($F2834,Mapping!$A$17:$A$22,0)),$F2834)&amp;" "&amp;IF($G2834="Banking","Banking",IFERROR(INDEX(Mapping!$E$17:$E$28,MATCH($J2834,Mapping!$D$17:$D$28,0)),"(unmapped)")))))</f>
        <v/>
      </c>
    </row>
    <row r="2835" spans="11:11" x14ac:dyDescent="0.3">
      <c r="K2835" t="str">
        <f>IF($D2835="","",IFERROR(INDEX(Mapping!$H$3:$H$32,MATCH($B2835,Mapping!$G$3:$G$32,0)),IF(LEFT($F2835,3)="P2P",IFERROR(INDEX(Mapping!$E$3:$E$6,MATCH($G2835,Mapping!$D$3:$D$6,0)),IFERROR(INDEX(Mapping!$B$3:$B$13,MATCH($J2835,Mapping!$A$3:$A$13,0)),"(unmapped)")),IFERROR(INDEX(Mapping!$B$17:$B$22,MATCH($F2835,Mapping!$A$17:$A$22,0)),$F2835)&amp;" "&amp;IF($G2835="Banking","Banking",IFERROR(INDEX(Mapping!$E$17:$E$28,MATCH($J2835,Mapping!$D$17:$D$28,0)),"(unmapped)")))))</f>
        <v/>
      </c>
    </row>
    <row r="2836" spans="11:11" x14ac:dyDescent="0.3">
      <c r="K2836" t="str">
        <f>IF($D2836="","",IFERROR(INDEX(Mapping!$H$3:$H$32,MATCH($B2836,Mapping!$G$3:$G$32,0)),IF(LEFT($F2836,3)="P2P",IFERROR(INDEX(Mapping!$E$3:$E$6,MATCH($G2836,Mapping!$D$3:$D$6,0)),IFERROR(INDEX(Mapping!$B$3:$B$13,MATCH($J2836,Mapping!$A$3:$A$13,0)),"(unmapped)")),IFERROR(INDEX(Mapping!$B$17:$B$22,MATCH($F2836,Mapping!$A$17:$A$22,0)),$F2836)&amp;" "&amp;IF($G2836="Banking","Banking",IFERROR(INDEX(Mapping!$E$17:$E$28,MATCH($J2836,Mapping!$D$17:$D$28,0)),"(unmapped)")))))</f>
        <v/>
      </c>
    </row>
    <row r="2837" spans="11:11" x14ac:dyDescent="0.3">
      <c r="K2837" t="str">
        <f>IF($D2837="","",IFERROR(INDEX(Mapping!$H$3:$H$32,MATCH($B2837,Mapping!$G$3:$G$32,0)),IF(LEFT($F2837,3)="P2P",IFERROR(INDEX(Mapping!$E$3:$E$6,MATCH($G2837,Mapping!$D$3:$D$6,0)),IFERROR(INDEX(Mapping!$B$3:$B$13,MATCH($J2837,Mapping!$A$3:$A$13,0)),"(unmapped)")),IFERROR(INDEX(Mapping!$B$17:$B$22,MATCH($F2837,Mapping!$A$17:$A$22,0)),$F2837)&amp;" "&amp;IF($G2837="Banking","Banking",IFERROR(INDEX(Mapping!$E$17:$E$28,MATCH($J2837,Mapping!$D$17:$D$28,0)),"(unmapped)")))))</f>
        <v/>
      </c>
    </row>
    <row r="2838" spans="11:11" x14ac:dyDescent="0.3">
      <c r="K2838" t="str">
        <f>IF($D2838="","",IFERROR(INDEX(Mapping!$H$3:$H$32,MATCH($B2838,Mapping!$G$3:$G$32,0)),IF(LEFT($F2838,3)="P2P",IFERROR(INDEX(Mapping!$E$3:$E$6,MATCH($G2838,Mapping!$D$3:$D$6,0)),IFERROR(INDEX(Mapping!$B$3:$B$13,MATCH($J2838,Mapping!$A$3:$A$13,0)),"(unmapped)")),IFERROR(INDEX(Mapping!$B$17:$B$22,MATCH($F2838,Mapping!$A$17:$A$22,0)),$F2838)&amp;" "&amp;IF($G2838="Banking","Banking",IFERROR(INDEX(Mapping!$E$17:$E$28,MATCH($J2838,Mapping!$D$17:$D$28,0)),"(unmapped)")))))</f>
        <v/>
      </c>
    </row>
    <row r="2839" spans="11:11" x14ac:dyDescent="0.3">
      <c r="K2839" t="str">
        <f>IF($D2839="","",IFERROR(INDEX(Mapping!$H$3:$H$32,MATCH($B2839,Mapping!$G$3:$G$32,0)),IF(LEFT($F2839,3)="P2P",IFERROR(INDEX(Mapping!$E$3:$E$6,MATCH($G2839,Mapping!$D$3:$D$6,0)),IFERROR(INDEX(Mapping!$B$3:$B$13,MATCH($J2839,Mapping!$A$3:$A$13,0)),"(unmapped)")),IFERROR(INDEX(Mapping!$B$17:$B$22,MATCH($F2839,Mapping!$A$17:$A$22,0)),$F2839)&amp;" "&amp;IF($G2839="Banking","Banking",IFERROR(INDEX(Mapping!$E$17:$E$28,MATCH($J2839,Mapping!$D$17:$D$28,0)),"(unmapped)")))))</f>
        <v/>
      </c>
    </row>
    <row r="2840" spans="11:11" x14ac:dyDescent="0.3">
      <c r="K2840" t="str">
        <f>IF($D2840="","",IFERROR(INDEX(Mapping!$H$3:$H$32,MATCH($B2840,Mapping!$G$3:$G$32,0)),IF(LEFT($F2840,3)="P2P",IFERROR(INDEX(Mapping!$E$3:$E$6,MATCH($G2840,Mapping!$D$3:$D$6,0)),IFERROR(INDEX(Mapping!$B$3:$B$13,MATCH($J2840,Mapping!$A$3:$A$13,0)),"(unmapped)")),IFERROR(INDEX(Mapping!$B$17:$B$22,MATCH($F2840,Mapping!$A$17:$A$22,0)),$F2840)&amp;" "&amp;IF($G2840="Banking","Banking",IFERROR(INDEX(Mapping!$E$17:$E$28,MATCH($J2840,Mapping!$D$17:$D$28,0)),"(unmapped)")))))</f>
        <v/>
      </c>
    </row>
    <row r="2841" spans="11:11" x14ac:dyDescent="0.3">
      <c r="K2841" t="str">
        <f>IF($D2841="","",IFERROR(INDEX(Mapping!$H$3:$H$32,MATCH($B2841,Mapping!$G$3:$G$32,0)),IF(LEFT($F2841,3)="P2P",IFERROR(INDEX(Mapping!$E$3:$E$6,MATCH($G2841,Mapping!$D$3:$D$6,0)),IFERROR(INDEX(Mapping!$B$3:$B$13,MATCH($J2841,Mapping!$A$3:$A$13,0)),"(unmapped)")),IFERROR(INDEX(Mapping!$B$17:$B$22,MATCH($F2841,Mapping!$A$17:$A$22,0)),$F2841)&amp;" "&amp;IF($G2841="Banking","Banking",IFERROR(INDEX(Mapping!$E$17:$E$28,MATCH($J2841,Mapping!$D$17:$D$28,0)),"(unmapped)")))))</f>
        <v/>
      </c>
    </row>
    <row r="2842" spans="11:11" x14ac:dyDescent="0.3">
      <c r="K2842" t="str">
        <f>IF($D2842="","",IFERROR(INDEX(Mapping!$H$3:$H$32,MATCH($B2842,Mapping!$G$3:$G$32,0)),IF(LEFT($F2842,3)="P2P",IFERROR(INDEX(Mapping!$E$3:$E$6,MATCH($G2842,Mapping!$D$3:$D$6,0)),IFERROR(INDEX(Mapping!$B$3:$B$13,MATCH($J2842,Mapping!$A$3:$A$13,0)),"(unmapped)")),IFERROR(INDEX(Mapping!$B$17:$B$22,MATCH($F2842,Mapping!$A$17:$A$22,0)),$F2842)&amp;" "&amp;IF($G2842="Banking","Banking",IFERROR(INDEX(Mapping!$E$17:$E$28,MATCH($J2842,Mapping!$D$17:$D$28,0)),"(unmapped)")))))</f>
        <v/>
      </c>
    </row>
    <row r="2843" spans="11:11" x14ac:dyDescent="0.3">
      <c r="K2843" t="str">
        <f>IF($D2843="","",IFERROR(INDEX(Mapping!$H$3:$H$32,MATCH($B2843,Mapping!$G$3:$G$32,0)),IF(LEFT($F2843,3)="P2P",IFERROR(INDEX(Mapping!$E$3:$E$6,MATCH($G2843,Mapping!$D$3:$D$6,0)),IFERROR(INDEX(Mapping!$B$3:$B$13,MATCH($J2843,Mapping!$A$3:$A$13,0)),"(unmapped)")),IFERROR(INDEX(Mapping!$B$17:$B$22,MATCH($F2843,Mapping!$A$17:$A$22,0)),$F2843)&amp;" "&amp;IF($G2843="Banking","Banking",IFERROR(INDEX(Mapping!$E$17:$E$28,MATCH($J2843,Mapping!$D$17:$D$28,0)),"(unmapped)")))))</f>
        <v/>
      </c>
    </row>
    <row r="2844" spans="11:11" x14ac:dyDescent="0.3">
      <c r="K2844" t="str">
        <f>IF($D2844="","",IFERROR(INDEX(Mapping!$H$3:$H$32,MATCH($B2844,Mapping!$G$3:$G$32,0)),IF(LEFT($F2844,3)="P2P",IFERROR(INDEX(Mapping!$E$3:$E$6,MATCH($G2844,Mapping!$D$3:$D$6,0)),IFERROR(INDEX(Mapping!$B$3:$B$13,MATCH($J2844,Mapping!$A$3:$A$13,0)),"(unmapped)")),IFERROR(INDEX(Mapping!$B$17:$B$22,MATCH($F2844,Mapping!$A$17:$A$22,0)),$F2844)&amp;" "&amp;IF($G2844="Banking","Banking",IFERROR(INDEX(Mapping!$E$17:$E$28,MATCH($J2844,Mapping!$D$17:$D$28,0)),"(unmapped)")))))</f>
        <v/>
      </c>
    </row>
    <row r="2845" spans="11:11" x14ac:dyDescent="0.3">
      <c r="K2845" t="str">
        <f>IF($D2845="","",IFERROR(INDEX(Mapping!$H$3:$H$32,MATCH($B2845,Mapping!$G$3:$G$32,0)),IF(LEFT($F2845,3)="P2P",IFERROR(INDEX(Mapping!$E$3:$E$6,MATCH($G2845,Mapping!$D$3:$D$6,0)),IFERROR(INDEX(Mapping!$B$3:$B$13,MATCH($J2845,Mapping!$A$3:$A$13,0)),"(unmapped)")),IFERROR(INDEX(Mapping!$B$17:$B$22,MATCH($F2845,Mapping!$A$17:$A$22,0)),$F2845)&amp;" "&amp;IF($G2845="Banking","Banking",IFERROR(INDEX(Mapping!$E$17:$E$28,MATCH($J2845,Mapping!$D$17:$D$28,0)),"(unmapped)")))))</f>
        <v/>
      </c>
    </row>
    <row r="2846" spans="11:11" x14ac:dyDescent="0.3">
      <c r="K2846" t="str">
        <f>IF($D2846="","",IFERROR(INDEX(Mapping!$H$3:$H$32,MATCH($B2846,Mapping!$G$3:$G$32,0)),IF(LEFT($F2846,3)="P2P",IFERROR(INDEX(Mapping!$E$3:$E$6,MATCH($G2846,Mapping!$D$3:$D$6,0)),IFERROR(INDEX(Mapping!$B$3:$B$13,MATCH($J2846,Mapping!$A$3:$A$13,0)),"(unmapped)")),IFERROR(INDEX(Mapping!$B$17:$B$22,MATCH($F2846,Mapping!$A$17:$A$22,0)),$F2846)&amp;" "&amp;IF($G2846="Banking","Banking",IFERROR(INDEX(Mapping!$E$17:$E$28,MATCH($J2846,Mapping!$D$17:$D$28,0)),"(unmapped)")))))</f>
        <v/>
      </c>
    </row>
    <row r="2847" spans="11:11" x14ac:dyDescent="0.3">
      <c r="K2847" t="str">
        <f>IF($D2847="","",IFERROR(INDEX(Mapping!$H$3:$H$32,MATCH($B2847,Mapping!$G$3:$G$32,0)),IF(LEFT($F2847,3)="P2P",IFERROR(INDEX(Mapping!$E$3:$E$6,MATCH($G2847,Mapping!$D$3:$D$6,0)),IFERROR(INDEX(Mapping!$B$3:$B$13,MATCH($J2847,Mapping!$A$3:$A$13,0)),"(unmapped)")),IFERROR(INDEX(Mapping!$B$17:$B$22,MATCH($F2847,Mapping!$A$17:$A$22,0)),$F2847)&amp;" "&amp;IF($G2847="Banking","Banking",IFERROR(INDEX(Mapping!$E$17:$E$28,MATCH($J2847,Mapping!$D$17:$D$28,0)),"(unmapped)")))))</f>
        <v/>
      </c>
    </row>
    <row r="2848" spans="11:11" x14ac:dyDescent="0.3">
      <c r="K2848" t="str">
        <f>IF($D2848="","",IFERROR(INDEX(Mapping!$H$3:$H$32,MATCH($B2848,Mapping!$G$3:$G$32,0)),IF(LEFT($F2848,3)="P2P",IFERROR(INDEX(Mapping!$E$3:$E$6,MATCH($G2848,Mapping!$D$3:$D$6,0)),IFERROR(INDEX(Mapping!$B$3:$B$13,MATCH($J2848,Mapping!$A$3:$A$13,0)),"(unmapped)")),IFERROR(INDEX(Mapping!$B$17:$B$22,MATCH($F2848,Mapping!$A$17:$A$22,0)),$F2848)&amp;" "&amp;IF($G2848="Banking","Banking",IFERROR(INDEX(Mapping!$E$17:$E$28,MATCH($J2848,Mapping!$D$17:$D$28,0)),"(unmapped)")))))</f>
        <v/>
      </c>
    </row>
    <row r="2849" spans="11:11" x14ac:dyDescent="0.3">
      <c r="K2849" t="str">
        <f>IF($D2849="","",IFERROR(INDEX(Mapping!$H$3:$H$32,MATCH($B2849,Mapping!$G$3:$G$32,0)),IF(LEFT($F2849,3)="P2P",IFERROR(INDEX(Mapping!$E$3:$E$6,MATCH($G2849,Mapping!$D$3:$D$6,0)),IFERROR(INDEX(Mapping!$B$3:$B$13,MATCH($J2849,Mapping!$A$3:$A$13,0)),"(unmapped)")),IFERROR(INDEX(Mapping!$B$17:$B$22,MATCH($F2849,Mapping!$A$17:$A$22,0)),$F2849)&amp;" "&amp;IF($G2849="Banking","Banking",IFERROR(INDEX(Mapping!$E$17:$E$28,MATCH($J2849,Mapping!$D$17:$D$28,0)),"(unmapped)")))))</f>
        <v/>
      </c>
    </row>
    <row r="2850" spans="11:11" x14ac:dyDescent="0.3">
      <c r="K2850" t="str">
        <f>IF($D2850="","",IFERROR(INDEX(Mapping!$H$3:$H$32,MATCH($B2850,Mapping!$G$3:$G$32,0)),IF(LEFT($F2850,3)="P2P",IFERROR(INDEX(Mapping!$E$3:$E$6,MATCH($G2850,Mapping!$D$3:$D$6,0)),IFERROR(INDEX(Mapping!$B$3:$B$13,MATCH($J2850,Mapping!$A$3:$A$13,0)),"(unmapped)")),IFERROR(INDEX(Mapping!$B$17:$B$22,MATCH($F2850,Mapping!$A$17:$A$22,0)),$F2850)&amp;" "&amp;IF($G2850="Banking","Banking",IFERROR(INDEX(Mapping!$E$17:$E$28,MATCH($J2850,Mapping!$D$17:$D$28,0)),"(unmapped)")))))</f>
        <v/>
      </c>
    </row>
    <row r="2851" spans="11:11" x14ac:dyDescent="0.3">
      <c r="K2851" t="str">
        <f>IF($D2851="","",IFERROR(INDEX(Mapping!$H$3:$H$32,MATCH($B2851,Mapping!$G$3:$G$32,0)),IF(LEFT($F2851,3)="P2P",IFERROR(INDEX(Mapping!$E$3:$E$6,MATCH($G2851,Mapping!$D$3:$D$6,0)),IFERROR(INDEX(Mapping!$B$3:$B$13,MATCH($J2851,Mapping!$A$3:$A$13,0)),"(unmapped)")),IFERROR(INDEX(Mapping!$B$17:$B$22,MATCH($F2851,Mapping!$A$17:$A$22,0)),$F2851)&amp;" "&amp;IF($G2851="Banking","Banking",IFERROR(INDEX(Mapping!$E$17:$E$28,MATCH($J2851,Mapping!$D$17:$D$28,0)),"(unmapped)")))))</f>
        <v/>
      </c>
    </row>
    <row r="2852" spans="11:11" x14ac:dyDescent="0.3">
      <c r="K2852" t="str">
        <f>IF($D2852="","",IFERROR(INDEX(Mapping!$H$3:$H$32,MATCH($B2852,Mapping!$G$3:$G$32,0)),IF(LEFT($F2852,3)="P2P",IFERROR(INDEX(Mapping!$E$3:$E$6,MATCH($G2852,Mapping!$D$3:$D$6,0)),IFERROR(INDEX(Mapping!$B$3:$B$13,MATCH($J2852,Mapping!$A$3:$A$13,0)),"(unmapped)")),IFERROR(INDEX(Mapping!$B$17:$B$22,MATCH($F2852,Mapping!$A$17:$A$22,0)),$F2852)&amp;" "&amp;IF($G2852="Banking","Banking",IFERROR(INDEX(Mapping!$E$17:$E$28,MATCH($J2852,Mapping!$D$17:$D$28,0)),"(unmapped)")))))</f>
        <v/>
      </c>
    </row>
    <row r="2853" spans="11:11" x14ac:dyDescent="0.3">
      <c r="K2853" t="str">
        <f>IF($D2853="","",IFERROR(INDEX(Mapping!$H$3:$H$32,MATCH($B2853,Mapping!$G$3:$G$32,0)),IF(LEFT($F2853,3)="P2P",IFERROR(INDEX(Mapping!$E$3:$E$6,MATCH($G2853,Mapping!$D$3:$D$6,0)),IFERROR(INDEX(Mapping!$B$3:$B$13,MATCH($J2853,Mapping!$A$3:$A$13,0)),"(unmapped)")),IFERROR(INDEX(Mapping!$B$17:$B$22,MATCH($F2853,Mapping!$A$17:$A$22,0)),$F2853)&amp;" "&amp;IF($G2853="Banking","Banking",IFERROR(INDEX(Mapping!$E$17:$E$28,MATCH($J2853,Mapping!$D$17:$D$28,0)),"(unmapped)")))))</f>
        <v/>
      </c>
    </row>
    <row r="2854" spans="11:11" x14ac:dyDescent="0.3">
      <c r="K2854" t="str">
        <f>IF($D2854="","",IFERROR(INDEX(Mapping!$H$3:$H$32,MATCH($B2854,Mapping!$G$3:$G$32,0)),IF(LEFT($F2854,3)="P2P",IFERROR(INDEX(Mapping!$E$3:$E$6,MATCH($G2854,Mapping!$D$3:$D$6,0)),IFERROR(INDEX(Mapping!$B$3:$B$13,MATCH($J2854,Mapping!$A$3:$A$13,0)),"(unmapped)")),IFERROR(INDEX(Mapping!$B$17:$B$22,MATCH($F2854,Mapping!$A$17:$A$22,0)),$F2854)&amp;" "&amp;IF($G2854="Banking","Banking",IFERROR(INDEX(Mapping!$E$17:$E$28,MATCH($J2854,Mapping!$D$17:$D$28,0)),"(unmapped)")))))</f>
        <v/>
      </c>
    </row>
    <row r="2855" spans="11:11" x14ac:dyDescent="0.3">
      <c r="K2855" t="str">
        <f>IF($D2855="","",IFERROR(INDEX(Mapping!$H$3:$H$32,MATCH($B2855,Mapping!$G$3:$G$32,0)),IF(LEFT($F2855,3)="P2P",IFERROR(INDEX(Mapping!$E$3:$E$6,MATCH($G2855,Mapping!$D$3:$D$6,0)),IFERROR(INDEX(Mapping!$B$3:$B$13,MATCH($J2855,Mapping!$A$3:$A$13,0)),"(unmapped)")),IFERROR(INDEX(Mapping!$B$17:$B$22,MATCH($F2855,Mapping!$A$17:$A$22,0)),$F2855)&amp;" "&amp;IF($G2855="Banking","Banking",IFERROR(INDEX(Mapping!$E$17:$E$28,MATCH($J2855,Mapping!$D$17:$D$28,0)),"(unmapped)")))))</f>
        <v/>
      </c>
    </row>
    <row r="2856" spans="11:11" x14ac:dyDescent="0.3">
      <c r="K2856" t="str">
        <f>IF($D2856="","",IFERROR(INDEX(Mapping!$H$3:$H$32,MATCH($B2856,Mapping!$G$3:$G$32,0)),IF(LEFT($F2856,3)="P2P",IFERROR(INDEX(Mapping!$E$3:$E$6,MATCH($G2856,Mapping!$D$3:$D$6,0)),IFERROR(INDEX(Mapping!$B$3:$B$13,MATCH($J2856,Mapping!$A$3:$A$13,0)),"(unmapped)")),IFERROR(INDEX(Mapping!$B$17:$B$22,MATCH($F2856,Mapping!$A$17:$A$22,0)),$F2856)&amp;" "&amp;IF($G2856="Banking","Banking",IFERROR(INDEX(Mapping!$E$17:$E$28,MATCH($J2856,Mapping!$D$17:$D$28,0)),"(unmapped)")))))</f>
        <v/>
      </c>
    </row>
    <row r="2857" spans="11:11" x14ac:dyDescent="0.3">
      <c r="K2857" t="str">
        <f>IF($D2857="","",IFERROR(INDEX(Mapping!$H$3:$H$32,MATCH($B2857,Mapping!$G$3:$G$32,0)),IF(LEFT($F2857,3)="P2P",IFERROR(INDEX(Mapping!$E$3:$E$6,MATCH($G2857,Mapping!$D$3:$D$6,0)),IFERROR(INDEX(Mapping!$B$3:$B$13,MATCH($J2857,Mapping!$A$3:$A$13,0)),"(unmapped)")),IFERROR(INDEX(Mapping!$B$17:$B$22,MATCH($F2857,Mapping!$A$17:$A$22,0)),$F2857)&amp;" "&amp;IF($G2857="Banking","Banking",IFERROR(INDEX(Mapping!$E$17:$E$28,MATCH($J2857,Mapping!$D$17:$D$28,0)),"(unmapped)")))))</f>
        <v/>
      </c>
    </row>
    <row r="2858" spans="11:11" x14ac:dyDescent="0.3">
      <c r="K2858" t="str">
        <f>IF($D2858="","",IFERROR(INDEX(Mapping!$H$3:$H$32,MATCH($B2858,Mapping!$G$3:$G$32,0)),IF(LEFT($F2858,3)="P2P",IFERROR(INDEX(Mapping!$E$3:$E$6,MATCH($G2858,Mapping!$D$3:$D$6,0)),IFERROR(INDEX(Mapping!$B$3:$B$13,MATCH($J2858,Mapping!$A$3:$A$13,0)),"(unmapped)")),IFERROR(INDEX(Mapping!$B$17:$B$22,MATCH($F2858,Mapping!$A$17:$A$22,0)),$F2858)&amp;" "&amp;IF($G2858="Banking","Banking",IFERROR(INDEX(Mapping!$E$17:$E$28,MATCH($J2858,Mapping!$D$17:$D$28,0)),"(unmapped)")))))</f>
        <v/>
      </c>
    </row>
    <row r="2859" spans="11:11" x14ac:dyDescent="0.3">
      <c r="K2859" t="str">
        <f>IF($D2859="","",IFERROR(INDEX(Mapping!$H$3:$H$32,MATCH($B2859,Mapping!$G$3:$G$32,0)),IF(LEFT($F2859,3)="P2P",IFERROR(INDEX(Mapping!$E$3:$E$6,MATCH($G2859,Mapping!$D$3:$D$6,0)),IFERROR(INDEX(Mapping!$B$3:$B$13,MATCH($J2859,Mapping!$A$3:$A$13,0)),"(unmapped)")),IFERROR(INDEX(Mapping!$B$17:$B$22,MATCH($F2859,Mapping!$A$17:$A$22,0)),$F2859)&amp;" "&amp;IF($G2859="Banking","Banking",IFERROR(INDEX(Mapping!$E$17:$E$28,MATCH($J2859,Mapping!$D$17:$D$28,0)),"(unmapped)")))))</f>
        <v/>
      </c>
    </row>
    <row r="2860" spans="11:11" x14ac:dyDescent="0.3">
      <c r="K2860" t="str">
        <f>IF($D2860="","",IFERROR(INDEX(Mapping!$H$3:$H$32,MATCH($B2860,Mapping!$G$3:$G$32,0)),IF(LEFT($F2860,3)="P2P",IFERROR(INDEX(Mapping!$E$3:$E$6,MATCH($G2860,Mapping!$D$3:$D$6,0)),IFERROR(INDEX(Mapping!$B$3:$B$13,MATCH($J2860,Mapping!$A$3:$A$13,0)),"(unmapped)")),IFERROR(INDEX(Mapping!$B$17:$B$22,MATCH($F2860,Mapping!$A$17:$A$22,0)),$F2860)&amp;" "&amp;IF($G2860="Banking","Banking",IFERROR(INDEX(Mapping!$E$17:$E$28,MATCH($J2860,Mapping!$D$17:$D$28,0)),"(unmapped)")))))</f>
        <v/>
      </c>
    </row>
    <row r="2861" spans="11:11" x14ac:dyDescent="0.3">
      <c r="K2861" t="str">
        <f>IF($D2861="","",IFERROR(INDEX(Mapping!$H$3:$H$32,MATCH($B2861,Mapping!$G$3:$G$32,0)),IF(LEFT($F2861,3)="P2P",IFERROR(INDEX(Mapping!$E$3:$E$6,MATCH($G2861,Mapping!$D$3:$D$6,0)),IFERROR(INDEX(Mapping!$B$3:$B$13,MATCH($J2861,Mapping!$A$3:$A$13,0)),"(unmapped)")),IFERROR(INDEX(Mapping!$B$17:$B$22,MATCH($F2861,Mapping!$A$17:$A$22,0)),$F2861)&amp;" "&amp;IF($G2861="Banking","Banking",IFERROR(INDEX(Mapping!$E$17:$E$28,MATCH($J2861,Mapping!$D$17:$D$28,0)),"(unmapped)")))))</f>
        <v/>
      </c>
    </row>
    <row r="2862" spans="11:11" x14ac:dyDescent="0.3">
      <c r="K2862" t="str">
        <f>IF($D2862="","",IFERROR(INDEX(Mapping!$H$3:$H$32,MATCH($B2862,Mapping!$G$3:$G$32,0)),IF(LEFT($F2862,3)="P2P",IFERROR(INDEX(Mapping!$E$3:$E$6,MATCH($G2862,Mapping!$D$3:$D$6,0)),IFERROR(INDEX(Mapping!$B$3:$B$13,MATCH($J2862,Mapping!$A$3:$A$13,0)),"(unmapped)")),IFERROR(INDEX(Mapping!$B$17:$B$22,MATCH($F2862,Mapping!$A$17:$A$22,0)),$F2862)&amp;" "&amp;IF($G2862="Banking","Banking",IFERROR(INDEX(Mapping!$E$17:$E$28,MATCH($J2862,Mapping!$D$17:$D$28,0)),"(unmapped)")))))</f>
        <v/>
      </c>
    </row>
    <row r="2863" spans="11:11" x14ac:dyDescent="0.3">
      <c r="K2863" t="str">
        <f>IF($D2863="","",IFERROR(INDEX(Mapping!$H$3:$H$32,MATCH($B2863,Mapping!$G$3:$G$32,0)),IF(LEFT($F2863,3)="P2P",IFERROR(INDEX(Mapping!$E$3:$E$6,MATCH($G2863,Mapping!$D$3:$D$6,0)),IFERROR(INDEX(Mapping!$B$3:$B$13,MATCH($J2863,Mapping!$A$3:$A$13,0)),"(unmapped)")),IFERROR(INDEX(Mapping!$B$17:$B$22,MATCH($F2863,Mapping!$A$17:$A$22,0)),$F2863)&amp;" "&amp;IF($G2863="Banking","Banking",IFERROR(INDEX(Mapping!$E$17:$E$28,MATCH($J2863,Mapping!$D$17:$D$28,0)),"(unmapped)")))))</f>
        <v/>
      </c>
    </row>
    <row r="2864" spans="11:11" x14ac:dyDescent="0.3">
      <c r="K2864" t="str">
        <f>IF($D2864="","",IFERROR(INDEX(Mapping!$H$3:$H$32,MATCH($B2864,Mapping!$G$3:$G$32,0)),IF(LEFT($F2864,3)="P2P",IFERROR(INDEX(Mapping!$E$3:$E$6,MATCH($G2864,Mapping!$D$3:$D$6,0)),IFERROR(INDEX(Mapping!$B$3:$B$13,MATCH($J2864,Mapping!$A$3:$A$13,0)),"(unmapped)")),IFERROR(INDEX(Mapping!$B$17:$B$22,MATCH($F2864,Mapping!$A$17:$A$22,0)),$F2864)&amp;" "&amp;IF($G2864="Banking","Banking",IFERROR(INDEX(Mapping!$E$17:$E$28,MATCH($J2864,Mapping!$D$17:$D$28,0)),"(unmapped)")))))</f>
        <v/>
      </c>
    </row>
    <row r="2865" spans="11:11" x14ac:dyDescent="0.3">
      <c r="K2865" t="str">
        <f>IF($D2865="","",IFERROR(INDEX(Mapping!$H$3:$H$32,MATCH($B2865,Mapping!$G$3:$G$32,0)),IF(LEFT($F2865,3)="P2P",IFERROR(INDEX(Mapping!$E$3:$E$6,MATCH($G2865,Mapping!$D$3:$D$6,0)),IFERROR(INDEX(Mapping!$B$3:$B$13,MATCH($J2865,Mapping!$A$3:$A$13,0)),"(unmapped)")),IFERROR(INDEX(Mapping!$B$17:$B$22,MATCH($F2865,Mapping!$A$17:$A$22,0)),$F2865)&amp;" "&amp;IF($G2865="Banking","Banking",IFERROR(INDEX(Mapping!$E$17:$E$28,MATCH($J2865,Mapping!$D$17:$D$28,0)),"(unmapped)")))))</f>
        <v/>
      </c>
    </row>
    <row r="2866" spans="11:11" x14ac:dyDescent="0.3">
      <c r="K2866" t="str">
        <f>IF($D2866="","",IFERROR(INDEX(Mapping!$H$3:$H$32,MATCH($B2866,Mapping!$G$3:$G$32,0)),IF(LEFT($F2866,3)="P2P",IFERROR(INDEX(Mapping!$E$3:$E$6,MATCH($G2866,Mapping!$D$3:$D$6,0)),IFERROR(INDEX(Mapping!$B$3:$B$13,MATCH($J2866,Mapping!$A$3:$A$13,0)),"(unmapped)")),IFERROR(INDEX(Mapping!$B$17:$B$22,MATCH($F2866,Mapping!$A$17:$A$22,0)),$F2866)&amp;" "&amp;IF($G2866="Banking","Banking",IFERROR(INDEX(Mapping!$E$17:$E$28,MATCH($J2866,Mapping!$D$17:$D$28,0)),"(unmapped)")))))</f>
        <v/>
      </c>
    </row>
    <row r="2867" spans="11:11" x14ac:dyDescent="0.3">
      <c r="K2867" t="str">
        <f>IF($D2867="","",IFERROR(INDEX(Mapping!$H$3:$H$32,MATCH($B2867,Mapping!$G$3:$G$32,0)),IF(LEFT($F2867,3)="P2P",IFERROR(INDEX(Mapping!$E$3:$E$6,MATCH($G2867,Mapping!$D$3:$D$6,0)),IFERROR(INDEX(Mapping!$B$3:$B$13,MATCH($J2867,Mapping!$A$3:$A$13,0)),"(unmapped)")),IFERROR(INDEX(Mapping!$B$17:$B$22,MATCH($F2867,Mapping!$A$17:$A$22,0)),$F2867)&amp;" "&amp;IF($G2867="Banking","Banking",IFERROR(INDEX(Mapping!$E$17:$E$28,MATCH($J2867,Mapping!$D$17:$D$28,0)),"(unmapped)")))))</f>
        <v/>
      </c>
    </row>
    <row r="2868" spans="11:11" x14ac:dyDescent="0.3">
      <c r="K2868" t="str">
        <f>IF($D2868="","",IFERROR(INDEX(Mapping!$H$3:$H$32,MATCH($B2868,Mapping!$G$3:$G$32,0)),IF(LEFT($F2868,3)="P2P",IFERROR(INDEX(Mapping!$E$3:$E$6,MATCH($G2868,Mapping!$D$3:$D$6,0)),IFERROR(INDEX(Mapping!$B$3:$B$13,MATCH($J2868,Mapping!$A$3:$A$13,0)),"(unmapped)")),IFERROR(INDEX(Mapping!$B$17:$B$22,MATCH($F2868,Mapping!$A$17:$A$22,0)),$F2868)&amp;" "&amp;IF($G2868="Banking","Banking",IFERROR(INDEX(Mapping!$E$17:$E$28,MATCH($J2868,Mapping!$D$17:$D$28,0)),"(unmapped)")))))</f>
        <v/>
      </c>
    </row>
    <row r="2869" spans="11:11" x14ac:dyDescent="0.3">
      <c r="K2869" t="str">
        <f>IF($D2869="","",IFERROR(INDEX(Mapping!$H$3:$H$32,MATCH($B2869,Mapping!$G$3:$G$32,0)),IF(LEFT($F2869,3)="P2P",IFERROR(INDEX(Mapping!$E$3:$E$6,MATCH($G2869,Mapping!$D$3:$D$6,0)),IFERROR(INDEX(Mapping!$B$3:$B$13,MATCH($J2869,Mapping!$A$3:$A$13,0)),"(unmapped)")),IFERROR(INDEX(Mapping!$B$17:$B$22,MATCH($F2869,Mapping!$A$17:$A$22,0)),$F2869)&amp;" "&amp;IF($G2869="Banking","Banking",IFERROR(INDEX(Mapping!$E$17:$E$28,MATCH($J2869,Mapping!$D$17:$D$28,0)),"(unmapped)")))))</f>
        <v/>
      </c>
    </row>
    <row r="2870" spans="11:11" x14ac:dyDescent="0.3">
      <c r="K2870" t="str">
        <f>IF($D2870="","",IFERROR(INDEX(Mapping!$H$3:$H$32,MATCH($B2870,Mapping!$G$3:$G$32,0)),IF(LEFT($F2870,3)="P2P",IFERROR(INDEX(Mapping!$E$3:$E$6,MATCH($G2870,Mapping!$D$3:$D$6,0)),IFERROR(INDEX(Mapping!$B$3:$B$13,MATCH($J2870,Mapping!$A$3:$A$13,0)),"(unmapped)")),IFERROR(INDEX(Mapping!$B$17:$B$22,MATCH($F2870,Mapping!$A$17:$A$22,0)),$F2870)&amp;" "&amp;IF($G2870="Banking","Banking",IFERROR(INDEX(Mapping!$E$17:$E$28,MATCH($J2870,Mapping!$D$17:$D$28,0)),"(unmapped)")))))</f>
        <v/>
      </c>
    </row>
    <row r="2871" spans="11:11" x14ac:dyDescent="0.3">
      <c r="K2871" t="str">
        <f>IF($D2871="","",IFERROR(INDEX(Mapping!$H$3:$H$32,MATCH($B2871,Mapping!$G$3:$G$32,0)),IF(LEFT($F2871,3)="P2P",IFERROR(INDEX(Mapping!$E$3:$E$6,MATCH($G2871,Mapping!$D$3:$D$6,0)),IFERROR(INDEX(Mapping!$B$3:$B$13,MATCH($J2871,Mapping!$A$3:$A$13,0)),"(unmapped)")),IFERROR(INDEX(Mapping!$B$17:$B$22,MATCH($F2871,Mapping!$A$17:$A$22,0)),$F2871)&amp;" "&amp;IF($G2871="Banking","Banking",IFERROR(INDEX(Mapping!$E$17:$E$28,MATCH($J2871,Mapping!$D$17:$D$28,0)),"(unmapped)")))))</f>
        <v/>
      </c>
    </row>
    <row r="2872" spans="11:11" x14ac:dyDescent="0.3">
      <c r="K2872" t="str">
        <f>IF($D2872="","",IFERROR(INDEX(Mapping!$H$3:$H$32,MATCH($B2872,Mapping!$G$3:$G$32,0)),IF(LEFT($F2872,3)="P2P",IFERROR(INDEX(Mapping!$E$3:$E$6,MATCH($G2872,Mapping!$D$3:$D$6,0)),IFERROR(INDEX(Mapping!$B$3:$B$13,MATCH($J2872,Mapping!$A$3:$A$13,0)),"(unmapped)")),IFERROR(INDEX(Mapping!$B$17:$B$22,MATCH($F2872,Mapping!$A$17:$A$22,0)),$F2872)&amp;" "&amp;IF($G2872="Banking","Banking",IFERROR(INDEX(Mapping!$E$17:$E$28,MATCH($J2872,Mapping!$D$17:$D$28,0)),"(unmapped)")))))</f>
        <v/>
      </c>
    </row>
    <row r="2873" spans="11:11" x14ac:dyDescent="0.3">
      <c r="K2873" t="str">
        <f>IF($D2873="","",IFERROR(INDEX(Mapping!$H$3:$H$32,MATCH($B2873,Mapping!$G$3:$G$32,0)),IF(LEFT($F2873,3)="P2P",IFERROR(INDEX(Mapping!$E$3:$E$6,MATCH($G2873,Mapping!$D$3:$D$6,0)),IFERROR(INDEX(Mapping!$B$3:$B$13,MATCH($J2873,Mapping!$A$3:$A$13,0)),"(unmapped)")),IFERROR(INDEX(Mapping!$B$17:$B$22,MATCH($F2873,Mapping!$A$17:$A$22,0)),$F2873)&amp;" "&amp;IF($G2873="Banking","Banking",IFERROR(INDEX(Mapping!$E$17:$E$28,MATCH($J2873,Mapping!$D$17:$D$28,0)),"(unmapped)")))))</f>
        <v/>
      </c>
    </row>
    <row r="2874" spans="11:11" x14ac:dyDescent="0.3">
      <c r="K2874" t="str">
        <f>IF($D2874="","",IFERROR(INDEX(Mapping!$H$3:$H$32,MATCH($B2874,Mapping!$G$3:$G$32,0)),IF(LEFT($F2874,3)="P2P",IFERROR(INDEX(Mapping!$E$3:$E$6,MATCH($G2874,Mapping!$D$3:$D$6,0)),IFERROR(INDEX(Mapping!$B$3:$B$13,MATCH($J2874,Mapping!$A$3:$A$13,0)),"(unmapped)")),IFERROR(INDEX(Mapping!$B$17:$B$22,MATCH($F2874,Mapping!$A$17:$A$22,0)),$F2874)&amp;" "&amp;IF($G2874="Banking","Banking",IFERROR(INDEX(Mapping!$E$17:$E$28,MATCH($J2874,Mapping!$D$17:$D$28,0)),"(unmapped)")))))</f>
        <v/>
      </c>
    </row>
    <row r="2875" spans="11:11" x14ac:dyDescent="0.3">
      <c r="K2875" t="str">
        <f>IF($D2875="","",IFERROR(INDEX(Mapping!$H$3:$H$32,MATCH($B2875,Mapping!$G$3:$G$32,0)),IF(LEFT($F2875,3)="P2P",IFERROR(INDEX(Mapping!$E$3:$E$6,MATCH($G2875,Mapping!$D$3:$D$6,0)),IFERROR(INDEX(Mapping!$B$3:$B$13,MATCH($J2875,Mapping!$A$3:$A$13,0)),"(unmapped)")),IFERROR(INDEX(Mapping!$B$17:$B$22,MATCH($F2875,Mapping!$A$17:$A$22,0)),$F2875)&amp;" "&amp;IF($G2875="Banking","Banking",IFERROR(INDEX(Mapping!$E$17:$E$28,MATCH($J2875,Mapping!$D$17:$D$28,0)),"(unmapped)")))))</f>
        <v/>
      </c>
    </row>
    <row r="2876" spans="11:11" x14ac:dyDescent="0.3">
      <c r="K2876" t="str">
        <f>IF($D2876="","",IFERROR(INDEX(Mapping!$H$3:$H$32,MATCH($B2876,Mapping!$G$3:$G$32,0)),IF(LEFT($F2876,3)="P2P",IFERROR(INDEX(Mapping!$E$3:$E$6,MATCH($G2876,Mapping!$D$3:$D$6,0)),IFERROR(INDEX(Mapping!$B$3:$B$13,MATCH($J2876,Mapping!$A$3:$A$13,0)),"(unmapped)")),IFERROR(INDEX(Mapping!$B$17:$B$22,MATCH($F2876,Mapping!$A$17:$A$22,0)),$F2876)&amp;" "&amp;IF($G2876="Banking","Banking",IFERROR(INDEX(Mapping!$E$17:$E$28,MATCH($J2876,Mapping!$D$17:$D$28,0)),"(unmapped)")))))</f>
        <v/>
      </c>
    </row>
    <row r="2877" spans="11:11" x14ac:dyDescent="0.3">
      <c r="K2877" t="str">
        <f>IF($D2877="","",IFERROR(INDEX(Mapping!$H$3:$H$32,MATCH($B2877,Mapping!$G$3:$G$32,0)),IF(LEFT($F2877,3)="P2P",IFERROR(INDEX(Mapping!$E$3:$E$6,MATCH($G2877,Mapping!$D$3:$D$6,0)),IFERROR(INDEX(Mapping!$B$3:$B$13,MATCH($J2877,Mapping!$A$3:$A$13,0)),"(unmapped)")),IFERROR(INDEX(Mapping!$B$17:$B$22,MATCH($F2877,Mapping!$A$17:$A$22,0)),$F2877)&amp;" "&amp;IF($G2877="Banking","Banking",IFERROR(INDEX(Mapping!$E$17:$E$28,MATCH($J2877,Mapping!$D$17:$D$28,0)),"(unmapped)")))))</f>
        <v/>
      </c>
    </row>
    <row r="2878" spans="11:11" x14ac:dyDescent="0.3">
      <c r="K2878" t="str">
        <f>IF($D2878="","",IFERROR(INDEX(Mapping!$H$3:$H$32,MATCH($B2878,Mapping!$G$3:$G$32,0)),IF(LEFT($F2878,3)="P2P",IFERROR(INDEX(Mapping!$E$3:$E$6,MATCH($G2878,Mapping!$D$3:$D$6,0)),IFERROR(INDEX(Mapping!$B$3:$B$13,MATCH($J2878,Mapping!$A$3:$A$13,0)),"(unmapped)")),IFERROR(INDEX(Mapping!$B$17:$B$22,MATCH($F2878,Mapping!$A$17:$A$22,0)),$F2878)&amp;" "&amp;IF($G2878="Banking","Banking",IFERROR(INDEX(Mapping!$E$17:$E$28,MATCH($J2878,Mapping!$D$17:$D$28,0)),"(unmapped)")))))</f>
        <v/>
      </c>
    </row>
    <row r="2879" spans="11:11" x14ac:dyDescent="0.3">
      <c r="K2879" t="str">
        <f>IF($D2879="","",IFERROR(INDEX(Mapping!$H$3:$H$32,MATCH($B2879,Mapping!$G$3:$G$32,0)),IF(LEFT($F2879,3)="P2P",IFERROR(INDEX(Mapping!$E$3:$E$6,MATCH($G2879,Mapping!$D$3:$D$6,0)),IFERROR(INDEX(Mapping!$B$3:$B$13,MATCH($J2879,Mapping!$A$3:$A$13,0)),"(unmapped)")),IFERROR(INDEX(Mapping!$B$17:$B$22,MATCH($F2879,Mapping!$A$17:$A$22,0)),$F2879)&amp;" "&amp;IF($G2879="Banking","Banking",IFERROR(INDEX(Mapping!$E$17:$E$28,MATCH($J2879,Mapping!$D$17:$D$28,0)),"(unmapped)")))))</f>
        <v/>
      </c>
    </row>
    <row r="2880" spans="11:11" x14ac:dyDescent="0.3">
      <c r="K2880" t="str">
        <f>IF($D2880="","",IFERROR(INDEX(Mapping!$H$3:$H$32,MATCH($B2880,Mapping!$G$3:$G$32,0)),IF(LEFT($F2880,3)="P2P",IFERROR(INDEX(Mapping!$E$3:$E$6,MATCH($G2880,Mapping!$D$3:$D$6,0)),IFERROR(INDEX(Mapping!$B$3:$B$13,MATCH($J2880,Mapping!$A$3:$A$13,0)),"(unmapped)")),IFERROR(INDEX(Mapping!$B$17:$B$22,MATCH($F2880,Mapping!$A$17:$A$22,0)),$F2880)&amp;" "&amp;IF($G2880="Banking","Banking",IFERROR(INDEX(Mapping!$E$17:$E$28,MATCH($J2880,Mapping!$D$17:$D$28,0)),"(unmapped)")))))</f>
        <v/>
      </c>
    </row>
    <row r="2881" spans="11:11" x14ac:dyDescent="0.3">
      <c r="K2881" t="str">
        <f>IF($D2881="","",IFERROR(INDEX(Mapping!$H$3:$H$32,MATCH($B2881,Mapping!$G$3:$G$32,0)),IF(LEFT($F2881,3)="P2P",IFERROR(INDEX(Mapping!$E$3:$E$6,MATCH($G2881,Mapping!$D$3:$D$6,0)),IFERROR(INDEX(Mapping!$B$3:$B$13,MATCH($J2881,Mapping!$A$3:$A$13,0)),"(unmapped)")),IFERROR(INDEX(Mapping!$B$17:$B$22,MATCH($F2881,Mapping!$A$17:$A$22,0)),$F2881)&amp;" "&amp;IF($G2881="Banking","Banking",IFERROR(INDEX(Mapping!$E$17:$E$28,MATCH($J2881,Mapping!$D$17:$D$28,0)),"(unmapped)")))))</f>
        <v/>
      </c>
    </row>
    <row r="2882" spans="11:11" x14ac:dyDescent="0.3">
      <c r="K2882" t="str">
        <f>IF($D2882="","",IFERROR(INDEX(Mapping!$H$3:$H$32,MATCH($B2882,Mapping!$G$3:$G$32,0)),IF(LEFT($F2882,3)="P2P",IFERROR(INDEX(Mapping!$E$3:$E$6,MATCH($G2882,Mapping!$D$3:$D$6,0)),IFERROR(INDEX(Mapping!$B$3:$B$13,MATCH($J2882,Mapping!$A$3:$A$13,0)),"(unmapped)")),IFERROR(INDEX(Mapping!$B$17:$B$22,MATCH($F2882,Mapping!$A$17:$A$22,0)),$F2882)&amp;" "&amp;IF($G2882="Banking","Banking",IFERROR(INDEX(Mapping!$E$17:$E$28,MATCH($J2882,Mapping!$D$17:$D$28,0)),"(unmapped)")))))</f>
        <v/>
      </c>
    </row>
    <row r="2883" spans="11:11" x14ac:dyDescent="0.3">
      <c r="K2883" t="str">
        <f>IF($D2883="","",IFERROR(INDEX(Mapping!$H$3:$H$32,MATCH($B2883,Mapping!$G$3:$G$32,0)),IF(LEFT($F2883,3)="P2P",IFERROR(INDEX(Mapping!$E$3:$E$6,MATCH($G2883,Mapping!$D$3:$D$6,0)),IFERROR(INDEX(Mapping!$B$3:$B$13,MATCH($J2883,Mapping!$A$3:$A$13,0)),"(unmapped)")),IFERROR(INDEX(Mapping!$B$17:$B$22,MATCH($F2883,Mapping!$A$17:$A$22,0)),$F2883)&amp;" "&amp;IF($G2883="Banking","Banking",IFERROR(INDEX(Mapping!$E$17:$E$28,MATCH($J2883,Mapping!$D$17:$D$28,0)),"(unmapped)")))))</f>
        <v/>
      </c>
    </row>
    <row r="2884" spans="11:11" x14ac:dyDescent="0.3">
      <c r="K2884" t="str">
        <f>IF($D2884="","",IFERROR(INDEX(Mapping!$H$3:$H$32,MATCH($B2884,Mapping!$G$3:$G$32,0)),IF(LEFT($F2884,3)="P2P",IFERROR(INDEX(Mapping!$E$3:$E$6,MATCH($G2884,Mapping!$D$3:$D$6,0)),IFERROR(INDEX(Mapping!$B$3:$B$13,MATCH($J2884,Mapping!$A$3:$A$13,0)),"(unmapped)")),IFERROR(INDEX(Mapping!$B$17:$B$22,MATCH($F2884,Mapping!$A$17:$A$22,0)),$F2884)&amp;" "&amp;IF($G2884="Banking","Banking",IFERROR(INDEX(Mapping!$E$17:$E$28,MATCH($J2884,Mapping!$D$17:$D$28,0)),"(unmapped)")))))</f>
        <v/>
      </c>
    </row>
    <row r="2885" spans="11:11" x14ac:dyDescent="0.3">
      <c r="K2885" t="str">
        <f>IF($D2885="","",IFERROR(INDEX(Mapping!$H$3:$H$32,MATCH($B2885,Mapping!$G$3:$G$32,0)),IF(LEFT($F2885,3)="P2P",IFERROR(INDEX(Mapping!$E$3:$E$6,MATCH($G2885,Mapping!$D$3:$D$6,0)),IFERROR(INDEX(Mapping!$B$3:$B$13,MATCH($J2885,Mapping!$A$3:$A$13,0)),"(unmapped)")),IFERROR(INDEX(Mapping!$B$17:$B$22,MATCH($F2885,Mapping!$A$17:$A$22,0)),$F2885)&amp;" "&amp;IF($G2885="Banking","Banking",IFERROR(INDEX(Mapping!$E$17:$E$28,MATCH($J2885,Mapping!$D$17:$D$28,0)),"(unmapped)")))))</f>
        <v/>
      </c>
    </row>
    <row r="2886" spans="11:11" x14ac:dyDescent="0.3">
      <c r="K2886" t="str">
        <f>IF($D2886="","",IFERROR(INDEX(Mapping!$H$3:$H$32,MATCH($B2886,Mapping!$G$3:$G$32,0)),IF(LEFT($F2886,3)="P2P",IFERROR(INDEX(Mapping!$E$3:$E$6,MATCH($G2886,Mapping!$D$3:$D$6,0)),IFERROR(INDEX(Mapping!$B$3:$B$13,MATCH($J2886,Mapping!$A$3:$A$13,0)),"(unmapped)")),IFERROR(INDEX(Mapping!$B$17:$B$22,MATCH($F2886,Mapping!$A$17:$A$22,0)),$F2886)&amp;" "&amp;IF($G2886="Banking","Banking",IFERROR(INDEX(Mapping!$E$17:$E$28,MATCH($J2886,Mapping!$D$17:$D$28,0)),"(unmapped)")))))</f>
        <v/>
      </c>
    </row>
    <row r="2887" spans="11:11" x14ac:dyDescent="0.3">
      <c r="K2887" t="str">
        <f>IF($D2887="","",IFERROR(INDEX(Mapping!$H$3:$H$32,MATCH($B2887,Mapping!$G$3:$G$32,0)),IF(LEFT($F2887,3)="P2P",IFERROR(INDEX(Mapping!$E$3:$E$6,MATCH($G2887,Mapping!$D$3:$D$6,0)),IFERROR(INDEX(Mapping!$B$3:$B$13,MATCH($J2887,Mapping!$A$3:$A$13,0)),"(unmapped)")),IFERROR(INDEX(Mapping!$B$17:$B$22,MATCH($F2887,Mapping!$A$17:$A$22,0)),$F2887)&amp;" "&amp;IF($G2887="Banking","Banking",IFERROR(INDEX(Mapping!$E$17:$E$28,MATCH($J2887,Mapping!$D$17:$D$28,0)),"(unmapped)")))))</f>
        <v/>
      </c>
    </row>
    <row r="2888" spans="11:11" x14ac:dyDescent="0.3">
      <c r="K2888" t="str">
        <f>IF($D2888="","",IFERROR(INDEX(Mapping!$H$3:$H$32,MATCH($B2888,Mapping!$G$3:$G$32,0)),IF(LEFT($F2888,3)="P2P",IFERROR(INDEX(Mapping!$E$3:$E$6,MATCH($G2888,Mapping!$D$3:$D$6,0)),IFERROR(INDEX(Mapping!$B$3:$B$13,MATCH($J2888,Mapping!$A$3:$A$13,0)),"(unmapped)")),IFERROR(INDEX(Mapping!$B$17:$B$22,MATCH($F2888,Mapping!$A$17:$A$22,0)),$F2888)&amp;" "&amp;IF($G2888="Banking","Banking",IFERROR(INDEX(Mapping!$E$17:$E$28,MATCH($J2888,Mapping!$D$17:$D$28,0)),"(unmapped)")))))</f>
        <v/>
      </c>
    </row>
    <row r="2889" spans="11:11" x14ac:dyDescent="0.3">
      <c r="K2889" t="str">
        <f>IF($D2889="","",IFERROR(INDEX(Mapping!$H$3:$H$32,MATCH($B2889,Mapping!$G$3:$G$32,0)),IF(LEFT($F2889,3)="P2P",IFERROR(INDEX(Mapping!$E$3:$E$6,MATCH($G2889,Mapping!$D$3:$D$6,0)),IFERROR(INDEX(Mapping!$B$3:$B$13,MATCH($J2889,Mapping!$A$3:$A$13,0)),"(unmapped)")),IFERROR(INDEX(Mapping!$B$17:$B$22,MATCH($F2889,Mapping!$A$17:$A$22,0)),$F2889)&amp;" "&amp;IF($G2889="Banking","Banking",IFERROR(INDEX(Mapping!$E$17:$E$28,MATCH($J2889,Mapping!$D$17:$D$28,0)),"(unmapped)")))))</f>
        <v/>
      </c>
    </row>
    <row r="2890" spans="11:11" x14ac:dyDescent="0.3">
      <c r="K2890" t="str">
        <f>IF($D2890="","",IFERROR(INDEX(Mapping!$H$3:$H$32,MATCH($B2890,Mapping!$G$3:$G$32,0)),IF(LEFT($F2890,3)="P2P",IFERROR(INDEX(Mapping!$E$3:$E$6,MATCH($G2890,Mapping!$D$3:$D$6,0)),IFERROR(INDEX(Mapping!$B$3:$B$13,MATCH($J2890,Mapping!$A$3:$A$13,0)),"(unmapped)")),IFERROR(INDEX(Mapping!$B$17:$B$22,MATCH($F2890,Mapping!$A$17:$A$22,0)),$F2890)&amp;" "&amp;IF($G2890="Banking","Banking",IFERROR(INDEX(Mapping!$E$17:$E$28,MATCH($J2890,Mapping!$D$17:$D$28,0)),"(unmapped)")))))</f>
        <v/>
      </c>
    </row>
    <row r="2891" spans="11:11" x14ac:dyDescent="0.3">
      <c r="K2891" t="str">
        <f>IF($D2891="","",IFERROR(INDEX(Mapping!$H$3:$H$32,MATCH($B2891,Mapping!$G$3:$G$32,0)),IF(LEFT($F2891,3)="P2P",IFERROR(INDEX(Mapping!$E$3:$E$6,MATCH($G2891,Mapping!$D$3:$D$6,0)),IFERROR(INDEX(Mapping!$B$3:$B$13,MATCH($J2891,Mapping!$A$3:$A$13,0)),"(unmapped)")),IFERROR(INDEX(Mapping!$B$17:$B$22,MATCH($F2891,Mapping!$A$17:$A$22,0)),$F2891)&amp;" "&amp;IF($G2891="Banking","Banking",IFERROR(INDEX(Mapping!$E$17:$E$28,MATCH($J2891,Mapping!$D$17:$D$28,0)),"(unmapped)")))))</f>
        <v/>
      </c>
    </row>
    <row r="2892" spans="11:11" x14ac:dyDescent="0.3">
      <c r="K2892" t="str">
        <f>IF($D2892="","",IFERROR(INDEX(Mapping!$H$3:$H$32,MATCH($B2892,Mapping!$G$3:$G$32,0)),IF(LEFT($F2892,3)="P2P",IFERROR(INDEX(Mapping!$E$3:$E$6,MATCH($G2892,Mapping!$D$3:$D$6,0)),IFERROR(INDEX(Mapping!$B$3:$B$13,MATCH($J2892,Mapping!$A$3:$A$13,0)),"(unmapped)")),IFERROR(INDEX(Mapping!$B$17:$B$22,MATCH($F2892,Mapping!$A$17:$A$22,0)),$F2892)&amp;" "&amp;IF($G2892="Banking","Banking",IFERROR(INDEX(Mapping!$E$17:$E$28,MATCH($J2892,Mapping!$D$17:$D$28,0)),"(unmapped)")))))</f>
        <v/>
      </c>
    </row>
    <row r="2893" spans="11:11" x14ac:dyDescent="0.3">
      <c r="K2893" t="str">
        <f>IF($D2893="","",IFERROR(INDEX(Mapping!$H$3:$H$32,MATCH($B2893,Mapping!$G$3:$G$32,0)),IF(LEFT($F2893,3)="P2P",IFERROR(INDEX(Mapping!$E$3:$E$6,MATCH($G2893,Mapping!$D$3:$D$6,0)),IFERROR(INDEX(Mapping!$B$3:$B$13,MATCH($J2893,Mapping!$A$3:$A$13,0)),"(unmapped)")),IFERROR(INDEX(Mapping!$B$17:$B$22,MATCH($F2893,Mapping!$A$17:$A$22,0)),$F2893)&amp;" "&amp;IF($G2893="Banking","Banking",IFERROR(INDEX(Mapping!$E$17:$E$28,MATCH($J2893,Mapping!$D$17:$D$28,0)),"(unmapped)")))))</f>
        <v/>
      </c>
    </row>
    <row r="2894" spans="11:11" x14ac:dyDescent="0.3">
      <c r="K2894" t="str">
        <f>IF($D2894="","",IFERROR(INDEX(Mapping!$H$3:$H$32,MATCH($B2894,Mapping!$G$3:$G$32,0)),IF(LEFT($F2894,3)="P2P",IFERROR(INDEX(Mapping!$E$3:$E$6,MATCH($G2894,Mapping!$D$3:$D$6,0)),IFERROR(INDEX(Mapping!$B$3:$B$13,MATCH($J2894,Mapping!$A$3:$A$13,0)),"(unmapped)")),IFERROR(INDEX(Mapping!$B$17:$B$22,MATCH($F2894,Mapping!$A$17:$A$22,0)),$F2894)&amp;" "&amp;IF($G2894="Banking","Banking",IFERROR(INDEX(Mapping!$E$17:$E$28,MATCH($J2894,Mapping!$D$17:$D$28,0)),"(unmapped)")))))</f>
        <v/>
      </c>
    </row>
    <row r="2895" spans="11:11" x14ac:dyDescent="0.3">
      <c r="K2895" t="str">
        <f>IF($D2895="","",IFERROR(INDEX(Mapping!$H$3:$H$32,MATCH($B2895,Mapping!$G$3:$G$32,0)),IF(LEFT($F2895,3)="P2P",IFERROR(INDEX(Mapping!$E$3:$E$6,MATCH($G2895,Mapping!$D$3:$D$6,0)),IFERROR(INDEX(Mapping!$B$3:$B$13,MATCH($J2895,Mapping!$A$3:$A$13,0)),"(unmapped)")),IFERROR(INDEX(Mapping!$B$17:$B$22,MATCH($F2895,Mapping!$A$17:$A$22,0)),$F2895)&amp;" "&amp;IF($G2895="Banking","Banking",IFERROR(INDEX(Mapping!$E$17:$E$28,MATCH($J2895,Mapping!$D$17:$D$28,0)),"(unmapped)")))))</f>
        <v/>
      </c>
    </row>
    <row r="2896" spans="11:11" x14ac:dyDescent="0.3">
      <c r="K2896" t="str">
        <f>IF($D2896="","",IFERROR(INDEX(Mapping!$H$3:$H$32,MATCH($B2896,Mapping!$G$3:$G$32,0)),IF(LEFT($F2896,3)="P2P",IFERROR(INDEX(Mapping!$E$3:$E$6,MATCH($G2896,Mapping!$D$3:$D$6,0)),IFERROR(INDEX(Mapping!$B$3:$B$13,MATCH($J2896,Mapping!$A$3:$A$13,0)),"(unmapped)")),IFERROR(INDEX(Mapping!$B$17:$B$22,MATCH($F2896,Mapping!$A$17:$A$22,0)),$F2896)&amp;" "&amp;IF($G2896="Banking","Banking",IFERROR(INDEX(Mapping!$E$17:$E$28,MATCH($J2896,Mapping!$D$17:$D$28,0)),"(unmapped)")))))</f>
        <v/>
      </c>
    </row>
    <row r="2897" spans="11:11" x14ac:dyDescent="0.3">
      <c r="K2897" t="str">
        <f>IF($D2897="","",IFERROR(INDEX(Mapping!$H$3:$H$32,MATCH($B2897,Mapping!$G$3:$G$32,0)),IF(LEFT($F2897,3)="P2P",IFERROR(INDEX(Mapping!$E$3:$E$6,MATCH($G2897,Mapping!$D$3:$D$6,0)),IFERROR(INDEX(Mapping!$B$3:$B$13,MATCH($J2897,Mapping!$A$3:$A$13,0)),"(unmapped)")),IFERROR(INDEX(Mapping!$B$17:$B$22,MATCH($F2897,Mapping!$A$17:$A$22,0)),$F2897)&amp;" "&amp;IF($G2897="Banking","Banking",IFERROR(INDEX(Mapping!$E$17:$E$28,MATCH($J2897,Mapping!$D$17:$D$28,0)),"(unmapped)")))))</f>
        <v/>
      </c>
    </row>
    <row r="2898" spans="11:11" x14ac:dyDescent="0.3">
      <c r="K2898" t="str">
        <f>IF($D2898="","",IFERROR(INDEX(Mapping!$H$3:$H$32,MATCH($B2898,Mapping!$G$3:$G$32,0)),IF(LEFT($F2898,3)="P2P",IFERROR(INDEX(Mapping!$E$3:$E$6,MATCH($G2898,Mapping!$D$3:$D$6,0)),IFERROR(INDEX(Mapping!$B$3:$B$13,MATCH($J2898,Mapping!$A$3:$A$13,0)),"(unmapped)")),IFERROR(INDEX(Mapping!$B$17:$B$22,MATCH($F2898,Mapping!$A$17:$A$22,0)),$F2898)&amp;" "&amp;IF($G2898="Banking","Banking",IFERROR(INDEX(Mapping!$E$17:$E$28,MATCH($J2898,Mapping!$D$17:$D$28,0)),"(unmapped)")))))</f>
        <v/>
      </c>
    </row>
    <row r="2899" spans="11:11" x14ac:dyDescent="0.3">
      <c r="K2899" t="str">
        <f>IF($D2899="","",IFERROR(INDEX(Mapping!$H$3:$H$32,MATCH($B2899,Mapping!$G$3:$G$32,0)),IF(LEFT($F2899,3)="P2P",IFERROR(INDEX(Mapping!$E$3:$E$6,MATCH($G2899,Mapping!$D$3:$D$6,0)),IFERROR(INDEX(Mapping!$B$3:$B$13,MATCH($J2899,Mapping!$A$3:$A$13,0)),"(unmapped)")),IFERROR(INDEX(Mapping!$B$17:$B$22,MATCH($F2899,Mapping!$A$17:$A$22,0)),$F2899)&amp;" "&amp;IF($G2899="Banking","Banking",IFERROR(INDEX(Mapping!$E$17:$E$28,MATCH($J2899,Mapping!$D$17:$D$28,0)),"(unmapped)")))))</f>
        <v/>
      </c>
    </row>
    <row r="2900" spans="11:11" x14ac:dyDescent="0.3">
      <c r="K2900" t="str">
        <f>IF($D2900="","",IFERROR(INDEX(Mapping!$H$3:$H$32,MATCH($B2900,Mapping!$G$3:$G$32,0)),IF(LEFT($F2900,3)="P2P",IFERROR(INDEX(Mapping!$E$3:$E$6,MATCH($G2900,Mapping!$D$3:$D$6,0)),IFERROR(INDEX(Mapping!$B$3:$B$13,MATCH($J2900,Mapping!$A$3:$A$13,0)),"(unmapped)")),IFERROR(INDEX(Mapping!$B$17:$B$22,MATCH($F2900,Mapping!$A$17:$A$22,0)),$F2900)&amp;" "&amp;IF($G2900="Banking","Banking",IFERROR(INDEX(Mapping!$E$17:$E$28,MATCH($J2900,Mapping!$D$17:$D$28,0)),"(unmapped)")))))</f>
        <v/>
      </c>
    </row>
    <row r="2901" spans="11:11" x14ac:dyDescent="0.3">
      <c r="K2901" t="str">
        <f>IF($D2901="","",IFERROR(INDEX(Mapping!$H$3:$H$32,MATCH($B2901,Mapping!$G$3:$G$32,0)),IF(LEFT($F2901,3)="P2P",IFERROR(INDEX(Mapping!$E$3:$E$6,MATCH($G2901,Mapping!$D$3:$D$6,0)),IFERROR(INDEX(Mapping!$B$3:$B$13,MATCH($J2901,Mapping!$A$3:$A$13,0)),"(unmapped)")),IFERROR(INDEX(Mapping!$B$17:$B$22,MATCH($F2901,Mapping!$A$17:$A$22,0)),$F2901)&amp;" "&amp;IF($G2901="Banking","Banking",IFERROR(INDEX(Mapping!$E$17:$E$28,MATCH($J2901,Mapping!$D$17:$D$28,0)),"(unmapped)")))))</f>
        <v/>
      </c>
    </row>
    <row r="2902" spans="11:11" x14ac:dyDescent="0.3">
      <c r="K2902" t="str">
        <f>IF($D2902="","",IFERROR(INDEX(Mapping!$H$3:$H$32,MATCH($B2902,Mapping!$G$3:$G$32,0)),IF(LEFT($F2902,3)="P2P",IFERROR(INDEX(Mapping!$E$3:$E$6,MATCH($G2902,Mapping!$D$3:$D$6,0)),IFERROR(INDEX(Mapping!$B$3:$B$13,MATCH($J2902,Mapping!$A$3:$A$13,0)),"(unmapped)")),IFERROR(INDEX(Mapping!$B$17:$B$22,MATCH($F2902,Mapping!$A$17:$A$22,0)),$F2902)&amp;" "&amp;IF($G2902="Banking","Banking",IFERROR(INDEX(Mapping!$E$17:$E$28,MATCH($J2902,Mapping!$D$17:$D$28,0)),"(unmapped)")))))</f>
        <v/>
      </c>
    </row>
    <row r="2903" spans="11:11" x14ac:dyDescent="0.3">
      <c r="K2903" t="str">
        <f>IF($D2903="","",IFERROR(INDEX(Mapping!$H$3:$H$32,MATCH($B2903,Mapping!$G$3:$G$32,0)),IF(LEFT($F2903,3)="P2P",IFERROR(INDEX(Mapping!$E$3:$E$6,MATCH($G2903,Mapping!$D$3:$D$6,0)),IFERROR(INDEX(Mapping!$B$3:$B$13,MATCH($J2903,Mapping!$A$3:$A$13,0)),"(unmapped)")),IFERROR(INDEX(Mapping!$B$17:$B$22,MATCH($F2903,Mapping!$A$17:$A$22,0)),$F2903)&amp;" "&amp;IF($G2903="Banking","Banking",IFERROR(INDEX(Mapping!$E$17:$E$28,MATCH($J2903,Mapping!$D$17:$D$28,0)),"(unmapped)")))))</f>
        <v/>
      </c>
    </row>
    <row r="2904" spans="11:11" x14ac:dyDescent="0.3">
      <c r="K2904" t="str">
        <f>IF($D2904="","",IFERROR(INDEX(Mapping!$H$3:$H$32,MATCH($B2904,Mapping!$G$3:$G$32,0)),IF(LEFT($F2904,3)="P2P",IFERROR(INDEX(Mapping!$E$3:$E$6,MATCH($G2904,Mapping!$D$3:$D$6,0)),IFERROR(INDEX(Mapping!$B$3:$B$13,MATCH($J2904,Mapping!$A$3:$A$13,0)),"(unmapped)")),IFERROR(INDEX(Mapping!$B$17:$B$22,MATCH($F2904,Mapping!$A$17:$A$22,0)),$F2904)&amp;" "&amp;IF($G2904="Banking","Banking",IFERROR(INDEX(Mapping!$E$17:$E$28,MATCH($J2904,Mapping!$D$17:$D$28,0)),"(unmapped)")))))</f>
        <v/>
      </c>
    </row>
    <row r="2905" spans="11:11" x14ac:dyDescent="0.3">
      <c r="K2905" t="str">
        <f>IF($D2905="","",IFERROR(INDEX(Mapping!$H$3:$H$32,MATCH($B2905,Mapping!$G$3:$G$32,0)),IF(LEFT($F2905,3)="P2P",IFERROR(INDEX(Mapping!$E$3:$E$6,MATCH($G2905,Mapping!$D$3:$D$6,0)),IFERROR(INDEX(Mapping!$B$3:$B$13,MATCH($J2905,Mapping!$A$3:$A$13,0)),"(unmapped)")),IFERROR(INDEX(Mapping!$B$17:$B$22,MATCH($F2905,Mapping!$A$17:$A$22,0)),$F2905)&amp;" "&amp;IF($G2905="Banking","Banking",IFERROR(INDEX(Mapping!$E$17:$E$28,MATCH($J2905,Mapping!$D$17:$D$28,0)),"(unmapped)")))))</f>
        <v/>
      </c>
    </row>
    <row r="2906" spans="11:11" x14ac:dyDescent="0.3">
      <c r="K2906" t="str">
        <f>IF($D2906="","",IFERROR(INDEX(Mapping!$H$3:$H$32,MATCH($B2906,Mapping!$G$3:$G$32,0)),IF(LEFT($F2906,3)="P2P",IFERROR(INDEX(Mapping!$E$3:$E$6,MATCH($G2906,Mapping!$D$3:$D$6,0)),IFERROR(INDEX(Mapping!$B$3:$B$13,MATCH($J2906,Mapping!$A$3:$A$13,0)),"(unmapped)")),IFERROR(INDEX(Mapping!$B$17:$B$22,MATCH($F2906,Mapping!$A$17:$A$22,0)),$F2906)&amp;" "&amp;IF($G2906="Banking","Banking",IFERROR(INDEX(Mapping!$E$17:$E$28,MATCH($J2906,Mapping!$D$17:$D$28,0)),"(unmapped)")))))</f>
        <v/>
      </c>
    </row>
    <row r="2907" spans="11:11" x14ac:dyDescent="0.3">
      <c r="K2907" t="str">
        <f>IF($D2907="","",IFERROR(INDEX(Mapping!$H$3:$H$32,MATCH($B2907,Mapping!$G$3:$G$32,0)),IF(LEFT($F2907,3)="P2P",IFERROR(INDEX(Mapping!$E$3:$E$6,MATCH($G2907,Mapping!$D$3:$D$6,0)),IFERROR(INDEX(Mapping!$B$3:$B$13,MATCH($J2907,Mapping!$A$3:$A$13,0)),"(unmapped)")),IFERROR(INDEX(Mapping!$B$17:$B$22,MATCH($F2907,Mapping!$A$17:$A$22,0)),$F2907)&amp;" "&amp;IF($G2907="Banking","Banking",IFERROR(INDEX(Mapping!$E$17:$E$28,MATCH($J2907,Mapping!$D$17:$D$28,0)),"(unmapped)")))))</f>
        <v/>
      </c>
    </row>
    <row r="2908" spans="11:11" x14ac:dyDescent="0.3">
      <c r="K2908" t="str">
        <f>IF($D2908="","",IFERROR(INDEX(Mapping!$H$3:$H$32,MATCH($B2908,Mapping!$G$3:$G$32,0)),IF(LEFT($F2908,3)="P2P",IFERROR(INDEX(Mapping!$E$3:$E$6,MATCH($G2908,Mapping!$D$3:$D$6,0)),IFERROR(INDEX(Mapping!$B$3:$B$13,MATCH($J2908,Mapping!$A$3:$A$13,0)),"(unmapped)")),IFERROR(INDEX(Mapping!$B$17:$B$22,MATCH($F2908,Mapping!$A$17:$A$22,0)),$F2908)&amp;" "&amp;IF($G2908="Banking","Banking",IFERROR(INDEX(Mapping!$E$17:$E$28,MATCH($J2908,Mapping!$D$17:$D$28,0)),"(unmapped)")))))</f>
        <v/>
      </c>
    </row>
    <row r="2909" spans="11:11" x14ac:dyDescent="0.3">
      <c r="K2909" t="str">
        <f>IF($D2909="","",IFERROR(INDEX(Mapping!$H$3:$H$32,MATCH($B2909,Mapping!$G$3:$G$32,0)),IF(LEFT($F2909,3)="P2P",IFERROR(INDEX(Mapping!$E$3:$E$6,MATCH($G2909,Mapping!$D$3:$D$6,0)),IFERROR(INDEX(Mapping!$B$3:$B$13,MATCH($J2909,Mapping!$A$3:$A$13,0)),"(unmapped)")),IFERROR(INDEX(Mapping!$B$17:$B$22,MATCH($F2909,Mapping!$A$17:$A$22,0)),$F2909)&amp;" "&amp;IF($G2909="Banking","Banking",IFERROR(INDEX(Mapping!$E$17:$E$28,MATCH($J2909,Mapping!$D$17:$D$28,0)),"(unmapped)")))))</f>
        <v/>
      </c>
    </row>
    <row r="2910" spans="11:11" x14ac:dyDescent="0.3">
      <c r="K2910" t="str">
        <f>IF($D2910="","",IFERROR(INDEX(Mapping!$H$3:$H$32,MATCH($B2910,Mapping!$G$3:$G$32,0)),IF(LEFT($F2910,3)="P2P",IFERROR(INDEX(Mapping!$E$3:$E$6,MATCH($G2910,Mapping!$D$3:$D$6,0)),IFERROR(INDEX(Mapping!$B$3:$B$13,MATCH($J2910,Mapping!$A$3:$A$13,0)),"(unmapped)")),IFERROR(INDEX(Mapping!$B$17:$B$22,MATCH($F2910,Mapping!$A$17:$A$22,0)),$F2910)&amp;" "&amp;IF($G2910="Banking","Banking",IFERROR(INDEX(Mapping!$E$17:$E$28,MATCH($J2910,Mapping!$D$17:$D$28,0)),"(unmapped)")))))</f>
        <v/>
      </c>
    </row>
    <row r="2911" spans="11:11" x14ac:dyDescent="0.3">
      <c r="K2911" t="str">
        <f>IF($D2911="","",IFERROR(INDEX(Mapping!$H$3:$H$32,MATCH($B2911,Mapping!$G$3:$G$32,0)),IF(LEFT($F2911,3)="P2P",IFERROR(INDEX(Mapping!$E$3:$E$6,MATCH($G2911,Mapping!$D$3:$D$6,0)),IFERROR(INDEX(Mapping!$B$3:$B$13,MATCH($J2911,Mapping!$A$3:$A$13,0)),"(unmapped)")),IFERROR(INDEX(Mapping!$B$17:$B$22,MATCH($F2911,Mapping!$A$17:$A$22,0)),$F2911)&amp;" "&amp;IF($G2911="Banking","Banking",IFERROR(INDEX(Mapping!$E$17:$E$28,MATCH($J2911,Mapping!$D$17:$D$28,0)),"(unmapped)")))))</f>
        <v/>
      </c>
    </row>
    <row r="2912" spans="11:11" x14ac:dyDescent="0.3">
      <c r="K2912" t="str">
        <f>IF($D2912="","",IFERROR(INDEX(Mapping!$H$3:$H$32,MATCH($B2912,Mapping!$G$3:$G$32,0)),IF(LEFT($F2912,3)="P2P",IFERROR(INDEX(Mapping!$E$3:$E$6,MATCH($G2912,Mapping!$D$3:$D$6,0)),IFERROR(INDEX(Mapping!$B$3:$B$13,MATCH($J2912,Mapping!$A$3:$A$13,0)),"(unmapped)")),IFERROR(INDEX(Mapping!$B$17:$B$22,MATCH($F2912,Mapping!$A$17:$A$22,0)),$F2912)&amp;" "&amp;IF($G2912="Banking","Banking",IFERROR(INDEX(Mapping!$E$17:$E$28,MATCH($J2912,Mapping!$D$17:$D$28,0)),"(unmapped)")))))</f>
        <v/>
      </c>
    </row>
    <row r="2913" spans="11:11" x14ac:dyDescent="0.3">
      <c r="K2913" t="str">
        <f>IF($D2913="","",IFERROR(INDEX(Mapping!$H$3:$H$32,MATCH($B2913,Mapping!$G$3:$G$32,0)),IF(LEFT($F2913,3)="P2P",IFERROR(INDEX(Mapping!$E$3:$E$6,MATCH($G2913,Mapping!$D$3:$D$6,0)),IFERROR(INDEX(Mapping!$B$3:$B$13,MATCH($J2913,Mapping!$A$3:$A$13,0)),"(unmapped)")),IFERROR(INDEX(Mapping!$B$17:$B$22,MATCH($F2913,Mapping!$A$17:$A$22,0)),$F2913)&amp;" "&amp;IF($G2913="Banking","Banking",IFERROR(INDEX(Mapping!$E$17:$E$28,MATCH($J2913,Mapping!$D$17:$D$28,0)),"(unmapped)")))))</f>
        <v/>
      </c>
    </row>
    <row r="2914" spans="11:11" x14ac:dyDescent="0.3">
      <c r="K2914" t="str">
        <f>IF($D2914="","",IFERROR(INDEX(Mapping!$H$3:$H$32,MATCH($B2914,Mapping!$G$3:$G$32,0)),IF(LEFT($F2914,3)="P2P",IFERROR(INDEX(Mapping!$E$3:$E$6,MATCH($G2914,Mapping!$D$3:$D$6,0)),IFERROR(INDEX(Mapping!$B$3:$B$13,MATCH($J2914,Mapping!$A$3:$A$13,0)),"(unmapped)")),IFERROR(INDEX(Mapping!$B$17:$B$22,MATCH($F2914,Mapping!$A$17:$A$22,0)),$F2914)&amp;" "&amp;IF($G2914="Banking","Banking",IFERROR(INDEX(Mapping!$E$17:$E$28,MATCH($J2914,Mapping!$D$17:$D$28,0)),"(unmapped)")))))</f>
        <v/>
      </c>
    </row>
    <row r="2915" spans="11:11" x14ac:dyDescent="0.3">
      <c r="K2915" t="str">
        <f>IF($D2915="","",IFERROR(INDEX(Mapping!$H$3:$H$32,MATCH($B2915,Mapping!$G$3:$G$32,0)),IF(LEFT($F2915,3)="P2P",IFERROR(INDEX(Mapping!$E$3:$E$6,MATCH($G2915,Mapping!$D$3:$D$6,0)),IFERROR(INDEX(Mapping!$B$3:$B$13,MATCH($J2915,Mapping!$A$3:$A$13,0)),"(unmapped)")),IFERROR(INDEX(Mapping!$B$17:$B$22,MATCH($F2915,Mapping!$A$17:$A$22,0)),$F2915)&amp;" "&amp;IF($G2915="Banking","Banking",IFERROR(INDEX(Mapping!$E$17:$E$28,MATCH($J2915,Mapping!$D$17:$D$28,0)),"(unmapped)")))))</f>
        <v/>
      </c>
    </row>
    <row r="2916" spans="11:11" x14ac:dyDescent="0.3">
      <c r="K2916" t="str">
        <f>IF($D2916="","",IFERROR(INDEX(Mapping!$H$3:$H$32,MATCH($B2916,Mapping!$G$3:$G$32,0)),IF(LEFT($F2916,3)="P2P",IFERROR(INDEX(Mapping!$E$3:$E$6,MATCH($G2916,Mapping!$D$3:$D$6,0)),IFERROR(INDEX(Mapping!$B$3:$B$13,MATCH($J2916,Mapping!$A$3:$A$13,0)),"(unmapped)")),IFERROR(INDEX(Mapping!$B$17:$B$22,MATCH($F2916,Mapping!$A$17:$A$22,0)),$F2916)&amp;" "&amp;IF($G2916="Banking","Banking",IFERROR(INDEX(Mapping!$E$17:$E$28,MATCH($J2916,Mapping!$D$17:$D$28,0)),"(unmapped)")))))</f>
        <v/>
      </c>
    </row>
    <row r="2917" spans="11:11" x14ac:dyDescent="0.3">
      <c r="K2917" t="str">
        <f>IF($D2917="","",IFERROR(INDEX(Mapping!$H$3:$H$32,MATCH($B2917,Mapping!$G$3:$G$32,0)),IF(LEFT($F2917,3)="P2P",IFERROR(INDEX(Mapping!$E$3:$E$6,MATCH($G2917,Mapping!$D$3:$D$6,0)),IFERROR(INDEX(Mapping!$B$3:$B$13,MATCH($J2917,Mapping!$A$3:$A$13,0)),"(unmapped)")),IFERROR(INDEX(Mapping!$B$17:$B$22,MATCH($F2917,Mapping!$A$17:$A$22,0)),$F2917)&amp;" "&amp;IF($G2917="Banking","Banking",IFERROR(INDEX(Mapping!$E$17:$E$28,MATCH($J2917,Mapping!$D$17:$D$28,0)),"(unmapped)")))))</f>
        <v/>
      </c>
    </row>
    <row r="2918" spans="11:11" x14ac:dyDescent="0.3">
      <c r="K2918" t="str">
        <f>IF($D2918="","",IFERROR(INDEX(Mapping!$H$3:$H$32,MATCH($B2918,Mapping!$G$3:$G$32,0)),IF(LEFT($F2918,3)="P2P",IFERROR(INDEX(Mapping!$E$3:$E$6,MATCH($G2918,Mapping!$D$3:$D$6,0)),IFERROR(INDEX(Mapping!$B$3:$B$13,MATCH($J2918,Mapping!$A$3:$A$13,0)),"(unmapped)")),IFERROR(INDEX(Mapping!$B$17:$B$22,MATCH($F2918,Mapping!$A$17:$A$22,0)),$F2918)&amp;" "&amp;IF($G2918="Banking","Banking",IFERROR(INDEX(Mapping!$E$17:$E$28,MATCH($J2918,Mapping!$D$17:$D$28,0)),"(unmapped)")))))</f>
        <v/>
      </c>
    </row>
    <row r="2919" spans="11:11" x14ac:dyDescent="0.3">
      <c r="K2919" t="str">
        <f>IF($D2919="","",IFERROR(INDEX(Mapping!$H$3:$H$32,MATCH($B2919,Mapping!$G$3:$G$32,0)),IF(LEFT($F2919,3)="P2P",IFERROR(INDEX(Mapping!$E$3:$E$6,MATCH($G2919,Mapping!$D$3:$D$6,0)),IFERROR(INDEX(Mapping!$B$3:$B$13,MATCH($J2919,Mapping!$A$3:$A$13,0)),"(unmapped)")),IFERROR(INDEX(Mapping!$B$17:$B$22,MATCH($F2919,Mapping!$A$17:$A$22,0)),$F2919)&amp;" "&amp;IF($G2919="Banking","Banking",IFERROR(INDEX(Mapping!$E$17:$E$28,MATCH($J2919,Mapping!$D$17:$D$28,0)),"(unmapped)")))))</f>
        <v/>
      </c>
    </row>
    <row r="2920" spans="11:11" x14ac:dyDescent="0.3">
      <c r="K2920" t="str">
        <f>IF($D2920="","",IFERROR(INDEX(Mapping!$H$3:$H$32,MATCH($B2920,Mapping!$G$3:$G$32,0)),IF(LEFT($F2920,3)="P2P",IFERROR(INDEX(Mapping!$E$3:$E$6,MATCH($G2920,Mapping!$D$3:$D$6,0)),IFERROR(INDEX(Mapping!$B$3:$B$13,MATCH($J2920,Mapping!$A$3:$A$13,0)),"(unmapped)")),IFERROR(INDEX(Mapping!$B$17:$B$22,MATCH($F2920,Mapping!$A$17:$A$22,0)),$F2920)&amp;" "&amp;IF($G2920="Banking","Banking",IFERROR(INDEX(Mapping!$E$17:$E$28,MATCH($J2920,Mapping!$D$17:$D$28,0)),"(unmapped)")))))</f>
        <v/>
      </c>
    </row>
    <row r="2921" spans="11:11" x14ac:dyDescent="0.3">
      <c r="K2921" t="str">
        <f>IF($D2921="","",IFERROR(INDEX(Mapping!$H$3:$H$32,MATCH($B2921,Mapping!$G$3:$G$32,0)),IF(LEFT($F2921,3)="P2P",IFERROR(INDEX(Mapping!$E$3:$E$6,MATCH($G2921,Mapping!$D$3:$D$6,0)),IFERROR(INDEX(Mapping!$B$3:$B$13,MATCH($J2921,Mapping!$A$3:$A$13,0)),"(unmapped)")),IFERROR(INDEX(Mapping!$B$17:$B$22,MATCH($F2921,Mapping!$A$17:$A$22,0)),$F2921)&amp;" "&amp;IF($G2921="Banking","Banking",IFERROR(INDEX(Mapping!$E$17:$E$28,MATCH($J2921,Mapping!$D$17:$D$28,0)),"(unmapped)")))))</f>
        <v/>
      </c>
    </row>
    <row r="2922" spans="11:11" x14ac:dyDescent="0.3">
      <c r="K2922" t="str">
        <f>IF($D2922="","",IFERROR(INDEX(Mapping!$H$3:$H$32,MATCH($B2922,Mapping!$G$3:$G$32,0)),IF(LEFT($F2922,3)="P2P",IFERROR(INDEX(Mapping!$E$3:$E$6,MATCH($G2922,Mapping!$D$3:$D$6,0)),IFERROR(INDEX(Mapping!$B$3:$B$13,MATCH($J2922,Mapping!$A$3:$A$13,0)),"(unmapped)")),IFERROR(INDEX(Mapping!$B$17:$B$22,MATCH($F2922,Mapping!$A$17:$A$22,0)),$F2922)&amp;" "&amp;IF($G2922="Banking","Banking",IFERROR(INDEX(Mapping!$E$17:$E$28,MATCH($J2922,Mapping!$D$17:$D$28,0)),"(unmapped)")))))</f>
        <v/>
      </c>
    </row>
    <row r="2923" spans="11:11" x14ac:dyDescent="0.3">
      <c r="K2923" t="str">
        <f>IF($D2923="","",IFERROR(INDEX(Mapping!$H$3:$H$32,MATCH($B2923,Mapping!$G$3:$G$32,0)),IF(LEFT($F2923,3)="P2P",IFERROR(INDEX(Mapping!$E$3:$E$6,MATCH($G2923,Mapping!$D$3:$D$6,0)),IFERROR(INDEX(Mapping!$B$3:$B$13,MATCH($J2923,Mapping!$A$3:$A$13,0)),"(unmapped)")),IFERROR(INDEX(Mapping!$B$17:$B$22,MATCH($F2923,Mapping!$A$17:$A$22,0)),$F2923)&amp;" "&amp;IF($G2923="Banking","Banking",IFERROR(INDEX(Mapping!$E$17:$E$28,MATCH($J2923,Mapping!$D$17:$D$28,0)),"(unmapped)")))))</f>
        <v/>
      </c>
    </row>
    <row r="2924" spans="11:11" x14ac:dyDescent="0.3">
      <c r="K2924" t="str">
        <f>IF($D2924="","",IFERROR(INDEX(Mapping!$H$3:$H$32,MATCH($B2924,Mapping!$G$3:$G$32,0)),IF(LEFT($F2924,3)="P2P",IFERROR(INDEX(Mapping!$E$3:$E$6,MATCH($G2924,Mapping!$D$3:$D$6,0)),IFERROR(INDEX(Mapping!$B$3:$B$13,MATCH($J2924,Mapping!$A$3:$A$13,0)),"(unmapped)")),IFERROR(INDEX(Mapping!$B$17:$B$22,MATCH($F2924,Mapping!$A$17:$A$22,0)),$F2924)&amp;" "&amp;IF($G2924="Banking","Banking",IFERROR(INDEX(Mapping!$E$17:$E$28,MATCH($J2924,Mapping!$D$17:$D$28,0)),"(unmapped)")))))</f>
        <v/>
      </c>
    </row>
    <row r="2925" spans="11:11" x14ac:dyDescent="0.3">
      <c r="K2925" t="str">
        <f>IF($D2925="","",IFERROR(INDEX(Mapping!$H$3:$H$32,MATCH($B2925,Mapping!$G$3:$G$32,0)),IF(LEFT($F2925,3)="P2P",IFERROR(INDEX(Mapping!$E$3:$E$6,MATCH($G2925,Mapping!$D$3:$D$6,0)),IFERROR(INDEX(Mapping!$B$3:$B$13,MATCH($J2925,Mapping!$A$3:$A$13,0)),"(unmapped)")),IFERROR(INDEX(Mapping!$B$17:$B$22,MATCH($F2925,Mapping!$A$17:$A$22,0)),$F2925)&amp;" "&amp;IF($G2925="Banking","Banking",IFERROR(INDEX(Mapping!$E$17:$E$28,MATCH($J2925,Mapping!$D$17:$D$28,0)),"(unmapped)")))))</f>
        <v/>
      </c>
    </row>
    <row r="2926" spans="11:11" x14ac:dyDescent="0.3">
      <c r="K2926" t="str">
        <f>IF($D2926="","",IFERROR(INDEX(Mapping!$H$3:$H$32,MATCH($B2926,Mapping!$G$3:$G$32,0)),IF(LEFT($F2926,3)="P2P",IFERROR(INDEX(Mapping!$E$3:$E$6,MATCH($G2926,Mapping!$D$3:$D$6,0)),IFERROR(INDEX(Mapping!$B$3:$B$13,MATCH($J2926,Mapping!$A$3:$A$13,0)),"(unmapped)")),IFERROR(INDEX(Mapping!$B$17:$B$22,MATCH($F2926,Mapping!$A$17:$A$22,0)),$F2926)&amp;" "&amp;IF($G2926="Banking","Banking",IFERROR(INDEX(Mapping!$E$17:$E$28,MATCH($J2926,Mapping!$D$17:$D$28,0)),"(unmapped)")))))</f>
        <v/>
      </c>
    </row>
    <row r="2927" spans="11:11" x14ac:dyDescent="0.3">
      <c r="K2927" t="str">
        <f>IF($D2927="","",IFERROR(INDEX(Mapping!$H$3:$H$32,MATCH($B2927,Mapping!$G$3:$G$32,0)),IF(LEFT($F2927,3)="P2P",IFERROR(INDEX(Mapping!$E$3:$E$6,MATCH($G2927,Mapping!$D$3:$D$6,0)),IFERROR(INDEX(Mapping!$B$3:$B$13,MATCH($J2927,Mapping!$A$3:$A$13,0)),"(unmapped)")),IFERROR(INDEX(Mapping!$B$17:$B$22,MATCH($F2927,Mapping!$A$17:$A$22,0)),$F2927)&amp;" "&amp;IF($G2927="Banking","Banking",IFERROR(INDEX(Mapping!$E$17:$E$28,MATCH($J2927,Mapping!$D$17:$D$28,0)),"(unmapped)")))))</f>
        <v/>
      </c>
    </row>
    <row r="2928" spans="11:11" x14ac:dyDescent="0.3">
      <c r="K2928" t="str">
        <f>IF($D2928="","",IFERROR(INDEX(Mapping!$H$3:$H$32,MATCH($B2928,Mapping!$G$3:$G$32,0)),IF(LEFT($F2928,3)="P2P",IFERROR(INDEX(Mapping!$E$3:$E$6,MATCH($G2928,Mapping!$D$3:$D$6,0)),IFERROR(INDEX(Mapping!$B$3:$B$13,MATCH($J2928,Mapping!$A$3:$A$13,0)),"(unmapped)")),IFERROR(INDEX(Mapping!$B$17:$B$22,MATCH($F2928,Mapping!$A$17:$A$22,0)),$F2928)&amp;" "&amp;IF($G2928="Banking","Banking",IFERROR(INDEX(Mapping!$E$17:$E$28,MATCH($J2928,Mapping!$D$17:$D$28,0)),"(unmapped)")))))</f>
        <v/>
      </c>
    </row>
    <row r="2929" spans="11:11" x14ac:dyDescent="0.3">
      <c r="K2929" t="str">
        <f>IF($D2929="","",IFERROR(INDEX(Mapping!$H$3:$H$32,MATCH($B2929,Mapping!$G$3:$G$32,0)),IF(LEFT($F2929,3)="P2P",IFERROR(INDEX(Mapping!$E$3:$E$6,MATCH($G2929,Mapping!$D$3:$D$6,0)),IFERROR(INDEX(Mapping!$B$3:$B$13,MATCH($J2929,Mapping!$A$3:$A$13,0)),"(unmapped)")),IFERROR(INDEX(Mapping!$B$17:$B$22,MATCH($F2929,Mapping!$A$17:$A$22,0)),$F2929)&amp;" "&amp;IF($G2929="Banking","Banking",IFERROR(INDEX(Mapping!$E$17:$E$28,MATCH($J2929,Mapping!$D$17:$D$28,0)),"(unmapped)")))))</f>
        <v/>
      </c>
    </row>
    <row r="2930" spans="11:11" x14ac:dyDescent="0.3">
      <c r="K2930" t="str">
        <f>IF($D2930="","",IFERROR(INDEX(Mapping!$H$3:$H$32,MATCH($B2930,Mapping!$G$3:$G$32,0)),IF(LEFT($F2930,3)="P2P",IFERROR(INDEX(Mapping!$E$3:$E$6,MATCH($G2930,Mapping!$D$3:$D$6,0)),IFERROR(INDEX(Mapping!$B$3:$B$13,MATCH($J2930,Mapping!$A$3:$A$13,0)),"(unmapped)")),IFERROR(INDEX(Mapping!$B$17:$B$22,MATCH($F2930,Mapping!$A$17:$A$22,0)),$F2930)&amp;" "&amp;IF($G2930="Banking","Banking",IFERROR(INDEX(Mapping!$E$17:$E$28,MATCH($J2930,Mapping!$D$17:$D$28,0)),"(unmapped)")))))</f>
        <v/>
      </c>
    </row>
    <row r="2931" spans="11:11" x14ac:dyDescent="0.3">
      <c r="K2931" t="str">
        <f>IF($D2931="","",IFERROR(INDEX(Mapping!$H$3:$H$32,MATCH($B2931,Mapping!$G$3:$G$32,0)),IF(LEFT($F2931,3)="P2P",IFERROR(INDEX(Mapping!$E$3:$E$6,MATCH($G2931,Mapping!$D$3:$D$6,0)),IFERROR(INDEX(Mapping!$B$3:$B$13,MATCH($J2931,Mapping!$A$3:$A$13,0)),"(unmapped)")),IFERROR(INDEX(Mapping!$B$17:$B$22,MATCH($F2931,Mapping!$A$17:$A$22,0)),$F2931)&amp;" "&amp;IF($G2931="Banking","Banking",IFERROR(INDEX(Mapping!$E$17:$E$28,MATCH($J2931,Mapping!$D$17:$D$28,0)),"(unmapped)")))))</f>
        <v/>
      </c>
    </row>
    <row r="2932" spans="11:11" x14ac:dyDescent="0.3">
      <c r="K2932" t="str">
        <f>IF($D2932="","",IFERROR(INDEX(Mapping!$H$3:$H$32,MATCH($B2932,Mapping!$G$3:$G$32,0)),IF(LEFT($F2932,3)="P2P",IFERROR(INDEX(Mapping!$E$3:$E$6,MATCH($G2932,Mapping!$D$3:$D$6,0)),IFERROR(INDEX(Mapping!$B$3:$B$13,MATCH($J2932,Mapping!$A$3:$A$13,0)),"(unmapped)")),IFERROR(INDEX(Mapping!$B$17:$B$22,MATCH($F2932,Mapping!$A$17:$A$22,0)),$F2932)&amp;" "&amp;IF($G2932="Banking","Banking",IFERROR(INDEX(Mapping!$E$17:$E$28,MATCH($J2932,Mapping!$D$17:$D$28,0)),"(unmapped)")))))</f>
        <v/>
      </c>
    </row>
    <row r="2933" spans="11:11" x14ac:dyDescent="0.3">
      <c r="K2933" t="str">
        <f>IF($D2933="","",IFERROR(INDEX(Mapping!$H$3:$H$32,MATCH($B2933,Mapping!$G$3:$G$32,0)),IF(LEFT($F2933,3)="P2P",IFERROR(INDEX(Mapping!$E$3:$E$6,MATCH($G2933,Mapping!$D$3:$D$6,0)),IFERROR(INDEX(Mapping!$B$3:$B$13,MATCH($J2933,Mapping!$A$3:$A$13,0)),"(unmapped)")),IFERROR(INDEX(Mapping!$B$17:$B$22,MATCH($F2933,Mapping!$A$17:$A$22,0)),$F2933)&amp;" "&amp;IF($G2933="Banking","Banking",IFERROR(INDEX(Mapping!$E$17:$E$28,MATCH($J2933,Mapping!$D$17:$D$28,0)),"(unmapped)")))))</f>
        <v/>
      </c>
    </row>
    <row r="2934" spans="11:11" x14ac:dyDescent="0.3">
      <c r="K2934" t="str">
        <f>IF($D2934="","",IFERROR(INDEX(Mapping!$H$3:$H$32,MATCH($B2934,Mapping!$G$3:$G$32,0)),IF(LEFT($F2934,3)="P2P",IFERROR(INDEX(Mapping!$E$3:$E$6,MATCH($G2934,Mapping!$D$3:$D$6,0)),IFERROR(INDEX(Mapping!$B$3:$B$13,MATCH($J2934,Mapping!$A$3:$A$13,0)),"(unmapped)")),IFERROR(INDEX(Mapping!$B$17:$B$22,MATCH($F2934,Mapping!$A$17:$A$22,0)),$F2934)&amp;" "&amp;IF($G2934="Banking","Banking",IFERROR(INDEX(Mapping!$E$17:$E$28,MATCH($J2934,Mapping!$D$17:$D$28,0)),"(unmapped)")))))</f>
        <v/>
      </c>
    </row>
    <row r="2935" spans="11:11" x14ac:dyDescent="0.3">
      <c r="K2935" t="str">
        <f>IF($D2935="","",IFERROR(INDEX(Mapping!$H$3:$H$32,MATCH($B2935,Mapping!$G$3:$G$32,0)),IF(LEFT($F2935,3)="P2P",IFERROR(INDEX(Mapping!$E$3:$E$6,MATCH($G2935,Mapping!$D$3:$D$6,0)),IFERROR(INDEX(Mapping!$B$3:$B$13,MATCH($J2935,Mapping!$A$3:$A$13,0)),"(unmapped)")),IFERROR(INDEX(Mapping!$B$17:$B$22,MATCH($F2935,Mapping!$A$17:$A$22,0)),$F2935)&amp;" "&amp;IF($G2935="Banking","Banking",IFERROR(INDEX(Mapping!$E$17:$E$28,MATCH($J2935,Mapping!$D$17:$D$28,0)),"(unmapped)")))))</f>
        <v/>
      </c>
    </row>
    <row r="2936" spans="11:11" x14ac:dyDescent="0.3">
      <c r="K2936" t="str">
        <f>IF($D2936="","",IFERROR(INDEX(Mapping!$H$3:$H$32,MATCH($B2936,Mapping!$G$3:$G$32,0)),IF(LEFT($F2936,3)="P2P",IFERROR(INDEX(Mapping!$E$3:$E$6,MATCH($G2936,Mapping!$D$3:$D$6,0)),IFERROR(INDEX(Mapping!$B$3:$B$13,MATCH($J2936,Mapping!$A$3:$A$13,0)),"(unmapped)")),IFERROR(INDEX(Mapping!$B$17:$B$22,MATCH($F2936,Mapping!$A$17:$A$22,0)),$F2936)&amp;" "&amp;IF($G2936="Banking","Banking",IFERROR(INDEX(Mapping!$E$17:$E$28,MATCH($J2936,Mapping!$D$17:$D$28,0)),"(unmapped)")))))</f>
        <v/>
      </c>
    </row>
    <row r="2937" spans="11:11" x14ac:dyDescent="0.3">
      <c r="K2937" t="str">
        <f>IF($D2937="","",IFERROR(INDEX(Mapping!$H$3:$H$32,MATCH($B2937,Mapping!$G$3:$G$32,0)),IF(LEFT($F2937,3)="P2P",IFERROR(INDEX(Mapping!$E$3:$E$6,MATCH($G2937,Mapping!$D$3:$D$6,0)),IFERROR(INDEX(Mapping!$B$3:$B$13,MATCH($J2937,Mapping!$A$3:$A$13,0)),"(unmapped)")),IFERROR(INDEX(Mapping!$B$17:$B$22,MATCH($F2937,Mapping!$A$17:$A$22,0)),$F2937)&amp;" "&amp;IF($G2937="Banking","Banking",IFERROR(INDEX(Mapping!$E$17:$E$28,MATCH($J2937,Mapping!$D$17:$D$28,0)),"(unmapped)")))))</f>
        <v/>
      </c>
    </row>
    <row r="2938" spans="11:11" x14ac:dyDescent="0.3">
      <c r="K2938" t="str">
        <f>IF($D2938="","",IFERROR(INDEX(Mapping!$H$3:$H$32,MATCH($B2938,Mapping!$G$3:$G$32,0)),IF(LEFT($F2938,3)="P2P",IFERROR(INDEX(Mapping!$E$3:$E$6,MATCH($G2938,Mapping!$D$3:$D$6,0)),IFERROR(INDEX(Mapping!$B$3:$B$13,MATCH($J2938,Mapping!$A$3:$A$13,0)),"(unmapped)")),IFERROR(INDEX(Mapping!$B$17:$B$22,MATCH($F2938,Mapping!$A$17:$A$22,0)),$F2938)&amp;" "&amp;IF($G2938="Banking","Banking",IFERROR(INDEX(Mapping!$E$17:$E$28,MATCH($J2938,Mapping!$D$17:$D$28,0)),"(unmapped)")))))</f>
        <v/>
      </c>
    </row>
    <row r="2939" spans="11:11" x14ac:dyDescent="0.3">
      <c r="K2939" t="str">
        <f>IF($D2939="","",IFERROR(INDEX(Mapping!$H$3:$H$32,MATCH($B2939,Mapping!$G$3:$G$32,0)),IF(LEFT($F2939,3)="P2P",IFERROR(INDEX(Mapping!$E$3:$E$6,MATCH($G2939,Mapping!$D$3:$D$6,0)),IFERROR(INDEX(Mapping!$B$3:$B$13,MATCH($J2939,Mapping!$A$3:$A$13,0)),"(unmapped)")),IFERROR(INDEX(Mapping!$B$17:$B$22,MATCH($F2939,Mapping!$A$17:$A$22,0)),$F2939)&amp;" "&amp;IF($G2939="Banking","Banking",IFERROR(INDEX(Mapping!$E$17:$E$28,MATCH($J2939,Mapping!$D$17:$D$28,0)),"(unmapped)")))))</f>
        <v/>
      </c>
    </row>
    <row r="2940" spans="11:11" x14ac:dyDescent="0.3">
      <c r="K2940" t="str">
        <f>IF($D2940="","",IFERROR(INDEX(Mapping!$H$3:$H$32,MATCH($B2940,Mapping!$G$3:$G$32,0)),IF(LEFT($F2940,3)="P2P",IFERROR(INDEX(Mapping!$E$3:$E$6,MATCH($G2940,Mapping!$D$3:$D$6,0)),IFERROR(INDEX(Mapping!$B$3:$B$13,MATCH($J2940,Mapping!$A$3:$A$13,0)),"(unmapped)")),IFERROR(INDEX(Mapping!$B$17:$B$22,MATCH($F2940,Mapping!$A$17:$A$22,0)),$F2940)&amp;" "&amp;IF($G2940="Banking","Banking",IFERROR(INDEX(Mapping!$E$17:$E$28,MATCH($J2940,Mapping!$D$17:$D$28,0)),"(unmapped)")))))</f>
        <v/>
      </c>
    </row>
    <row r="2941" spans="11:11" x14ac:dyDescent="0.3">
      <c r="K2941" t="str">
        <f>IF($D2941="","",IFERROR(INDEX(Mapping!$H$3:$H$32,MATCH($B2941,Mapping!$G$3:$G$32,0)),IF(LEFT($F2941,3)="P2P",IFERROR(INDEX(Mapping!$E$3:$E$6,MATCH($G2941,Mapping!$D$3:$D$6,0)),IFERROR(INDEX(Mapping!$B$3:$B$13,MATCH($J2941,Mapping!$A$3:$A$13,0)),"(unmapped)")),IFERROR(INDEX(Mapping!$B$17:$B$22,MATCH($F2941,Mapping!$A$17:$A$22,0)),$F2941)&amp;" "&amp;IF($G2941="Banking","Banking",IFERROR(INDEX(Mapping!$E$17:$E$28,MATCH($J2941,Mapping!$D$17:$D$28,0)),"(unmapped)")))))</f>
        <v/>
      </c>
    </row>
    <row r="2942" spans="11:11" x14ac:dyDescent="0.3">
      <c r="K2942" t="str">
        <f>IF($D2942="","",IFERROR(INDEX(Mapping!$H$3:$H$32,MATCH($B2942,Mapping!$G$3:$G$32,0)),IF(LEFT($F2942,3)="P2P",IFERROR(INDEX(Mapping!$E$3:$E$6,MATCH($G2942,Mapping!$D$3:$D$6,0)),IFERROR(INDEX(Mapping!$B$3:$B$13,MATCH($J2942,Mapping!$A$3:$A$13,0)),"(unmapped)")),IFERROR(INDEX(Mapping!$B$17:$B$22,MATCH($F2942,Mapping!$A$17:$A$22,0)),$F2942)&amp;" "&amp;IF($G2942="Banking","Banking",IFERROR(INDEX(Mapping!$E$17:$E$28,MATCH($J2942,Mapping!$D$17:$D$28,0)),"(unmapped)")))))</f>
        <v/>
      </c>
    </row>
    <row r="2943" spans="11:11" x14ac:dyDescent="0.3">
      <c r="K2943" t="str">
        <f>IF($D2943="","",IFERROR(INDEX(Mapping!$H$3:$H$32,MATCH($B2943,Mapping!$G$3:$G$32,0)),IF(LEFT($F2943,3)="P2P",IFERROR(INDEX(Mapping!$E$3:$E$6,MATCH($G2943,Mapping!$D$3:$D$6,0)),IFERROR(INDEX(Mapping!$B$3:$B$13,MATCH($J2943,Mapping!$A$3:$A$13,0)),"(unmapped)")),IFERROR(INDEX(Mapping!$B$17:$B$22,MATCH($F2943,Mapping!$A$17:$A$22,0)),$F2943)&amp;" "&amp;IF($G2943="Banking","Banking",IFERROR(INDEX(Mapping!$E$17:$E$28,MATCH($J2943,Mapping!$D$17:$D$28,0)),"(unmapped)")))))</f>
        <v/>
      </c>
    </row>
    <row r="2944" spans="11:11" x14ac:dyDescent="0.3">
      <c r="K2944" t="str">
        <f>IF($D2944="","",IFERROR(INDEX(Mapping!$H$3:$H$32,MATCH($B2944,Mapping!$G$3:$G$32,0)),IF(LEFT($F2944,3)="P2P",IFERROR(INDEX(Mapping!$E$3:$E$6,MATCH($G2944,Mapping!$D$3:$D$6,0)),IFERROR(INDEX(Mapping!$B$3:$B$13,MATCH($J2944,Mapping!$A$3:$A$13,0)),"(unmapped)")),IFERROR(INDEX(Mapping!$B$17:$B$22,MATCH($F2944,Mapping!$A$17:$A$22,0)),$F2944)&amp;" "&amp;IF($G2944="Banking","Banking",IFERROR(INDEX(Mapping!$E$17:$E$28,MATCH($J2944,Mapping!$D$17:$D$28,0)),"(unmapped)")))))</f>
        <v/>
      </c>
    </row>
    <row r="2945" spans="11:11" x14ac:dyDescent="0.3">
      <c r="K2945" t="str">
        <f>IF($D2945="","",IFERROR(INDEX(Mapping!$H$3:$H$32,MATCH($B2945,Mapping!$G$3:$G$32,0)),IF(LEFT($F2945,3)="P2P",IFERROR(INDEX(Mapping!$E$3:$E$6,MATCH($G2945,Mapping!$D$3:$D$6,0)),IFERROR(INDEX(Mapping!$B$3:$B$13,MATCH($J2945,Mapping!$A$3:$A$13,0)),"(unmapped)")),IFERROR(INDEX(Mapping!$B$17:$B$22,MATCH($F2945,Mapping!$A$17:$A$22,0)),$F2945)&amp;" "&amp;IF($G2945="Banking","Banking",IFERROR(INDEX(Mapping!$E$17:$E$28,MATCH($J2945,Mapping!$D$17:$D$28,0)),"(unmapped)")))))</f>
        <v/>
      </c>
    </row>
    <row r="2946" spans="11:11" x14ac:dyDescent="0.3">
      <c r="K2946" t="str">
        <f>IF($D2946="","",IFERROR(INDEX(Mapping!$H$3:$H$32,MATCH($B2946,Mapping!$G$3:$G$32,0)),IF(LEFT($F2946,3)="P2P",IFERROR(INDEX(Mapping!$E$3:$E$6,MATCH($G2946,Mapping!$D$3:$D$6,0)),IFERROR(INDEX(Mapping!$B$3:$B$13,MATCH($J2946,Mapping!$A$3:$A$13,0)),"(unmapped)")),IFERROR(INDEX(Mapping!$B$17:$B$22,MATCH($F2946,Mapping!$A$17:$A$22,0)),$F2946)&amp;" "&amp;IF($G2946="Banking","Banking",IFERROR(INDEX(Mapping!$E$17:$E$28,MATCH($J2946,Mapping!$D$17:$D$28,0)),"(unmapped)")))))</f>
        <v/>
      </c>
    </row>
    <row r="2947" spans="11:11" x14ac:dyDescent="0.3">
      <c r="K2947" t="str">
        <f>IF($D2947="","",IFERROR(INDEX(Mapping!$H$3:$H$32,MATCH($B2947,Mapping!$G$3:$G$32,0)),IF(LEFT($F2947,3)="P2P",IFERROR(INDEX(Mapping!$E$3:$E$6,MATCH($G2947,Mapping!$D$3:$D$6,0)),IFERROR(INDEX(Mapping!$B$3:$B$13,MATCH($J2947,Mapping!$A$3:$A$13,0)),"(unmapped)")),IFERROR(INDEX(Mapping!$B$17:$B$22,MATCH($F2947,Mapping!$A$17:$A$22,0)),$F2947)&amp;" "&amp;IF($G2947="Banking","Banking",IFERROR(INDEX(Mapping!$E$17:$E$28,MATCH($J2947,Mapping!$D$17:$D$28,0)),"(unmapped)")))))</f>
        <v/>
      </c>
    </row>
    <row r="2948" spans="11:11" x14ac:dyDescent="0.3">
      <c r="K2948" t="str">
        <f>IF($D2948="","",IFERROR(INDEX(Mapping!$H$3:$H$32,MATCH($B2948,Mapping!$G$3:$G$32,0)),IF(LEFT($F2948,3)="P2P",IFERROR(INDEX(Mapping!$E$3:$E$6,MATCH($G2948,Mapping!$D$3:$D$6,0)),IFERROR(INDEX(Mapping!$B$3:$B$13,MATCH($J2948,Mapping!$A$3:$A$13,0)),"(unmapped)")),IFERROR(INDEX(Mapping!$B$17:$B$22,MATCH($F2948,Mapping!$A$17:$A$22,0)),$F2948)&amp;" "&amp;IF($G2948="Banking","Banking",IFERROR(INDEX(Mapping!$E$17:$E$28,MATCH($J2948,Mapping!$D$17:$D$28,0)),"(unmapped)")))))</f>
        <v/>
      </c>
    </row>
    <row r="2949" spans="11:11" x14ac:dyDescent="0.3">
      <c r="K2949" t="str">
        <f>IF($D2949="","",IFERROR(INDEX(Mapping!$H$3:$H$32,MATCH($B2949,Mapping!$G$3:$G$32,0)),IF(LEFT($F2949,3)="P2P",IFERROR(INDEX(Mapping!$E$3:$E$6,MATCH($G2949,Mapping!$D$3:$D$6,0)),IFERROR(INDEX(Mapping!$B$3:$B$13,MATCH($J2949,Mapping!$A$3:$A$13,0)),"(unmapped)")),IFERROR(INDEX(Mapping!$B$17:$B$22,MATCH($F2949,Mapping!$A$17:$A$22,0)),$F2949)&amp;" "&amp;IF($G2949="Banking","Banking",IFERROR(INDEX(Mapping!$E$17:$E$28,MATCH($J2949,Mapping!$D$17:$D$28,0)),"(unmapped)")))))</f>
        <v/>
      </c>
    </row>
    <row r="2950" spans="11:11" x14ac:dyDescent="0.3">
      <c r="K2950" t="str">
        <f>IF($D2950="","",IFERROR(INDEX(Mapping!$H$3:$H$32,MATCH($B2950,Mapping!$G$3:$G$32,0)),IF(LEFT($F2950,3)="P2P",IFERROR(INDEX(Mapping!$E$3:$E$6,MATCH($G2950,Mapping!$D$3:$D$6,0)),IFERROR(INDEX(Mapping!$B$3:$B$13,MATCH($J2950,Mapping!$A$3:$A$13,0)),"(unmapped)")),IFERROR(INDEX(Mapping!$B$17:$B$22,MATCH($F2950,Mapping!$A$17:$A$22,0)),$F2950)&amp;" "&amp;IF($G2950="Banking","Banking",IFERROR(INDEX(Mapping!$E$17:$E$28,MATCH($J2950,Mapping!$D$17:$D$28,0)),"(unmapped)")))))</f>
        <v/>
      </c>
    </row>
    <row r="2951" spans="11:11" x14ac:dyDescent="0.3">
      <c r="K2951" t="str">
        <f>IF($D2951="","",IFERROR(INDEX(Mapping!$H$3:$H$32,MATCH($B2951,Mapping!$G$3:$G$32,0)),IF(LEFT($F2951,3)="P2P",IFERROR(INDEX(Mapping!$E$3:$E$6,MATCH($G2951,Mapping!$D$3:$D$6,0)),IFERROR(INDEX(Mapping!$B$3:$B$13,MATCH($J2951,Mapping!$A$3:$A$13,0)),"(unmapped)")),IFERROR(INDEX(Mapping!$B$17:$B$22,MATCH($F2951,Mapping!$A$17:$A$22,0)),$F2951)&amp;" "&amp;IF($G2951="Banking","Banking",IFERROR(INDEX(Mapping!$E$17:$E$28,MATCH($J2951,Mapping!$D$17:$D$28,0)),"(unmapped)")))))</f>
        <v/>
      </c>
    </row>
    <row r="2952" spans="11:11" x14ac:dyDescent="0.3">
      <c r="K2952" t="str">
        <f>IF($D2952="","",IFERROR(INDEX(Mapping!$H$3:$H$32,MATCH($B2952,Mapping!$G$3:$G$32,0)),IF(LEFT($F2952,3)="P2P",IFERROR(INDEX(Mapping!$E$3:$E$6,MATCH($G2952,Mapping!$D$3:$D$6,0)),IFERROR(INDEX(Mapping!$B$3:$B$13,MATCH($J2952,Mapping!$A$3:$A$13,0)),"(unmapped)")),IFERROR(INDEX(Mapping!$B$17:$B$22,MATCH($F2952,Mapping!$A$17:$A$22,0)),$F2952)&amp;" "&amp;IF($G2952="Banking","Banking",IFERROR(INDEX(Mapping!$E$17:$E$28,MATCH($J2952,Mapping!$D$17:$D$28,0)),"(unmapped)")))))</f>
        <v/>
      </c>
    </row>
    <row r="2953" spans="11:11" x14ac:dyDescent="0.3">
      <c r="K2953" t="str">
        <f>IF($D2953="","",IFERROR(INDEX(Mapping!$H$3:$H$32,MATCH($B2953,Mapping!$G$3:$G$32,0)),IF(LEFT($F2953,3)="P2P",IFERROR(INDEX(Mapping!$E$3:$E$6,MATCH($G2953,Mapping!$D$3:$D$6,0)),IFERROR(INDEX(Mapping!$B$3:$B$13,MATCH($J2953,Mapping!$A$3:$A$13,0)),"(unmapped)")),IFERROR(INDEX(Mapping!$B$17:$B$22,MATCH($F2953,Mapping!$A$17:$A$22,0)),$F2953)&amp;" "&amp;IF($G2953="Banking","Banking",IFERROR(INDEX(Mapping!$E$17:$E$28,MATCH($J2953,Mapping!$D$17:$D$28,0)),"(unmapped)")))))</f>
        <v/>
      </c>
    </row>
    <row r="2954" spans="11:11" x14ac:dyDescent="0.3">
      <c r="K2954" t="str">
        <f>IF($D2954="","",IFERROR(INDEX(Mapping!$H$3:$H$32,MATCH($B2954,Mapping!$G$3:$G$32,0)),IF(LEFT($F2954,3)="P2P",IFERROR(INDEX(Mapping!$E$3:$E$6,MATCH($G2954,Mapping!$D$3:$D$6,0)),IFERROR(INDEX(Mapping!$B$3:$B$13,MATCH($J2954,Mapping!$A$3:$A$13,0)),"(unmapped)")),IFERROR(INDEX(Mapping!$B$17:$B$22,MATCH($F2954,Mapping!$A$17:$A$22,0)),$F2954)&amp;" "&amp;IF($G2954="Banking","Banking",IFERROR(INDEX(Mapping!$E$17:$E$28,MATCH($J2954,Mapping!$D$17:$D$28,0)),"(unmapped)")))))</f>
        <v/>
      </c>
    </row>
    <row r="2955" spans="11:11" x14ac:dyDescent="0.3">
      <c r="K2955" t="str">
        <f>IF($D2955="","",IFERROR(INDEX(Mapping!$H$3:$H$32,MATCH($B2955,Mapping!$G$3:$G$32,0)),IF(LEFT($F2955,3)="P2P",IFERROR(INDEX(Mapping!$E$3:$E$6,MATCH($G2955,Mapping!$D$3:$D$6,0)),IFERROR(INDEX(Mapping!$B$3:$B$13,MATCH($J2955,Mapping!$A$3:$A$13,0)),"(unmapped)")),IFERROR(INDEX(Mapping!$B$17:$B$22,MATCH($F2955,Mapping!$A$17:$A$22,0)),$F2955)&amp;" "&amp;IF($G2955="Banking","Banking",IFERROR(INDEX(Mapping!$E$17:$E$28,MATCH($J2955,Mapping!$D$17:$D$28,0)),"(unmapped)")))))</f>
        <v/>
      </c>
    </row>
    <row r="2956" spans="11:11" x14ac:dyDescent="0.3">
      <c r="K2956" t="str">
        <f>IF($D2956="","",IFERROR(INDEX(Mapping!$H$3:$H$32,MATCH($B2956,Mapping!$G$3:$G$32,0)),IF(LEFT($F2956,3)="P2P",IFERROR(INDEX(Mapping!$E$3:$E$6,MATCH($G2956,Mapping!$D$3:$D$6,0)),IFERROR(INDEX(Mapping!$B$3:$B$13,MATCH($J2956,Mapping!$A$3:$A$13,0)),"(unmapped)")),IFERROR(INDEX(Mapping!$B$17:$B$22,MATCH($F2956,Mapping!$A$17:$A$22,0)),$F2956)&amp;" "&amp;IF($G2956="Banking","Banking",IFERROR(INDEX(Mapping!$E$17:$E$28,MATCH($J2956,Mapping!$D$17:$D$28,0)),"(unmapped)")))))</f>
        <v/>
      </c>
    </row>
    <row r="2957" spans="11:11" x14ac:dyDescent="0.3">
      <c r="K2957" t="str">
        <f>IF($D2957="","",IFERROR(INDEX(Mapping!$H$3:$H$32,MATCH($B2957,Mapping!$G$3:$G$32,0)),IF(LEFT($F2957,3)="P2P",IFERROR(INDEX(Mapping!$E$3:$E$6,MATCH($G2957,Mapping!$D$3:$D$6,0)),IFERROR(INDEX(Mapping!$B$3:$B$13,MATCH($J2957,Mapping!$A$3:$A$13,0)),"(unmapped)")),IFERROR(INDEX(Mapping!$B$17:$B$22,MATCH($F2957,Mapping!$A$17:$A$22,0)),$F2957)&amp;" "&amp;IF($G2957="Banking","Banking",IFERROR(INDEX(Mapping!$E$17:$E$28,MATCH($J2957,Mapping!$D$17:$D$28,0)),"(unmapped)")))))</f>
        <v/>
      </c>
    </row>
    <row r="2958" spans="11:11" x14ac:dyDescent="0.3">
      <c r="K2958" t="str">
        <f>IF($D2958="","",IFERROR(INDEX(Mapping!$H$3:$H$32,MATCH($B2958,Mapping!$G$3:$G$32,0)),IF(LEFT($F2958,3)="P2P",IFERROR(INDEX(Mapping!$E$3:$E$6,MATCH($G2958,Mapping!$D$3:$D$6,0)),IFERROR(INDEX(Mapping!$B$3:$B$13,MATCH($J2958,Mapping!$A$3:$A$13,0)),"(unmapped)")),IFERROR(INDEX(Mapping!$B$17:$B$22,MATCH($F2958,Mapping!$A$17:$A$22,0)),$F2958)&amp;" "&amp;IF($G2958="Banking","Banking",IFERROR(INDEX(Mapping!$E$17:$E$28,MATCH($J2958,Mapping!$D$17:$D$28,0)),"(unmapped)")))))</f>
        <v/>
      </c>
    </row>
    <row r="2959" spans="11:11" x14ac:dyDescent="0.3">
      <c r="K2959" t="str">
        <f>IF($D2959="","",IFERROR(INDEX(Mapping!$H$3:$H$32,MATCH($B2959,Mapping!$G$3:$G$32,0)),IF(LEFT($F2959,3)="P2P",IFERROR(INDEX(Mapping!$E$3:$E$6,MATCH($G2959,Mapping!$D$3:$D$6,0)),IFERROR(INDEX(Mapping!$B$3:$B$13,MATCH($J2959,Mapping!$A$3:$A$13,0)),"(unmapped)")),IFERROR(INDEX(Mapping!$B$17:$B$22,MATCH($F2959,Mapping!$A$17:$A$22,0)),$F2959)&amp;" "&amp;IF($G2959="Banking","Banking",IFERROR(INDEX(Mapping!$E$17:$E$28,MATCH($J2959,Mapping!$D$17:$D$28,0)),"(unmapped)")))))</f>
        <v/>
      </c>
    </row>
    <row r="2960" spans="11:11" x14ac:dyDescent="0.3">
      <c r="K2960" t="str">
        <f>IF($D2960="","",IFERROR(INDEX(Mapping!$H$3:$H$32,MATCH($B2960,Mapping!$G$3:$G$32,0)),IF(LEFT($F2960,3)="P2P",IFERROR(INDEX(Mapping!$E$3:$E$6,MATCH($G2960,Mapping!$D$3:$D$6,0)),IFERROR(INDEX(Mapping!$B$3:$B$13,MATCH($J2960,Mapping!$A$3:$A$13,0)),"(unmapped)")),IFERROR(INDEX(Mapping!$B$17:$B$22,MATCH($F2960,Mapping!$A$17:$A$22,0)),$F2960)&amp;" "&amp;IF($G2960="Banking","Banking",IFERROR(INDEX(Mapping!$E$17:$E$28,MATCH($J2960,Mapping!$D$17:$D$28,0)),"(unmapped)")))))</f>
        <v/>
      </c>
    </row>
    <row r="2961" spans="11:11" x14ac:dyDescent="0.3">
      <c r="K2961" t="str">
        <f>IF($D2961="","",IFERROR(INDEX(Mapping!$H$3:$H$32,MATCH($B2961,Mapping!$G$3:$G$32,0)),IF(LEFT($F2961,3)="P2P",IFERROR(INDEX(Mapping!$E$3:$E$6,MATCH($G2961,Mapping!$D$3:$D$6,0)),IFERROR(INDEX(Mapping!$B$3:$B$13,MATCH($J2961,Mapping!$A$3:$A$13,0)),"(unmapped)")),IFERROR(INDEX(Mapping!$B$17:$B$22,MATCH($F2961,Mapping!$A$17:$A$22,0)),$F2961)&amp;" "&amp;IF($G2961="Banking","Banking",IFERROR(INDEX(Mapping!$E$17:$E$28,MATCH($J2961,Mapping!$D$17:$D$28,0)),"(unmapped)")))))</f>
        <v/>
      </c>
    </row>
    <row r="2962" spans="11:11" x14ac:dyDescent="0.3">
      <c r="K2962" t="str">
        <f>IF($D2962="","",IFERROR(INDEX(Mapping!$H$3:$H$32,MATCH($B2962,Mapping!$G$3:$G$32,0)),IF(LEFT($F2962,3)="P2P",IFERROR(INDEX(Mapping!$E$3:$E$6,MATCH($G2962,Mapping!$D$3:$D$6,0)),IFERROR(INDEX(Mapping!$B$3:$B$13,MATCH($J2962,Mapping!$A$3:$A$13,0)),"(unmapped)")),IFERROR(INDEX(Mapping!$B$17:$B$22,MATCH($F2962,Mapping!$A$17:$A$22,0)),$F2962)&amp;" "&amp;IF($G2962="Banking","Banking",IFERROR(INDEX(Mapping!$E$17:$E$28,MATCH($J2962,Mapping!$D$17:$D$28,0)),"(unmapped)")))))</f>
        <v/>
      </c>
    </row>
    <row r="2963" spans="11:11" x14ac:dyDescent="0.3">
      <c r="K2963" t="str">
        <f>IF($D2963="","",IFERROR(INDEX(Mapping!$H$3:$H$32,MATCH($B2963,Mapping!$G$3:$G$32,0)),IF(LEFT($F2963,3)="P2P",IFERROR(INDEX(Mapping!$E$3:$E$6,MATCH($G2963,Mapping!$D$3:$D$6,0)),IFERROR(INDEX(Mapping!$B$3:$B$13,MATCH($J2963,Mapping!$A$3:$A$13,0)),"(unmapped)")),IFERROR(INDEX(Mapping!$B$17:$B$22,MATCH($F2963,Mapping!$A$17:$A$22,0)),$F2963)&amp;" "&amp;IF($G2963="Banking","Banking",IFERROR(INDEX(Mapping!$E$17:$E$28,MATCH($J2963,Mapping!$D$17:$D$28,0)),"(unmapped)")))))</f>
        <v/>
      </c>
    </row>
    <row r="2964" spans="11:11" x14ac:dyDescent="0.3">
      <c r="K2964" t="str">
        <f>IF($D2964="","",IFERROR(INDEX(Mapping!$H$3:$H$32,MATCH($B2964,Mapping!$G$3:$G$32,0)),IF(LEFT($F2964,3)="P2P",IFERROR(INDEX(Mapping!$E$3:$E$6,MATCH($G2964,Mapping!$D$3:$D$6,0)),IFERROR(INDEX(Mapping!$B$3:$B$13,MATCH($J2964,Mapping!$A$3:$A$13,0)),"(unmapped)")),IFERROR(INDEX(Mapping!$B$17:$B$22,MATCH($F2964,Mapping!$A$17:$A$22,0)),$F2964)&amp;" "&amp;IF($G2964="Banking","Banking",IFERROR(INDEX(Mapping!$E$17:$E$28,MATCH($J2964,Mapping!$D$17:$D$28,0)),"(unmapped)")))))</f>
        <v/>
      </c>
    </row>
    <row r="2965" spans="11:11" x14ac:dyDescent="0.3">
      <c r="K2965" t="str">
        <f>IF($D2965="","",IFERROR(INDEX(Mapping!$H$3:$H$32,MATCH($B2965,Mapping!$G$3:$G$32,0)),IF(LEFT($F2965,3)="P2P",IFERROR(INDEX(Mapping!$E$3:$E$6,MATCH($G2965,Mapping!$D$3:$D$6,0)),IFERROR(INDEX(Mapping!$B$3:$B$13,MATCH($J2965,Mapping!$A$3:$A$13,0)),"(unmapped)")),IFERROR(INDEX(Mapping!$B$17:$B$22,MATCH($F2965,Mapping!$A$17:$A$22,0)),$F2965)&amp;" "&amp;IF($G2965="Banking","Banking",IFERROR(INDEX(Mapping!$E$17:$E$28,MATCH($J2965,Mapping!$D$17:$D$28,0)),"(unmapped)")))))</f>
        <v/>
      </c>
    </row>
    <row r="2966" spans="11:11" x14ac:dyDescent="0.3">
      <c r="K2966" t="str">
        <f>IF($D2966="","",IFERROR(INDEX(Mapping!$H$3:$H$32,MATCH($B2966,Mapping!$G$3:$G$32,0)),IF(LEFT($F2966,3)="P2P",IFERROR(INDEX(Mapping!$E$3:$E$6,MATCH($G2966,Mapping!$D$3:$D$6,0)),IFERROR(INDEX(Mapping!$B$3:$B$13,MATCH($J2966,Mapping!$A$3:$A$13,0)),"(unmapped)")),IFERROR(INDEX(Mapping!$B$17:$B$22,MATCH($F2966,Mapping!$A$17:$A$22,0)),$F2966)&amp;" "&amp;IF($G2966="Banking","Banking",IFERROR(INDEX(Mapping!$E$17:$E$28,MATCH($J2966,Mapping!$D$17:$D$28,0)),"(unmapped)")))))</f>
        <v/>
      </c>
    </row>
    <row r="2967" spans="11:11" x14ac:dyDescent="0.3">
      <c r="K2967" t="str">
        <f>IF($D2967="","",IFERROR(INDEX(Mapping!$H$3:$H$32,MATCH($B2967,Mapping!$G$3:$G$32,0)),IF(LEFT($F2967,3)="P2P",IFERROR(INDEX(Mapping!$E$3:$E$6,MATCH($G2967,Mapping!$D$3:$D$6,0)),IFERROR(INDEX(Mapping!$B$3:$B$13,MATCH($J2967,Mapping!$A$3:$A$13,0)),"(unmapped)")),IFERROR(INDEX(Mapping!$B$17:$B$22,MATCH($F2967,Mapping!$A$17:$A$22,0)),$F2967)&amp;" "&amp;IF($G2967="Banking","Banking",IFERROR(INDEX(Mapping!$E$17:$E$28,MATCH($J2967,Mapping!$D$17:$D$28,0)),"(unmapped)")))))</f>
        <v/>
      </c>
    </row>
    <row r="2968" spans="11:11" x14ac:dyDescent="0.3">
      <c r="K2968" t="str">
        <f>IF($D2968="","",IFERROR(INDEX(Mapping!$H$3:$H$32,MATCH($B2968,Mapping!$G$3:$G$32,0)),IF(LEFT($F2968,3)="P2P",IFERROR(INDEX(Mapping!$E$3:$E$6,MATCH($G2968,Mapping!$D$3:$D$6,0)),IFERROR(INDEX(Mapping!$B$3:$B$13,MATCH($J2968,Mapping!$A$3:$A$13,0)),"(unmapped)")),IFERROR(INDEX(Mapping!$B$17:$B$22,MATCH($F2968,Mapping!$A$17:$A$22,0)),$F2968)&amp;" "&amp;IF($G2968="Banking","Banking",IFERROR(INDEX(Mapping!$E$17:$E$28,MATCH($J2968,Mapping!$D$17:$D$28,0)),"(unmapped)")))))</f>
        <v/>
      </c>
    </row>
    <row r="2969" spans="11:11" x14ac:dyDescent="0.3">
      <c r="K2969" t="str">
        <f>IF($D2969="","",IFERROR(INDEX(Mapping!$H$3:$H$32,MATCH($B2969,Mapping!$G$3:$G$32,0)),IF(LEFT($F2969,3)="P2P",IFERROR(INDEX(Mapping!$E$3:$E$6,MATCH($G2969,Mapping!$D$3:$D$6,0)),IFERROR(INDEX(Mapping!$B$3:$B$13,MATCH($J2969,Mapping!$A$3:$A$13,0)),"(unmapped)")),IFERROR(INDEX(Mapping!$B$17:$B$22,MATCH($F2969,Mapping!$A$17:$A$22,0)),$F2969)&amp;" "&amp;IF($G2969="Banking","Banking",IFERROR(INDEX(Mapping!$E$17:$E$28,MATCH($J2969,Mapping!$D$17:$D$28,0)),"(unmapped)")))))</f>
        <v/>
      </c>
    </row>
    <row r="2970" spans="11:11" x14ac:dyDescent="0.3">
      <c r="K2970" t="str">
        <f>IF($D2970="","",IFERROR(INDEX(Mapping!$H$3:$H$32,MATCH($B2970,Mapping!$G$3:$G$32,0)),IF(LEFT($F2970,3)="P2P",IFERROR(INDEX(Mapping!$E$3:$E$6,MATCH($G2970,Mapping!$D$3:$D$6,0)),IFERROR(INDEX(Mapping!$B$3:$B$13,MATCH($J2970,Mapping!$A$3:$A$13,0)),"(unmapped)")),IFERROR(INDEX(Mapping!$B$17:$B$22,MATCH($F2970,Mapping!$A$17:$A$22,0)),$F2970)&amp;" "&amp;IF($G2970="Banking","Banking",IFERROR(INDEX(Mapping!$E$17:$E$28,MATCH($J2970,Mapping!$D$17:$D$28,0)),"(unmapped)")))))</f>
        <v/>
      </c>
    </row>
    <row r="2971" spans="11:11" x14ac:dyDescent="0.3">
      <c r="K2971" t="str">
        <f>IF($D2971="","",IFERROR(INDEX(Mapping!$H$3:$H$32,MATCH($B2971,Mapping!$G$3:$G$32,0)),IF(LEFT($F2971,3)="P2P",IFERROR(INDEX(Mapping!$E$3:$E$6,MATCH($G2971,Mapping!$D$3:$D$6,0)),IFERROR(INDEX(Mapping!$B$3:$B$13,MATCH($J2971,Mapping!$A$3:$A$13,0)),"(unmapped)")),IFERROR(INDEX(Mapping!$B$17:$B$22,MATCH($F2971,Mapping!$A$17:$A$22,0)),$F2971)&amp;" "&amp;IF($G2971="Banking","Banking",IFERROR(INDEX(Mapping!$E$17:$E$28,MATCH($J2971,Mapping!$D$17:$D$28,0)),"(unmapped)")))))</f>
        <v/>
      </c>
    </row>
    <row r="2972" spans="11:11" x14ac:dyDescent="0.3">
      <c r="K2972" t="str">
        <f>IF($D2972="","",IFERROR(INDEX(Mapping!$H$3:$H$32,MATCH($B2972,Mapping!$G$3:$G$32,0)),IF(LEFT($F2972,3)="P2P",IFERROR(INDEX(Mapping!$E$3:$E$6,MATCH($G2972,Mapping!$D$3:$D$6,0)),IFERROR(INDEX(Mapping!$B$3:$B$13,MATCH($J2972,Mapping!$A$3:$A$13,0)),"(unmapped)")),IFERROR(INDEX(Mapping!$B$17:$B$22,MATCH($F2972,Mapping!$A$17:$A$22,0)),$F2972)&amp;" "&amp;IF($G2972="Banking","Banking",IFERROR(INDEX(Mapping!$E$17:$E$28,MATCH($J2972,Mapping!$D$17:$D$28,0)),"(unmapped)")))))</f>
        <v/>
      </c>
    </row>
    <row r="2973" spans="11:11" x14ac:dyDescent="0.3">
      <c r="K2973" t="str">
        <f>IF($D2973="","",IFERROR(INDEX(Mapping!$H$3:$H$32,MATCH($B2973,Mapping!$G$3:$G$32,0)),IF(LEFT($F2973,3)="P2P",IFERROR(INDEX(Mapping!$E$3:$E$6,MATCH($G2973,Mapping!$D$3:$D$6,0)),IFERROR(INDEX(Mapping!$B$3:$B$13,MATCH($J2973,Mapping!$A$3:$A$13,0)),"(unmapped)")),IFERROR(INDEX(Mapping!$B$17:$B$22,MATCH($F2973,Mapping!$A$17:$A$22,0)),$F2973)&amp;" "&amp;IF($G2973="Banking","Banking",IFERROR(INDEX(Mapping!$E$17:$E$28,MATCH($J2973,Mapping!$D$17:$D$28,0)),"(unmapped)")))))</f>
        <v/>
      </c>
    </row>
    <row r="2974" spans="11:11" x14ac:dyDescent="0.3">
      <c r="K2974" t="str">
        <f>IF($D2974="","",IFERROR(INDEX(Mapping!$H$3:$H$32,MATCH($B2974,Mapping!$G$3:$G$32,0)),IF(LEFT($F2974,3)="P2P",IFERROR(INDEX(Mapping!$E$3:$E$6,MATCH($G2974,Mapping!$D$3:$D$6,0)),IFERROR(INDEX(Mapping!$B$3:$B$13,MATCH($J2974,Mapping!$A$3:$A$13,0)),"(unmapped)")),IFERROR(INDEX(Mapping!$B$17:$B$22,MATCH($F2974,Mapping!$A$17:$A$22,0)),$F2974)&amp;" "&amp;IF($G2974="Banking","Banking",IFERROR(INDEX(Mapping!$E$17:$E$28,MATCH($J2974,Mapping!$D$17:$D$28,0)),"(unmapped)")))))</f>
        <v/>
      </c>
    </row>
    <row r="2975" spans="11:11" x14ac:dyDescent="0.3">
      <c r="K2975" t="str">
        <f>IF($D2975="","",IFERROR(INDEX(Mapping!$H$3:$H$32,MATCH($B2975,Mapping!$G$3:$G$32,0)),IF(LEFT($F2975,3)="P2P",IFERROR(INDEX(Mapping!$E$3:$E$6,MATCH($G2975,Mapping!$D$3:$D$6,0)),IFERROR(INDEX(Mapping!$B$3:$B$13,MATCH($J2975,Mapping!$A$3:$A$13,0)),"(unmapped)")),IFERROR(INDEX(Mapping!$B$17:$B$22,MATCH($F2975,Mapping!$A$17:$A$22,0)),$F2975)&amp;" "&amp;IF($G2975="Banking","Banking",IFERROR(INDEX(Mapping!$E$17:$E$28,MATCH($J2975,Mapping!$D$17:$D$28,0)),"(unmapped)")))))</f>
        <v/>
      </c>
    </row>
    <row r="2976" spans="11:11" x14ac:dyDescent="0.3">
      <c r="K2976" t="str">
        <f>IF($D2976="","",IFERROR(INDEX(Mapping!$H$3:$H$32,MATCH($B2976,Mapping!$G$3:$G$32,0)),IF(LEFT($F2976,3)="P2P",IFERROR(INDEX(Mapping!$E$3:$E$6,MATCH($G2976,Mapping!$D$3:$D$6,0)),IFERROR(INDEX(Mapping!$B$3:$B$13,MATCH($J2976,Mapping!$A$3:$A$13,0)),"(unmapped)")),IFERROR(INDEX(Mapping!$B$17:$B$22,MATCH($F2976,Mapping!$A$17:$A$22,0)),$F2976)&amp;" "&amp;IF($G2976="Banking","Banking",IFERROR(INDEX(Mapping!$E$17:$E$28,MATCH($J2976,Mapping!$D$17:$D$28,0)),"(unmapped)")))))</f>
        <v/>
      </c>
    </row>
    <row r="2977" spans="11:11" x14ac:dyDescent="0.3">
      <c r="K2977" t="str">
        <f>IF($D2977="","",IFERROR(INDEX(Mapping!$H$3:$H$32,MATCH($B2977,Mapping!$G$3:$G$32,0)),IF(LEFT($F2977,3)="P2P",IFERROR(INDEX(Mapping!$E$3:$E$6,MATCH($G2977,Mapping!$D$3:$D$6,0)),IFERROR(INDEX(Mapping!$B$3:$B$13,MATCH($J2977,Mapping!$A$3:$A$13,0)),"(unmapped)")),IFERROR(INDEX(Mapping!$B$17:$B$22,MATCH($F2977,Mapping!$A$17:$A$22,0)),$F2977)&amp;" "&amp;IF($G2977="Banking","Banking",IFERROR(INDEX(Mapping!$E$17:$E$28,MATCH($J2977,Mapping!$D$17:$D$28,0)),"(unmapped)")))))</f>
        <v/>
      </c>
    </row>
    <row r="2978" spans="11:11" x14ac:dyDescent="0.3">
      <c r="K2978" t="str">
        <f>IF($D2978="","",IFERROR(INDEX(Mapping!$H$3:$H$32,MATCH($B2978,Mapping!$G$3:$G$32,0)),IF(LEFT($F2978,3)="P2P",IFERROR(INDEX(Mapping!$E$3:$E$6,MATCH($G2978,Mapping!$D$3:$D$6,0)),IFERROR(INDEX(Mapping!$B$3:$B$13,MATCH($J2978,Mapping!$A$3:$A$13,0)),"(unmapped)")),IFERROR(INDEX(Mapping!$B$17:$B$22,MATCH($F2978,Mapping!$A$17:$A$22,0)),$F2978)&amp;" "&amp;IF($G2978="Banking","Banking",IFERROR(INDEX(Mapping!$E$17:$E$28,MATCH($J2978,Mapping!$D$17:$D$28,0)),"(unmapped)")))))</f>
        <v/>
      </c>
    </row>
    <row r="2979" spans="11:11" x14ac:dyDescent="0.3">
      <c r="K2979" t="str">
        <f>IF($D2979="","",IFERROR(INDEX(Mapping!$H$3:$H$32,MATCH($B2979,Mapping!$G$3:$G$32,0)),IF(LEFT($F2979,3)="P2P",IFERROR(INDEX(Mapping!$E$3:$E$6,MATCH($G2979,Mapping!$D$3:$D$6,0)),IFERROR(INDEX(Mapping!$B$3:$B$13,MATCH($J2979,Mapping!$A$3:$A$13,0)),"(unmapped)")),IFERROR(INDEX(Mapping!$B$17:$B$22,MATCH($F2979,Mapping!$A$17:$A$22,0)),$F2979)&amp;" "&amp;IF($G2979="Banking","Banking",IFERROR(INDEX(Mapping!$E$17:$E$28,MATCH($J2979,Mapping!$D$17:$D$28,0)),"(unmapped)")))))</f>
        <v/>
      </c>
    </row>
    <row r="2980" spans="11:11" x14ac:dyDescent="0.3">
      <c r="K2980" t="str">
        <f>IF($D2980="","",IFERROR(INDEX(Mapping!$H$3:$H$32,MATCH($B2980,Mapping!$G$3:$G$32,0)),IF(LEFT($F2980,3)="P2P",IFERROR(INDEX(Mapping!$E$3:$E$6,MATCH($G2980,Mapping!$D$3:$D$6,0)),IFERROR(INDEX(Mapping!$B$3:$B$13,MATCH($J2980,Mapping!$A$3:$A$13,0)),"(unmapped)")),IFERROR(INDEX(Mapping!$B$17:$B$22,MATCH($F2980,Mapping!$A$17:$A$22,0)),$F2980)&amp;" "&amp;IF($G2980="Banking","Banking",IFERROR(INDEX(Mapping!$E$17:$E$28,MATCH($J2980,Mapping!$D$17:$D$28,0)),"(unmapped)")))))</f>
        <v/>
      </c>
    </row>
    <row r="2981" spans="11:11" x14ac:dyDescent="0.3">
      <c r="K2981" t="str">
        <f>IF($D2981="","",IFERROR(INDEX(Mapping!$H$3:$H$32,MATCH($B2981,Mapping!$G$3:$G$32,0)),IF(LEFT($F2981,3)="P2P",IFERROR(INDEX(Mapping!$E$3:$E$6,MATCH($G2981,Mapping!$D$3:$D$6,0)),IFERROR(INDEX(Mapping!$B$3:$B$13,MATCH($J2981,Mapping!$A$3:$A$13,0)),"(unmapped)")),IFERROR(INDEX(Mapping!$B$17:$B$22,MATCH($F2981,Mapping!$A$17:$A$22,0)),$F2981)&amp;" "&amp;IF($G2981="Banking","Banking",IFERROR(INDEX(Mapping!$E$17:$E$28,MATCH($J2981,Mapping!$D$17:$D$28,0)),"(unmapped)")))))</f>
        <v/>
      </c>
    </row>
    <row r="2982" spans="11:11" x14ac:dyDescent="0.3">
      <c r="K2982" t="str">
        <f>IF($D2982="","",IFERROR(INDEX(Mapping!$H$3:$H$32,MATCH($B2982,Mapping!$G$3:$G$32,0)),IF(LEFT($F2982,3)="P2P",IFERROR(INDEX(Mapping!$E$3:$E$6,MATCH($G2982,Mapping!$D$3:$D$6,0)),IFERROR(INDEX(Mapping!$B$3:$B$13,MATCH($J2982,Mapping!$A$3:$A$13,0)),"(unmapped)")),IFERROR(INDEX(Mapping!$B$17:$B$22,MATCH($F2982,Mapping!$A$17:$A$22,0)),$F2982)&amp;" "&amp;IF($G2982="Banking","Banking",IFERROR(INDEX(Mapping!$E$17:$E$28,MATCH($J2982,Mapping!$D$17:$D$28,0)),"(unmapped)")))))</f>
        <v/>
      </c>
    </row>
    <row r="2983" spans="11:11" x14ac:dyDescent="0.3">
      <c r="K2983" t="str">
        <f>IF($D2983="","",IFERROR(INDEX(Mapping!$H$3:$H$32,MATCH($B2983,Mapping!$G$3:$G$32,0)),IF(LEFT($F2983,3)="P2P",IFERROR(INDEX(Mapping!$E$3:$E$6,MATCH($G2983,Mapping!$D$3:$D$6,0)),IFERROR(INDEX(Mapping!$B$3:$B$13,MATCH($J2983,Mapping!$A$3:$A$13,0)),"(unmapped)")),IFERROR(INDEX(Mapping!$B$17:$B$22,MATCH($F2983,Mapping!$A$17:$A$22,0)),$F2983)&amp;" "&amp;IF($G2983="Banking","Banking",IFERROR(INDEX(Mapping!$E$17:$E$28,MATCH($J2983,Mapping!$D$17:$D$28,0)),"(unmapped)")))))</f>
        <v/>
      </c>
    </row>
    <row r="2984" spans="11:11" x14ac:dyDescent="0.3">
      <c r="K2984" t="str">
        <f>IF($D2984="","",IFERROR(INDEX(Mapping!$H$3:$H$32,MATCH($B2984,Mapping!$G$3:$G$32,0)),IF(LEFT($F2984,3)="P2P",IFERROR(INDEX(Mapping!$E$3:$E$6,MATCH($G2984,Mapping!$D$3:$D$6,0)),IFERROR(INDEX(Mapping!$B$3:$B$13,MATCH($J2984,Mapping!$A$3:$A$13,0)),"(unmapped)")),IFERROR(INDEX(Mapping!$B$17:$B$22,MATCH($F2984,Mapping!$A$17:$A$22,0)),$F2984)&amp;" "&amp;IF($G2984="Banking","Banking",IFERROR(INDEX(Mapping!$E$17:$E$28,MATCH($J2984,Mapping!$D$17:$D$28,0)),"(unmapped)")))))</f>
        <v/>
      </c>
    </row>
    <row r="2985" spans="11:11" x14ac:dyDescent="0.3">
      <c r="K2985" t="str">
        <f>IF($D2985="","",IFERROR(INDEX(Mapping!$H$3:$H$32,MATCH($B2985,Mapping!$G$3:$G$32,0)),IF(LEFT($F2985,3)="P2P",IFERROR(INDEX(Mapping!$E$3:$E$6,MATCH($G2985,Mapping!$D$3:$D$6,0)),IFERROR(INDEX(Mapping!$B$3:$B$13,MATCH($J2985,Mapping!$A$3:$A$13,0)),"(unmapped)")),IFERROR(INDEX(Mapping!$B$17:$B$22,MATCH($F2985,Mapping!$A$17:$A$22,0)),$F2985)&amp;" "&amp;IF($G2985="Banking","Banking",IFERROR(INDEX(Mapping!$E$17:$E$28,MATCH($J2985,Mapping!$D$17:$D$28,0)),"(unmapped)")))))</f>
        <v/>
      </c>
    </row>
    <row r="2986" spans="11:11" x14ac:dyDescent="0.3">
      <c r="K2986" t="str">
        <f>IF($D2986="","",IFERROR(INDEX(Mapping!$H$3:$H$32,MATCH($B2986,Mapping!$G$3:$G$32,0)),IF(LEFT($F2986,3)="P2P",IFERROR(INDEX(Mapping!$E$3:$E$6,MATCH($G2986,Mapping!$D$3:$D$6,0)),IFERROR(INDEX(Mapping!$B$3:$B$13,MATCH($J2986,Mapping!$A$3:$A$13,0)),"(unmapped)")),IFERROR(INDEX(Mapping!$B$17:$B$22,MATCH($F2986,Mapping!$A$17:$A$22,0)),$F2986)&amp;" "&amp;IF($G2986="Banking","Banking",IFERROR(INDEX(Mapping!$E$17:$E$28,MATCH($J2986,Mapping!$D$17:$D$28,0)),"(unmapped)")))))</f>
        <v/>
      </c>
    </row>
    <row r="2987" spans="11:11" x14ac:dyDescent="0.3">
      <c r="K2987" t="str">
        <f>IF($D2987="","",IFERROR(INDEX(Mapping!$H$3:$H$32,MATCH($B2987,Mapping!$G$3:$G$32,0)),IF(LEFT($F2987,3)="P2P",IFERROR(INDEX(Mapping!$E$3:$E$6,MATCH($G2987,Mapping!$D$3:$D$6,0)),IFERROR(INDEX(Mapping!$B$3:$B$13,MATCH($J2987,Mapping!$A$3:$A$13,0)),"(unmapped)")),IFERROR(INDEX(Mapping!$B$17:$B$22,MATCH($F2987,Mapping!$A$17:$A$22,0)),$F2987)&amp;" "&amp;IF($G2987="Banking","Banking",IFERROR(INDEX(Mapping!$E$17:$E$28,MATCH($J2987,Mapping!$D$17:$D$28,0)),"(unmapped)")))))</f>
        <v/>
      </c>
    </row>
    <row r="2988" spans="11:11" x14ac:dyDescent="0.3">
      <c r="K2988" t="str">
        <f>IF($D2988="","",IFERROR(INDEX(Mapping!$H$3:$H$32,MATCH($B2988,Mapping!$G$3:$G$32,0)),IF(LEFT($F2988,3)="P2P",IFERROR(INDEX(Mapping!$E$3:$E$6,MATCH($G2988,Mapping!$D$3:$D$6,0)),IFERROR(INDEX(Mapping!$B$3:$B$13,MATCH($J2988,Mapping!$A$3:$A$13,0)),"(unmapped)")),IFERROR(INDEX(Mapping!$B$17:$B$22,MATCH($F2988,Mapping!$A$17:$A$22,0)),$F2988)&amp;" "&amp;IF($G2988="Banking","Banking",IFERROR(INDEX(Mapping!$E$17:$E$28,MATCH($J2988,Mapping!$D$17:$D$28,0)),"(unmapped)")))))</f>
        <v/>
      </c>
    </row>
    <row r="2989" spans="11:11" x14ac:dyDescent="0.3">
      <c r="K2989" t="str">
        <f>IF($D2989="","",IFERROR(INDEX(Mapping!$H$3:$H$32,MATCH($B2989,Mapping!$G$3:$G$32,0)),IF(LEFT($F2989,3)="P2P",IFERROR(INDEX(Mapping!$E$3:$E$6,MATCH($G2989,Mapping!$D$3:$D$6,0)),IFERROR(INDEX(Mapping!$B$3:$B$13,MATCH($J2989,Mapping!$A$3:$A$13,0)),"(unmapped)")),IFERROR(INDEX(Mapping!$B$17:$B$22,MATCH($F2989,Mapping!$A$17:$A$22,0)),$F2989)&amp;" "&amp;IF($G2989="Banking","Banking",IFERROR(INDEX(Mapping!$E$17:$E$28,MATCH($J2989,Mapping!$D$17:$D$28,0)),"(unmapped)")))))</f>
        <v/>
      </c>
    </row>
    <row r="2990" spans="11:11" x14ac:dyDescent="0.3">
      <c r="K2990" t="str">
        <f>IF($D2990="","",IFERROR(INDEX(Mapping!$H$3:$H$32,MATCH($B2990,Mapping!$G$3:$G$32,0)),IF(LEFT($F2990,3)="P2P",IFERROR(INDEX(Mapping!$E$3:$E$6,MATCH($G2990,Mapping!$D$3:$D$6,0)),IFERROR(INDEX(Mapping!$B$3:$B$13,MATCH($J2990,Mapping!$A$3:$A$13,0)),"(unmapped)")),IFERROR(INDEX(Mapping!$B$17:$B$22,MATCH($F2990,Mapping!$A$17:$A$22,0)),$F2990)&amp;" "&amp;IF($G2990="Banking","Banking",IFERROR(INDEX(Mapping!$E$17:$E$28,MATCH($J2990,Mapping!$D$17:$D$28,0)),"(unmapped)")))))</f>
        <v/>
      </c>
    </row>
    <row r="2991" spans="11:11" x14ac:dyDescent="0.3">
      <c r="K2991" t="str">
        <f>IF($D2991="","",IFERROR(INDEX(Mapping!$H$3:$H$32,MATCH($B2991,Mapping!$G$3:$G$32,0)),IF(LEFT($F2991,3)="P2P",IFERROR(INDEX(Mapping!$E$3:$E$6,MATCH($G2991,Mapping!$D$3:$D$6,0)),IFERROR(INDEX(Mapping!$B$3:$B$13,MATCH($J2991,Mapping!$A$3:$A$13,0)),"(unmapped)")),IFERROR(INDEX(Mapping!$B$17:$B$22,MATCH($F2991,Mapping!$A$17:$A$22,0)),$F2991)&amp;" "&amp;IF($G2991="Banking","Banking",IFERROR(INDEX(Mapping!$E$17:$E$28,MATCH($J2991,Mapping!$D$17:$D$28,0)),"(unmapped)")))))</f>
        <v/>
      </c>
    </row>
    <row r="2992" spans="11:11" x14ac:dyDescent="0.3">
      <c r="K2992" t="str">
        <f>IF($D2992="","",IFERROR(INDEX(Mapping!$H$3:$H$32,MATCH($B2992,Mapping!$G$3:$G$32,0)),IF(LEFT($F2992,3)="P2P",IFERROR(INDEX(Mapping!$E$3:$E$6,MATCH($G2992,Mapping!$D$3:$D$6,0)),IFERROR(INDEX(Mapping!$B$3:$B$13,MATCH($J2992,Mapping!$A$3:$A$13,0)),"(unmapped)")),IFERROR(INDEX(Mapping!$B$17:$B$22,MATCH($F2992,Mapping!$A$17:$A$22,0)),$F2992)&amp;" "&amp;IF($G2992="Banking","Banking",IFERROR(INDEX(Mapping!$E$17:$E$28,MATCH($J2992,Mapping!$D$17:$D$28,0)),"(unmapped)")))))</f>
        <v/>
      </c>
    </row>
    <row r="2993" spans="11:11" x14ac:dyDescent="0.3">
      <c r="K2993" t="str">
        <f>IF($D2993="","",IFERROR(INDEX(Mapping!$H$3:$H$32,MATCH($B2993,Mapping!$G$3:$G$32,0)),IF(LEFT($F2993,3)="P2P",IFERROR(INDEX(Mapping!$E$3:$E$6,MATCH($G2993,Mapping!$D$3:$D$6,0)),IFERROR(INDEX(Mapping!$B$3:$B$13,MATCH($J2993,Mapping!$A$3:$A$13,0)),"(unmapped)")),IFERROR(INDEX(Mapping!$B$17:$B$22,MATCH($F2993,Mapping!$A$17:$A$22,0)),$F2993)&amp;" "&amp;IF($G2993="Banking","Banking",IFERROR(INDEX(Mapping!$E$17:$E$28,MATCH($J2993,Mapping!$D$17:$D$28,0)),"(unmapped)")))))</f>
        <v/>
      </c>
    </row>
    <row r="2994" spans="11:11" x14ac:dyDescent="0.3">
      <c r="K2994" t="str">
        <f>IF($D2994="","",IFERROR(INDEX(Mapping!$H$3:$H$32,MATCH($B2994,Mapping!$G$3:$G$32,0)),IF(LEFT($F2994,3)="P2P",IFERROR(INDEX(Mapping!$E$3:$E$6,MATCH($G2994,Mapping!$D$3:$D$6,0)),IFERROR(INDEX(Mapping!$B$3:$B$13,MATCH($J2994,Mapping!$A$3:$A$13,0)),"(unmapped)")),IFERROR(INDEX(Mapping!$B$17:$B$22,MATCH($F2994,Mapping!$A$17:$A$22,0)),$F2994)&amp;" "&amp;IF($G2994="Banking","Banking",IFERROR(INDEX(Mapping!$E$17:$E$28,MATCH($J2994,Mapping!$D$17:$D$28,0)),"(unmapped)")))))</f>
        <v/>
      </c>
    </row>
    <row r="2995" spans="11:11" x14ac:dyDescent="0.3">
      <c r="K2995" t="str">
        <f>IF($D2995="","",IFERROR(INDEX(Mapping!$H$3:$H$32,MATCH($B2995,Mapping!$G$3:$G$32,0)),IF(LEFT($F2995,3)="P2P",IFERROR(INDEX(Mapping!$E$3:$E$6,MATCH($G2995,Mapping!$D$3:$D$6,0)),IFERROR(INDEX(Mapping!$B$3:$B$13,MATCH($J2995,Mapping!$A$3:$A$13,0)),"(unmapped)")),IFERROR(INDEX(Mapping!$B$17:$B$22,MATCH($F2995,Mapping!$A$17:$A$22,0)),$F2995)&amp;" "&amp;IF($G2995="Banking","Banking",IFERROR(INDEX(Mapping!$E$17:$E$28,MATCH($J2995,Mapping!$D$17:$D$28,0)),"(unmapped)")))))</f>
        <v/>
      </c>
    </row>
    <row r="2996" spans="11:11" x14ac:dyDescent="0.3">
      <c r="K2996" t="str">
        <f>IF($D2996="","",IFERROR(INDEX(Mapping!$H$3:$H$32,MATCH($B2996,Mapping!$G$3:$G$32,0)),IF(LEFT($F2996,3)="P2P",IFERROR(INDEX(Mapping!$E$3:$E$6,MATCH($G2996,Mapping!$D$3:$D$6,0)),IFERROR(INDEX(Mapping!$B$3:$B$13,MATCH($J2996,Mapping!$A$3:$A$13,0)),"(unmapped)")),IFERROR(INDEX(Mapping!$B$17:$B$22,MATCH($F2996,Mapping!$A$17:$A$22,0)),$F2996)&amp;" "&amp;IF($G2996="Banking","Banking",IFERROR(INDEX(Mapping!$E$17:$E$28,MATCH($J2996,Mapping!$D$17:$D$28,0)),"(unmapped)")))))</f>
        <v/>
      </c>
    </row>
    <row r="2997" spans="11:11" x14ac:dyDescent="0.3">
      <c r="K2997" t="str">
        <f>IF($D2997="","",IFERROR(INDEX(Mapping!$H$3:$H$32,MATCH($B2997,Mapping!$G$3:$G$32,0)),IF(LEFT($F2997,3)="P2P",IFERROR(INDEX(Mapping!$E$3:$E$6,MATCH($G2997,Mapping!$D$3:$D$6,0)),IFERROR(INDEX(Mapping!$B$3:$B$13,MATCH($J2997,Mapping!$A$3:$A$13,0)),"(unmapped)")),IFERROR(INDEX(Mapping!$B$17:$B$22,MATCH($F2997,Mapping!$A$17:$A$22,0)),$F2997)&amp;" "&amp;IF($G2997="Banking","Banking",IFERROR(INDEX(Mapping!$E$17:$E$28,MATCH($J2997,Mapping!$D$17:$D$28,0)),"(unmapped)")))))</f>
        <v/>
      </c>
    </row>
    <row r="2998" spans="11:11" x14ac:dyDescent="0.3">
      <c r="K2998" t="str">
        <f>IF($D2998="","",IFERROR(INDEX(Mapping!$H$3:$H$32,MATCH($B2998,Mapping!$G$3:$G$32,0)),IF(LEFT($F2998,3)="P2P",IFERROR(INDEX(Mapping!$E$3:$E$6,MATCH($G2998,Mapping!$D$3:$D$6,0)),IFERROR(INDEX(Mapping!$B$3:$B$13,MATCH($J2998,Mapping!$A$3:$A$13,0)),"(unmapped)")),IFERROR(INDEX(Mapping!$B$17:$B$22,MATCH($F2998,Mapping!$A$17:$A$22,0)),$F2998)&amp;" "&amp;IF($G2998="Banking","Banking",IFERROR(INDEX(Mapping!$E$17:$E$28,MATCH($J2998,Mapping!$D$17:$D$28,0)),"(unmapped)")))))</f>
        <v/>
      </c>
    </row>
    <row r="2999" spans="11:11" x14ac:dyDescent="0.3">
      <c r="K2999" t="str">
        <f>IF($D2999="","",IFERROR(INDEX(Mapping!$H$3:$H$32,MATCH($B2999,Mapping!$G$3:$G$32,0)),IF(LEFT($F2999,3)="P2P",IFERROR(INDEX(Mapping!$E$3:$E$6,MATCH($G2999,Mapping!$D$3:$D$6,0)),IFERROR(INDEX(Mapping!$B$3:$B$13,MATCH($J2999,Mapping!$A$3:$A$13,0)),"(unmapped)")),IFERROR(INDEX(Mapping!$B$17:$B$22,MATCH($F2999,Mapping!$A$17:$A$22,0)),$F2999)&amp;" "&amp;IF($G2999="Banking","Banking",IFERROR(INDEX(Mapping!$E$17:$E$28,MATCH($J2999,Mapping!$D$17:$D$28,0)),"(unmapped)")))))</f>
        <v/>
      </c>
    </row>
    <row r="3000" spans="11:11" x14ac:dyDescent="0.3">
      <c r="K3000" t="str">
        <f>IF($D3000="","",IFERROR(INDEX(Mapping!$H$3:$H$32,MATCH($B3000,Mapping!$G$3:$G$32,0)),IF(LEFT($F3000,3)="P2P",IFERROR(INDEX(Mapping!$E$3:$E$6,MATCH($G3000,Mapping!$D$3:$D$6,0)),IFERROR(INDEX(Mapping!$B$3:$B$13,MATCH($J3000,Mapping!$A$3:$A$13,0)),"(unmapped)")),IFERROR(INDEX(Mapping!$B$17:$B$22,MATCH($F3000,Mapping!$A$17:$A$22,0)),$F3000)&amp;" "&amp;IF($G3000="Banking","Banking",IFERROR(INDEX(Mapping!$E$17:$E$28,MATCH($J3000,Mapping!$D$17:$D$28,0)),"(unmapped)")))))</f>
        <v/>
      </c>
    </row>
    <row r="3001" spans="11:11" x14ac:dyDescent="0.3">
      <c r="K3001" t="str">
        <f>IF($D3001="","",IFERROR(INDEX(Mapping!$H$3:$H$32,MATCH($B3001,Mapping!$G$3:$G$32,0)),IF(LEFT($F3001,3)="P2P",IFERROR(INDEX(Mapping!$E$3:$E$6,MATCH($G3001,Mapping!$D$3:$D$6,0)),IFERROR(INDEX(Mapping!$B$3:$B$13,MATCH($J3001,Mapping!$A$3:$A$13,0)),"(unmapped)")),IFERROR(INDEX(Mapping!$B$17:$B$22,MATCH($F3001,Mapping!$A$17:$A$22,0)),$F3001)&amp;" "&amp;IF($G3001="Banking","Banking",IFERROR(INDEX(Mapping!$E$17:$E$28,MATCH($J3001,Mapping!$D$17:$D$28,0)),"(unmapped)")))))</f>
        <v/>
      </c>
    </row>
    <row r="3002" spans="11:11" x14ac:dyDescent="0.3">
      <c r="K3002" t="str">
        <f>IF($D3002="","",IFERROR(INDEX(Mapping!$H$3:$H$32,MATCH($B3002,Mapping!$G$3:$G$32,0)),IF(LEFT($F3002,3)="P2P",IFERROR(INDEX(Mapping!$E$3:$E$6,MATCH($G3002,Mapping!$D$3:$D$6,0)),IFERROR(INDEX(Mapping!$B$3:$B$13,MATCH($J3002,Mapping!$A$3:$A$13,0)),"(unmapped)")),IFERROR(INDEX(Mapping!$B$17:$B$22,MATCH($F3002,Mapping!$A$17:$A$22,0)),$F3002)&amp;" "&amp;IF($G3002="Banking","Banking",IFERROR(INDEX(Mapping!$E$17:$E$28,MATCH($J3002,Mapping!$D$17:$D$28,0)),"(unmapped)")))))</f>
        <v/>
      </c>
    </row>
    <row r="3003" spans="11:11" x14ac:dyDescent="0.3">
      <c r="K3003" t="str">
        <f>IF($D3003="","",IFERROR(INDEX(Mapping!$H$3:$H$32,MATCH($B3003,Mapping!$G$3:$G$32,0)),IF(LEFT($F3003,3)="P2P",IFERROR(INDEX(Mapping!$E$3:$E$6,MATCH($G3003,Mapping!$D$3:$D$6,0)),IFERROR(INDEX(Mapping!$B$3:$B$13,MATCH($J3003,Mapping!$A$3:$A$13,0)),"(unmapped)")),IFERROR(INDEX(Mapping!$B$17:$B$22,MATCH($F3003,Mapping!$A$17:$A$22,0)),$F3003)&amp;" "&amp;IF($G3003="Banking","Banking",IFERROR(INDEX(Mapping!$E$17:$E$28,MATCH($J3003,Mapping!$D$17:$D$28,0)),"(unmapped)")))))</f>
        <v/>
      </c>
    </row>
    <row r="3004" spans="11:11" x14ac:dyDescent="0.3">
      <c r="K3004" t="str">
        <f>IF($D3004="","",IFERROR(INDEX(Mapping!$H$3:$H$32,MATCH($B3004,Mapping!$G$3:$G$32,0)),IF(LEFT($F3004,3)="P2P",IFERROR(INDEX(Mapping!$E$3:$E$6,MATCH($G3004,Mapping!$D$3:$D$6,0)),IFERROR(INDEX(Mapping!$B$3:$B$13,MATCH($J3004,Mapping!$A$3:$A$13,0)),"(unmapped)")),IFERROR(INDEX(Mapping!$B$17:$B$22,MATCH($F3004,Mapping!$A$17:$A$22,0)),$F3004)&amp;" "&amp;IF($G3004="Banking","Banking",IFERROR(INDEX(Mapping!$E$17:$E$28,MATCH($J3004,Mapping!$D$17:$D$28,0)),"(unmapped)")))))</f>
        <v/>
      </c>
    </row>
    <row r="3005" spans="11:11" x14ac:dyDescent="0.3">
      <c r="K3005" t="str">
        <f>IF($D3005="","",IFERROR(INDEX(Mapping!$H$3:$H$32,MATCH($B3005,Mapping!$G$3:$G$32,0)),IF(LEFT($F3005,3)="P2P",IFERROR(INDEX(Mapping!$E$3:$E$6,MATCH($G3005,Mapping!$D$3:$D$6,0)),IFERROR(INDEX(Mapping!$B$3:$B$13,MATCH($J3005,Mapping!$A$3:$A$13,0)),"(unmapped)")),IFERROR(INDEX(Mapping!$B$17:$B$22,MATCH($F3005,Mapping!$A$17:$A$22,0)),$F3005)&amp;" "&amp;IF($G3005="Banking","Banking",IFERROR(INDEX(Mapping!$E$17:$E$28,MATCH($J3005,Mapping!$D$17:$D$28,0)),"(unmapped)")))))</f>
        <v/>
      </c>
    </row>
    <row r="3006" spans="11:11" x14ac:dyDescent="0.3">
      <c r="K3006" t="str">
        <f>IF($D3006="","",IFERROR(INDEX(Mapping!$H$3:$H$32,MATCH($B3006,Mapping!$G$3:$G$32,0)),IF(LEFT($F3006,3)="P2P",IFERROR(INDEX(Mapping!$E$3:$E$6,MATCH($G3006,Mapping!$D$3:$D$6,0)),IFERROR(INDEX(Mapping!$B$3:$B$13,MATCH($J3006,Mapping!$A$3:$A$13,0)),"(unmapped)")),IFERROR(INDEX(Mapping!$B$17:$B$22,MATCH($F3006,Mapping!$A$17:$A$22,0)),$F3006)&amp;" "&amp;IF($G3006="Banking","Banking",IFERROR(INDEX(Mapping!$E$17:$E$28,MATCH($J3006,Mapping!$D$17:$D$28,0)),"(unmapped)")))))</f>
        <v/>
      </c>
    </row>
    <row r="3007" spans="11:11" x14ac:dyDescent="0.3">
      <c r="K3007" t="str">
        <f>IF($D3007="","",IFERROR(INDEX(Mapping!$H$3:$H$32,MATCH($B3007,Mapping!$G$3:$G$32,0)),IF(LEFT($F3007,3)="P2P",IFERROR(INDEX(Mapping!$E$3:$E$6,MATCH($G3007,Mapping!$D$3:$D$6,0)),IFERROR(INDEX(Mapping!$B$3:$B$13,MATCH($J3007,Mapping!$A$3:$A$13,0)),"(unmapped)")),IFERROR(INDEX(Mapping!$B$17:$B$22,MATCH($F3007,Mapping!$A$17:$A$22,0)),$F3007)&amp;" "&amp;IF($G3007="Banking","Banking",IFERROR(INDEX(Mapping!$E$17:$E$28,MATCH($J3007,Mapping!$D$17:$D$28,0)),"(unmapped)")))))</f>
        <v/>
      </c>
    </row>
    <row r="3008" spans="11:11" x14ac:dyDescent="0.3">
      <c r="K3008" t="str">
        <f>IF($D3008="","",IFERROR(INDEX(Mapping!$H$3:$H$32,MATCH($B3008,Mapping!$G$3:$G$32,0)),IF(LEFT($F3008,3)="P2P",IFERROR(INDEX(Mapping!$E$3:$E$6,MATCH($G3008,Mapping!$D$3:$D$6,0)),IFERROR(INDEX(Mapping!$B$3:$B$13,MATCH($J3008,Mapping!$A$3:$A$13,0)),"(unmapped)")),IFERROR(INDEX(Mapping!$B$17:$B$22,MATCH($F3008,Mapping!$A$17:$A$22,0)),$F3008)&amp;" "&amp;IF($G3008="Banking","Banking",IFERROR(INDEX(Mapping!$E$17:$E$28,MATCH($J3008,Mapping!$D$17:$D$28,0)),"(unmapped)")))))</f>
        <v/>
      </c>
    </row>
    <row r="3009" spans="11:11" x14ac:dyDescent="0.3">
      <c r="K3009" t="str">
        <f>IF($D3009="","",IFERROR(INDEX(Mapping!$H$3:$H$32,MATCH($B3009,Mapping!$G$3:$G$32,0)),IF(LEFT($F3009,3)="P2P",IFERROR(INDEX(Mapping!$E$3:$E$6,MATCH($G3009,Mapping!$D$3:$D$6,0)),IFERROR(INDEX(Mapping!$B$3:$B$13,MATCH($J3009,Mapping!$A$3:$A$13,0)),"(unmapped)")),IFERROR(INDEX(Mapping!$B$17:$B$22,MATCH($F3009,Mapping!$A$17:$A$22,0)),$F3009)&amp;" "&amp;IF($G3009="Banking","Banking",IFERROR(INDEX(Mapping!$E$17:$E$28,MATCH($J3009,Mapping!$D$17:$D$28,0)),"(unmapped)")))))</f>
        <v/>
      </c>
    </row>
    <row r="3010" spans="11:11" x14ac:dyDescent="0.3">
      <c r="K3010" t="str">
        <f>IF($D3010="","",IFERROR(INDEX(Mapping!$H$3:$H$32,MATCH($B3010,Mapping!$G$3:$G$32,0)),IF(LEFT($F3010,3)="P2P",IFERROR(INDEX(Mapping!$E$3:$E$6,MATCH($G3010,Mapping!$D$3:$D$6,0)),IFERROR(INDEX(Mapping!$B$3:$B$13,MATCH($J3010,Mapping!$A$3:$A$13,0)),"(unmapped)")),IFERROR(INDEX(Mapping!$B$17:$B$22,MATCH($F3010,Mapping!$A$17:$A$22,0)),$F3010)&amp;" "&amp;IF($G3010="Banking","Banking",IFERROR(INDEX(Mapping!$E$17:$E$28,MATCH($J3010,Mapping!$D$17:$D$28,0)),"(unmapped)")))))</f>
        <v/>
      </c>
    </row>
    <row r="3011" spans="11:11" x14ac:dyDescent="0.3">
      <c r="K3011" t="str">
        <f>IF($D3011="","",IFERROR(INDEX(Mapping!$H$3:$H$32,MATCH($B3011,Mapping!$G$3:$G$32,0)),IF(LEFT($F3011,3)="P2P",IFERROR(INDEX(Mapping!$E$3:$E$6,MATCH($G3011,Mapping!$D$3:$D$6,0)),IFERROR(INDEX(Mapping!$B$3:$B$13,MATCH($J3011,Mapping!$A$3:$A$13,0)),"(unmapped)")),IFERROR(INDEX(Mapping!$B$17:$B$22,MATCH($F3011,Mapping!$A$17:$A$22,0)),$F3011)&amp;" "&amp;IF($G3011="Banking","Banking",IFERROR(INDEX(Mapping!$E$17:$E$28,MATCH($J3011,Mapping!$D$17:$D$28,0)),"(unmapped)")))))</f>
        <v/>
      </c>
    </row>
    <row r="3012" spans="11:11" x14ac:dyDescent="0.3">
      <c r="K3012" t="str">
        <f>IF($D3012="","",IFERROR(INDEX(Mapping!$H$3:$H$32,MATCH($B3012,Mapping!$G$3:$G$32,0)),IF(LEFT($F3012,3)="P2P",IFERROR(INDEX(Mapping!$E$3:$E$6,MATCH($G3012,Mapping!$D$3:$D$6,0)),IFERROR(INDEX(Mapping!$B$3:$B$13,MATCH($J3012,Mapping!$A$3:$A$13,0)),"(unmapped)")),IFERROR(INDEX(Mapping!$B$17:$B$22,MATCH($F3012,Mapping!$A$17:$A$22,0)),$F3012)&amp;" "&amp;IF($G3012="Banking","Banking",IFERROR(INDEX(Mapping!$E$17:$E$28,MATCH($J3012,Mapping!$D$17:$D$28,0)),"(unmapped)")))))</f>
        <v/>
      </c>
    </row>
    <row r="3013" spans="11:11" x14ac:dyDescent="0.3">
      <c r="K3013" t="str">
        <f>IF($D3013="","",IFERROR(INDEX(Mapping!$H$3:$H$32,MATCH($B3013,Mapping!$G$3:$G$32,0)),IF(LEFT($F3013,3)="P2P",IFERROR(INDEX(Mapping!$E$3:$E$6,MATCH($G3013,Mapping!$D$3:$D$6,0)),IFERROR(INDEX(Mapping!$B$3:$B$13,MATCH($J3013,Mapping!$A$3:$A$13,0)),"(unmapped)")),IFERROR(INDEX(Mapping!$B$17:$B$22,MATCH($F3013,Mapping!$A$17:$A$22,0)),$F3013)&amp;" "&amp;IF($G3013="Banking","Banking",IFERROR(INDEX(Mapping!$E$17:$E$28,MATCH($J3013,Mapping!$D$17:$D$28,0)),"(unmapped)")))))</f>
        <v/>
      </c>
    </row>
    <row r="3014" spans="11:11" x14ac:dyDescent="0.3">
      <c r="K3014" t="str">
        <f>IF($D3014="","",IFERROR(INDEX(Mapping!$H$3:$H$32,MATCH($B3014,Mapping!$G$3:$G$32,0)),IF(LEFT($F3014,3)="P2P",IFERROR(INDEX(Mapping!$E$3:$E$6,MATCH($G3014,Mapping!$D$3:$D$6,0)),IFERROR(INDEX(Mapping!$B$3:$B$13,MATCH($J3014,Mapping!$A$3:$A$13,0)),"(unmapped)")),IFERROR(INDEX(Mapping!$B$17:$B$22,MATCH($F3014,Mapping!$A$17:$A$22,0)),$F3014)&amp;" "&amp;IF($G3014="Banking","Banking",IFERROR(INDEX(Mapping!$E$17:$E$28,MATCH($J3014,Mapping!$D$17:$D$28,0)),"(unmapped)")))))</f>
        <v/>
      </c>
    </row>
    <row r="3015" spans="11:11" x14ac:dyDescent="0.3">
      <c r="K3015" t="str">
        <f>IF($D3015="","",IFERROR(INDEX(Mapping!$H$3:$H$32,MATCH($B3015,Mapping!$G$3:$G$32,0)),IF(LEFT($F3015,3)="P2P",IFERROR(INDEX(Mapping!$E$3:$E$6,MATCH($G3015,Mapping!$D$3:$D$6,0)),IFERROR(INDEX(Mapping!$B$3:$B$13,MATCH($J3015,Mapping!$A$3:$A$13,0)),"(unmapped)")),IFERROR(INDEX(Mapping!$B$17:$B$22,MATCH($F3015,Mapping!$A$17:$A$22,0)),$F3015)&amp;" "&amp;IF($G3015="Banking","Banking",IFERROR(INDEX(Mapping!$E$17:$E$28,MATCH($J3015,Mapping!$D$17:$D$28,0)),"(unmapped)")))))</f>
        <v/>
      </c>
    </row>
    <row r="3016" spans="11:11" x14ac:dyDescent="0.3">
      <c r="K3016" t="str">
        <f>IF($D3016="","",IFERROR(INDEX(Mapping!$H$3:$H$32,MATCH($B3016,Mapping!$G$3:$G$32,0)),IF(LEFT($F3016,3)="P2P",IFERROR(INDEX(Mapping!$E$3:$E$6,MATCH($G3016,Mapping!$D$3:$D$6,0)),IFERROR(INDEX(Mapping!$B$3:$B$13,MATCH($J3016,Mapping!$A$3:$A$13,0)),"(unmapped)")),IFERROR(INDEX(Mapping!$B$17:$B$22,MATCH($F3016,Mapping!$A$17:$A$22,0)),$F3016)&amp;" "&amp;IF($G3016="Banking","Banking",IFERROR(INDEX(Mapping!$E$17:$E$28,MATCH($J3016,Mapping!$D$17:$D$28,0)),"(unmapped)")))))</f>
        <v/>
      </c>
    </row>
    <row r="3017" spans="11:11" x14ac:dyDescent="0.3">
      <c r="K3017" t="str">
        <f>IF($D3017="","",IFERROR(INDEX(Mapping!$H$3:$H$32,MATCH($B3017,Mapping!$G$3:$G$32,0)),IF(LEFT($F3017,3)="P2P",IFERROR(INDEX(Mapping!$E$3:$E$6,MATCH($G3017,Mapping!$D$3:$D$6,0)),IFERROR(INDEX(Mapping!$B$3:$B$13,MATCH($J3017,Mapping!$A$3:$A$13,0)),"(unmapped)")),IFERROR(INDEX(Mapping!$B$17:$B$22,MATCH($F3017,Mapping!$A$17:$A$22,0)),$F3017)&amp;" "&amp;IF($G3017="Banking","Banking",IFERROR(INDEX(Mapping!$E$17:$E$28,MATCH($J3017,Mapping!$D$17:$D$28,0)),"(unmapped)")))))</f>
        <v/>
      </c>
    </row>
    <row r="3018" spans="11:11" x14ac:dyDescent="0.3">
      <c r="K3018" t="str">
        <f>IF($D3018="","",IFERROR(INDEX(Mapping!$H$3:$H$32,MATCH($B3018,Mapping!$G$3:$G$32,0)),IF(LEFT($F3018,3)="P2P",IFERROR(INDEX(Mapping!$E$3:$E$6,MATCH($G3018,Mapping!$D$3:$D$6,0)),IFERROR(INDEX(Mapping!$B$3:$B$13,MATCH($J3018,Mapping!$A$3:$A$13,0)),"(unmapped)")),IFERROR(INDEX(Mapping!$B$17:$B$22,MATCH($F3018,Mapping!$A$17:$A$22,0)),$F3018)&amp;" "&amp;IF($G3018="Banking","Banking",IFERROR(INDEX(Mapping!$E$17:$E$28,MATCH($J3018,Mapping!$D$17:$D$28,0)),"(unmapped)")))))</f>
        <v/>
      </c>
    </row>
    <row r="3019" spans="11:11" x14ac:dyDescent="0.3">
      <c r="K3019" t="str">
        <f>IF($D3019="","",IFERROR(INDEX(Mapping!$H$3:$H$32,MATCH($B3019,Mapping!$G$3:$G$32,0)),IF(LEFT($F3019,3)="P2P",IFERROR(INDEX(Mapping!$E$3:$E$6,MATCH($G3019,Mapping!$D$3:$D$6,0)),IFERROR(INDEX(Mapping!$B$3:$B$13,MATCH($J3019,Mapping!$A$3:$A$13,0)),"(unmapped)")),IFERROR(INDEX(Mapping!$B$17:$B$22,MATCH($F3019,Mapping!$A$17:$A$22,0)),$F3019)&amp;" "&amp;IF($G3019="Banking","Banking",IFERROR(INDEX(Mapping!$E$17:$E$28,MATCH($J3019,Mapping!$D$17:$D$28,0)),"(unmapped)")))))</f>
        <v/>
      </c>
    </row>
    <row r="3020" spans="11:11" x14ac:dyDescent="0.3">
      <c r="K3020" t="str">
        <f>IF($D3020="","",IFERROR(INDEX(Mapping!$H$3:$H$32,MATCH($B3020,Mapping!$G$3:$G$32,0)),IF(LEFT($F3020,3)="P2P",IFERROR(INDEX(Mapping!$E$3:$E$6,MATCH($G3020,Mapping!$D$3:$D$6,0)),IFERROR(INDEX(Mapping!$B$3:$B$13,MATCH($J3020,Mapping!$A$3:$A$13,0)),"(unmapped)")),IFERROR(INDEX(Mapping!$B$17:$B$22,MATCH($F3020,Mapping!$A$17:$A$22,0)),$F3020)&amp;" "&amp;IF($G3020="Banking","Banking",IFERROR(INDEX(Mapping!$E$17:$E$28,MATCH($J3020,Mapping!$D$17:$D$28,0)),"(unmapped)")))))</f>
        <v/>
      </c>
    </row>
    <row r="3021" spans="11:11" x14ac:dyDescent="0.3">
      <c r="K3021" t="str">
        <f>IF($D3021="","",IFERROR(INDEX(Mapping!$H$3:$H$32,MATCH($B3021,Mapping!$G$3:$G$32,0)),IF(LEFT($F3021,3)="P2P",IFERROR(INDEX(Mapping!$E$3:$E$6,MATCH($G3021,Mapping!$D$3:$D$6,0)),IFERROR(INDEX(Mapping!$B$3:$B$13,MATCH($J3021,Mapping!$A$3:$A$13,0)),"(unmapped)")),IFERROR(INDEX(Mapping!$B$17:$B$22,MATCH($F3021,Mapping!$A$17:$A$22,0)),$F3021)&amp;" "&amp;IF($G3021="Banking","Banking",IFERROR(INDEX(Mapping!$E$17:$E$28,MATCH($J3021,Mapping!$D$17:$D$28,0)),"(unmapped)")))))</f>
        <v/>
      </c>
    </row>
    <row r="3022" spans="11:11" x14ac:dyDescent="0.3">
      <c r="K3022" t="str">
        <f>IF($D3022="","",IFERROR(INDEX(Mapping!$H$3:$H$32,MATCH($B3022,Mapping!$G$3:$G$32,0)),IF(LEFT($F3022,3)="P2P",IFERROR(INDEX(Mapping!$E$3:$E$6,MATCH($G3022,Mapping!$D$3:$D$6,0)),IFERROR(INDEX(Mapping!$B$3:$B$13,MATCH($J3022,Mapping!$A$3:$A$13,0)),"(unmapped)")),IFERROR(INDEX(Mapping!$B$17:$B$22,MATCH($F3022,Mapping!$A$17:$A$22,0)),$F3022)&amp;" "&amp;IF($G3022="Banking","Banking",IFERROR(INDEX(Mapping!$E$17:$E$28,MATCH($J3022,Mapping!$D$17:$D$28,0)),"(unmapped)")))))</f>
        <v/>
      </c>
    </row>
    <row r="3023" spans="11:11" x14ac:dyDescent="0.3">
      <c r="K3023" t="str">
        <f>IF($D3023="","",IFERROR(INDEX(Mapping!$H$3:$H$32,MATCH($B3023,Mapping!$G$3:$G$32,0)),IF(LEFT($F3023,3)="P2P",IFERROR(INDEX(Mapping!$E$3:$E$6,MATCH($G3023,Mapping!$D$3:$D$6,0)),IFERROR(INDEX(Mapping!$B$3:$B$13,MATCH($J3023,Mapping!$A$3:$A$13,0)),"(unmapped)")),IFERROR(INDEX(Mapping!$B$17:$B$22,MATCH($F3023,Mapping!$A$17:$A$22,0)),$F3023)&amp;" "&amp;IF($G3023="Banking","Banking",IFERROR(INDEX(Mapping!$E$17:$E$28,MATCH($J3023,Mapping!$D$17:$D$28,0)),"(unmapped)")))))</f>
        <v/>
      </c>
    </row>
    <row r="3024" spans="11:11" x14ac:dyDescent="0.3">
      <c r="K3024" t="str">
        <f>IF($D3024="","",IFERROR(INDEX(Mapping!$H$3:$H$32,MATCH($B3024,Mapping!$G$3:$G$32,0)),IF(LEFT($F3024,3)="P2P",IFERROR(INDEX(Mapping!$E$3:$E$6,MATCH($G3024,Mapping!$D$3:$D$6,0)),IFERROR(INDEX(Mapping!$B$3:$B$13,MATCH($J3024,Mapping!$A$3:$A$13,0)),"(unmapped)")),IFERROR(INDEX(Mapping!$B$17:$B$22,MATCH($F3024,Mapping!$A$17:$A$22,0)),$F3024)&amp;" "&amp;IF($G3024="Banking","Banking",IFERROR(INDEX(Mapping!$E$17:$E$28,MATCH($J3024,Mapping!$D$17:$D$28,0)),"(unmapped)")))))</f>
        <v/>
      </c>
    </row>
    <row r="3025" spans="11:11" x14ac:dyDescent="0.3">
      <c r="K3025" t="str">
        <f>IF($D3025="","",IFERROR(INDEX(Mapping!$H$3:$H$32,MATCH($B3025,Mapping!$G$3:$G$32,0)),IF(LEFT($F3025,3)="P2P",IFERROR(INDEX(Mapping!$E$3:$E$6,MATCH($G3025,Mapping!$D$3:$D$6,0)),IFERROR(INDEX(Mapping!$B$3:$B$13,MATCH($J3025,Mapping!$A$3:$A$13,0)),"(unmapped)")),IFERROR(INDEX(Mapping!$B$17:$B$22,MATCH($F3025,Mapping!$A$17:$A$22,0)),$F3025)&amp;" "&amp;IF($G3025="Banking","Banking",IFERROR(INDEX(Mapping!$E$17:$E$28,MATCH($J3025,Mapping!$D$17:$D$28,0)),"(unmapped)")))))</f>
        <v/>
      </c>
    </row>
    <row r="3026" spans="11:11" x14ac:dyDescent="0.3">
      <c r="K3026" t="str">
        <f>IF($D3026="","",IFERROR(INDEX(Mapping!$H$3:$H$32,MATCH($B3026,Mapping!$G$3:$G$32,0)),IF(LEFT($F3026,3)="P2P",IFERROR(INDEX(Mapping!$E$3:$E$6,MATCH($G3026,Mapping!$D$3:$D$6,0)),IFERROR(INDEX(Mapping!$B$3:$B$13,MATCH($J3026,Mapping!$A$3:$A$13,0)),"(unmapped)")),IFERROR(INDEX(Mapping!$B$17:$B$22,MATCH($F3026,Mapping!$A$17:$A$22,0)),$F3026)&amp;" "&amp;IF($G3026="Banking","Banking",IFERROR(INDEX(Mapping!$E$17:$E$28,MATCH($J3026,Mapping!$D$17:$D$28,0)),"(unmapped)")))))</f>
        <v/>
      </c>
    </row>
    <row r="3027" spans="11:11" x14ac:dyDescent="0.3">
      <c r="K3027" t="str">
        <f>IF($D3027="","",IFERROR(INDEX(Mapping!$H$3:$H$32,MATCH($B3027,Mapping!$G$3:$G$32,0)),IF(LEFT($F3027,3)="P2P",IFERROR(INDEX(Mapping!$E$3:$E$6,MATCH($G3027,Mapping!$D$3:$D$6,0)),IFERROR(INDEX(Mapping!$B$3:$B$13,MATCH($J3027,Mapping!$A$3:$A$13,0)),"(unmapped)")),IFERROR(INDEX(Mapping!$B$17:$B$22,MATCH($F3027,Mapping!$A$17:$A$22,0)),$F3027)&amp;" "&amp;IF($G3027="Banking","Banking",IFERROR(INDEX(Mapping!$E$17:$E$28,MATCH($J3027,Mapping!$D$17:$D$28,0)),"(unmapped)")))))</f>
        <v/>
      </c>
    </row>
    <row r="3028" spans="11:11" x14ac:dyDescent="0.3">
      <c r="K3028" t="str">
        <f>IF($D3028="","",IFERROR(INDEX(Mapping!$H$3:$H$32,MATCH($B3028,Mapping!$G$3:$G$32,0)),IF(LEFT($F3028,3)="P2P",IFERROR(INDEX(Mapping!$E$3:$E$6,MATCH($G3028,Mapping!$D$3:$D$6,0)),IFERROR(INDEX(Mapping!$B$3:$B$13,MATCH($J3028,Mapping!$A$3:$A$13,0)),"(unmapped)")),IFERROR(INDEX(Mapping!$B$17:$B$22,MATCH($F3028,Mapping!$A$17:$A$22,0)),$F3028)&amp;" "&amp;IF($G3028="Banking","Banking",IFERROR(INDEX(Mapping!$E$17:$E$28,MATCH($J3028,Mapping!$D$17:$D$28,0)),"(unmapped)")))))</f>
        <v/>
      </c>
    </row>
    <row r="3029" spans="11:11" x14ac:dyDescent="0.3">
      <c r="K3029" t="str">
        <f>IF($D3029="","",IFERROR(INDEX(Mapping!$H$3:$H$32,MATCH($B3029,Mapping!$G$3:$G$32,0)),IF(LEFT($F3029,3)="P2P",IFERROR(INDEX(Mapping!$E$3:$E$6,MATCH($G3029,Mapping!$D$3:$D$6,0)),IFERROR(INDEX(Mapping!$B$3:$B$13,MATCH($J3029,Mapping!$A$3:$A$13,0)),"(unmapped)")),IFERROR(INDEX(Mapping!$B$17:$B$22,MATCH($F3029,Mapping!$A$17:$A$22,0)),$F3029)&amp;" "&amp;IF($G3029="Banking","Banking",IFERROR(INDEX(Mapping!$E$17:$E$28,MATCH($J3029,Mapping!$D$17:$D$28,0)),"(unmapped)")))))</f>
        <v/>
      </c>
    </row>
    <row r="3030" spans="11:11" x14ac:dyDescent="0.3">
      <c r="K3030" t="str">
        <f>IF($D3030="","",IFERROR(INDEX(Mapping!$H$3:$H$32,MATCH($B3030,Mapping!$G$3:$G$32,0)),IF(LEFT($F3030,3)="P2P",IFERROR(INDEX(Mapping!$E$3:$E$6,MATCH($G3030,Mapping!$D$3:$D$6,0)),IFERROR(INDEX(Mapping!$B$3:$B$13,MATCH($J3030,Mapping!$A$3:$A$13,0)),"(unmapped)")),IFERROR(INDEX(Mapping!$B$17:$B$22,MATCH($F3030,Mapping!$A$17:$A$22,0)),$F3030)&amp;" "&amp;IF($G3030="Banking","Banking",IFERROR(INDEX(Mapping!$E$17:$E$28,MATCH($J3030,Mapping!$D$17:$D$28,0)),"(unmapped)")))))</f>
        <v/>
      </c>
    </row>
    <row r="3031" spans="11:11" x14ac:dyDescent="0.3">
      <c r="K3031" t="str">
        <f>IF($D3031="","",IFERROR(INDEX(Mapping!$H$3:$H$32,MATCH($B3031,Mapping!$G$3:$G$32,0)),IF(LEFT($F3031,3)="P2P",IFERROR(INDEX(Mapping!$E$3:$E$6,MATCH($G3031,Mapping!$D$3:$D$6,0)),IFERROR(INDEX(Mapping!$B$3:$B$13,MATCH($J3031,Mapping!$A$3:$A$13,0)),"(unmapped)")),IFERROR(INDEX(Mapping!$B$17:$B$22,MATCH($F3031,Mapping!$A$17:$A$22,0)),$F3031)&amp;" "&amp;IF($G3031="Banking","Banking",IFERROR(INDEX(Mapping!$E$17:$E$28,MATCH($J3031,Mapping!$D$17:$D$28,0)),"(unmapped)")))))</f>
        <v/>
      </c>
    </row>
    <row r="3032" spans="11:11" x14ac:dyDescent="0.3">
      <c r="K3032" t="str">
        <f>IF($D3032="","",IFERROR(INDEX(Mapping!$H$3:$H$32,MATCH($B3032,Mapping!$G$3:$G$32,0)),IF(LEFT($F3032,3)="P2P",IFERROR(INDEX(Mapping!$E$3:$E$6,MATCH($G3032,Mapping!$D$3:$D$6,0)),IFERROR(INDEX(Mapping!$B$3:$B$13,MATCH($J3032,Mapping!$A$3:$A$13,0)),"(unmapped)")),IFERROR(INDEX(Mapping!$B$17:$B$22,MATCH($F3032,Mapping!$A$17:$A$22,0)),$F3032)&amp;" "&amp;IF($G3032="Banking","Banking",IFERROR(INDEX(Mapping!$E$17:$E$28,MATCH($J3032,Mapping!$D$17:$D$28,0)),"(unmapped)")))))</f>
        <v/>
      </c>
    </row>
    <row r="3033" spans="11:11" x14ac:dyDescent="0.3">
      <c r="K3033" t="str">
        <f>IF($D3033="","",IFERROR(INDEX(Mapping!$H$3:$H$32,MATCH($B3033,Mapping!$G$3:$G$32,0)),IF(LEFT($F3033,3)="P2P",IFERROR(INDEX(Mapping!$E$3:$E$6,MATCH($G3033,Mapping!$D$3:$D$6,0)),IFERROR(INDEX(Mapping!$B$3:$B$13,MATCH($J3033,Mapping!$A$3:$A$13,0)),"(unmapped)")),IFERROR(INDEX(Mapping!$B$17:$B$22,MATCH($F3033,Mapping!$A$17:$A$22,0)),$F3033)&amp;" "&amp;IF($G3033="Banking","Banking",IFERROR(INDEX(Mapping!$E$17:$E$28,MATCH($J3033,Mapping!$D$17:$D$28,0)),"(unmapped)")))))</f>
        <v/>
      </c>
    </row>
    <row r="3034" spans="11:11" x14ac:dyDescent="0.3">
      <c r="K3034" t="str">
        <f>IF($D3034="","",IFERROR(INDEX(Mapping!$H$3:$H$32,MATCH($B3034,Mapping!$G$3:$G$32,0)),IF(LEFT($F3034,3)="P2P",IFERROR(INDEX(Mapping!$E$3:$E$6,MATCH($G3034,Mapping!$D$3:$D$6,0)),IFERROR(INDEX(Mapping!$B$3:$B$13,MATCH($J3034,Mapping!$A$3:$A$13,0)),"(unmapped)")),IFERROR(INDEX(Mapping!$B$17:$B$22,MATCH($F3034,Mapping!$A$17:$A$22,0)),$F3034)&amp;" "&amp;IF($G3034="Banking","Banking",IFERROR(INDEX(Mapping!$E$17:$E$28,MATCH($J3034,Mapping!$D$17:$D$28,0)),"(unmapped)")))))</f>
        <v/>
      </c>
    </row>
    <row r="3035" spans="11:11" x14ac:dyDescent="0.3">
      <c r="K3035" t="str">
        <f>IF($D3035="","",IFERROR(INDEX(Mapping!$H$3:$H$32,MATCH($B3035,Mapping!$G$3:$G$32,0)),IF(LEFT($F3035,3)="P2P",IFERROR(INDEX(Mapping!$E$3:$E$6,MATCH($G3035,Mapping!$D$3:$D$6,0)),IFERROR(INDEX(Mapping!$B$3:$B$13,MATCH($J3035,Mapping!$A$3:$A$13,0)),"(unmapped)")),IFERROR(INDEX(Mapping!$B$17:$B$22,MATCH($F3035,Mapping!$A$17:$A$22,0)),$F3035)&amp;" "&amp;IF($G3035="Banking","Banking",IFERROR(INDEX(Mapping!$E$17:$E$28,MATCH($J3035,Mapping!$D$17:$D$28,0)),"(unmapped)")))))</f>
        <v/>
      </c>
    </row>
    <row r="3036" spans="11:11" x14ac:dyDescent="0.3">
      <c r="K3036" t="str">
        <f>IF($D3036="","",IFERROR(INDEX(Mapping!$H$3:$H$32,MATCH($B3036,Mapping!$G$3:$G$32,0)),IF(LEFT($F3036,3)="P2P",IFERROR(INDEX(Mapping!$E$3:$E$6,MATCH($G3036,Mapping!$D$3:$D$6,0)),IFERROR(INDEX(Mapping!$B$3:$B$13,MATCH($J3036,Mapping!$A$3:$A$13,0)),"(unmapped)")),IFERROR(INDEX(Mapping!$B$17:$B$22,MATCH($F3036,Mapping!$A$17:$A$22,0)),$F3036)&amp;" "&amp;IF($G3036="Banking","Banking",IFERROR(INDEX(Mapping!$E$17:$E$28,MATCH($J3036,Mapping!$D$17:$D$28,0)),"(unmapped)")))))</f>
        <v/>
      </c>
    </row>
    <row r="3037" spans="11:11" x14ac:dyDescent="0.3">
      <c r="K3037" t="str">
        <f>IF($D3037="","",IFERROR(INDEX(Mapping!$H$3:$H$32,MATCH($B3037,Mapping!$G$3:$G$32,0)),IF(LEFT($F3037,3)="P2P",IFERROR(INDEX(Mapping!$E$3:$E$6,MATCH($G3037,Mapping!$D$3:$D$6,0)),IFERROR(INDEX(Mapping!$B$3:$B$13,MATCH($J3037,Mapping!$A$3:$A$13,0)),"(unmapped)")),IFERROR(INDEX(Mapping!$B$17:$B$22,MATCH($F3037,Mapping!$A$17:$A$22,0)),$F3037)&amp;" "&amp;IF($G3037="Banking","Banking",IFERROR(INDEX(Mapping!$E$17:$E$28,MATCH($J3037,Mapping!$D$17:$D$28,0)),"(unmapped)")))))</f>
        <v/>
      </c>
    </row>
    <row r="3038" spans="11:11" x14ac:dyDescent="0.3">
      <c r="K3038" t="str">
        <f>IF($D3038="","",IFERROR(INDEX(Mapping!$H$3:$H$32,MATCH($B3038,Mapping!$G$3:$G$32,0)),IF(LEFT($F3038,3)="P2P",IFERROR(INDEX(Mapping!$E$3:$E$6,MATCH($G3038,Mapping!$D$3:$D$6,0)),IFERROR(INDEX(Mapping!$B$3:$B$13,MATCH($J3038,Mapping!$A$3:$A$13,0)),"(unmapped)")),IFERROR(INDEX(Mapping!$B$17:$B$22,MATCH($F3038,Mapping!$A$17:$A$22,0)),$F3038)&amp;" "&amp;IF($G3038="Banking","Banking",IFERROR(INDEX(Mapping!$E$17:$E$28,MATCH($J3038,Mapping!$D$17:$D$28,0)),"(unmapped)")))))</f>
        <v/>
      </c>
    </row>
    <row r="3039" spans="11:11" x14ac:dyDescent="0.3">
      <c r="K3039" t="str">
        <f>IF($D3039="","",IFERROR(INDEX(Mapping!$H$3:$H$32,MATCH($B3039,Mapping!$G$3:$G$32,0)),IF(LEFT($F3039,3)="P2P",IFERROR(INDEX(Mapping!$E$3:$E$6,MATCH($G3039,Mapping!$D$3:$D$6,0)),IFERROR(INDEX(Mapping!$B$3:$B$13,MATCH($J3039,Mapping!$A$3:$A$13,0)),"(unmapped)")),IFERROR(INDEX(Mapping!$B$17:$B$22,MATCH($F3039,Mapping!$A$17:$A$22,0)),$F3039)&amp;" "&amp;IF($G3039="Banking","Banking",IFERROR(INDEX(Mapping!$E$17:$E$28,MATCH($J3039,Mapping!$D$17:$D$28,0)),"(unmapped)")))))</f>
        <v/>
      </c>
    </row>
    <row r="3040" spans="11:11" x14ac:dyDescent="0.3">
      <c r="K3040" t="str">
        <f>IF($D3040="","",IFERROR(INDEX(Mapping!$H$3:$H$32,MATCH($B3040,Mapping!$G$3:$G$32,0)),IF(LEFT($F3040,3)="P2P",IFERROR(INDEX(Mapping!$E$3:$E$6,MATCH($G3040,Mapping!$D$3:$D$6,0)),IFERROR(INDEX(Mapping!$B$3:$B$13,MATCH($J3040,Mapping!$A$3:$A$13,0)),"(unmapped)")),IFERROR(INDEX(Mapping!$B$17:$B$22,MATCH($F3040,Mapping!$A$17:$A$22,0)),$F3040)&amp;" "&amp;IF($G3040="Banking","Banking",IFERROR(INDEX(Mapping!$E$17:$E$28,MATCH($J3040,Mapping!$D$17:$D$28,0)),"(unmapped)")))))</f>
        <v/>
      </c>
    </row>
    <row r="3041" spans="11:11" x14ac:dyDescent="0.3">
      <c r="K3041" t="str">
        <f>IF($D3041="","",IFERROR(INDEX(Mapping!$H$3:$H$32,MATCH($B3041,Mapping!$G$3:$G$32,0)),IF(LEFT($F3041,3)="P2P",IFERROR(INDEX(Mapping!$E$3:$E$6,MATCH($G3041,Mapping!$D$3:$D$6,0)),IFERROR(INDEX(Mapping!$B$3:$B$13,MATCH($J3041,Mapping!$A$3:$A$13,0)),"(unmapped)")),IFERROR(INDEX(Mapping!$B$17:$B$22,MATCH($F3041,Mapping!$A$17:$A$22,0)),$F3041)&amp;" "&amp;IF($G3041="Banking","Banking",IFERROR(INDEX(Mapping!$E$17:$E$28,MATCH($J3041,Mapping!$D$17:$D$28,0)),"(unmapped)")))))</f>
        <v/>
      </c>
    </row>
    <row r="3042" spans="11:11" x14ac:dyDescent="0.3">
      <c r="K3042" t="str">
        <f>IF($D3042="","",IFERROR(INDEX(Mapping!$H$3:$H$32,MATCH($B3042,Mapping!$G$3:$G$32,0)),IF(LEFT($F3042,3)="P2P",IFERROR(INDEX(Mapping!$E$3:$E$6,MATCH($G3042,Mapping!$D$3:$D$6,0)),IFERROR(INDEX(Mapping!$B$3:$B$13,MATCH($J3042,Mapping!$A$3:$A$13,0)),"(unmapped)")),IFERROR(INDEX(Mapping!$B$17:$B$22,MATCH($F3042,Mapping!$A$17:$A$22,0)),$F3042)&amp;" "&amp;IF($G3042="Banking","Banking",IFERROR(INDEX(Mapping!$E$17:$E$28,MATCH($J3042,Mapping!$D$17:$D$28,0)),"(unmapped)")))))</f>
        <v/>
      </c>
    </row>
    <row r="3043" spans="11:11" x14ac:dyDescent="0.3">
      <c r="K3043" t="str">
        <f>IF($D3043="","",IFERROR(INDEX(Mapping!$H$3:$H$32,MATCH($B3043,Mapping!$G$3:$G$32,0)),IF(LEFT($F3043,3)="P2P",IFERROR(INDEX(Mapping!$E$3:$E$6,MATCH($G3043,Mapping!$D$3:$D$6,0)),IFERROR(INDEX(Mapping!$B$3:$B$13,MATCH($J3043,Mapping!$A$3:$A$13,0)),"(unmapped)")),IFERROR(INDEX(Mapping!$B$17:$B$22,MATCH($F3043,Mapping!$A$17:$A$22,0)),$F3043)&amp;" "&amp;IF($G3043="Banking","Banking",IFERROR(INDEX(Mapping!$E$17:$E$28,MATCH($J3043,Mapping!$D$17:$D$28,0)),"(unmapped)")))))</f>
        <v/>
      </c>
    </row>
    <row r="3044" spans="11:11" x14ac:dyDescent="0.3">
      <c r="K3044" t="str">
        <f>IF($D3044="","",IFERROR(INDEX(Mapping!$H$3:$H$32,MATCH($B3044,Mapping!$G$3:$G$32,0)),IF(LEFT($F3044,3)="P2P",IFERROR(INDEX(Mapping!$E$3:$E$6,MATCH($G3044,Mapping!$D$3:$D$6,0)),IFERROR(INDEX(Mapping!$B$3:$B$13,MATCH($J3044,Mapping!$A$3:$A$13,0)),"(unmapped)")),IFERROR(INDEX(Mapping!$B$17:$B$22,MATCH($F3044,Mapping!$A$17:$A$22,0)),$F3044)&amp;" "&amp;IF($G3044="Banking","Banking",IFERROR(INDEX(Mapping!$E$17:$E$28,MATCH($J3044,Mapping!$D$17:$D$28,0)),"(unmapped)")))))</f>
        <v/>
      </c>
    </row>
    <row r="3045" spans="11:11" x14ac:dyDescent="0.3">
      <c r="K3045" t="str">
        <f>IF($D3045="","",IFERROR(INDEX(Mapping!$H$3:$H$32,MATCH($B3045,Mapping!$G$3:$G$32,0)),IF(LEFT($F3045,3)="P2P",IFERROR(INDEX(Mapping!$E$3:$E$6,MATCH($G3045,Mapping!$D$3:$D$6,0)),IFERROR(INDEX(Mapping!$B$3:$B$13,MATCH($J3045,Mapping!$A$3:$A$13,0)),"(unmapped)")),IFERROR(INDEX(Mapping!$B$17:$B$22,MATCH($F3045,Mapping!$A$17:$A$22,0)),$F3045)&amp;" "&amp;IF($G3045="Banking","Banking",IFERROR(INDEX(Mapping!$E$17:$E$28,MATCH($J3045,Mapping!$D$17:$D$28,0)),"(unmapped)")))))</f>
        <v/>
      </c>
    </row>
    <row r="3046" spans="11:11" x14ac:dyDescent="0.3">
      <c r="K3046" t="str">
        <f>IF($D3046="","",IFERROR(INDEX(Mapping!$H$3:$H$32,MATCH($B3046,Mapping!$G$3:$G$32,0)),IF(LEFT($F3046,3)="P2P",IFERROR(INDEX(Mapping!$E$3:$E$6,MATCH($G3046,Mapping!$D$3:$D$6,0)),IFERROR(INDEX(Mapping!$B$3:$B$13,MATCH($J3046,Mapping!$A$3:$A$13,0)),"(unmapped)")),IFERROR(INDEX(Mapping!$B$17:$B$22,MATCH($F3046,Mapping!$A$17:$A$22,0)),$F3046)&amp;" "&amp;IF($G3046="Banking","Banking",IFERROR(INDEX(Mapping!$E$17:$E$28,MATCH($J3046,Mapping!$D$17:$D$28,0)),"(unmapped)")))))</f>
        <v/>
      </c>
    </row>
    <row r="3047" spans="11:11" x14ac:dyDescent="0.3">
      <c r="K3047" t="str">
        <f>IF($D3047="","",IFERROR(INDEX(Mapping!$H$3:$H$32,MATCH($B3047,Mapping!$G$3:$G$32,0)),IF(LEFT($F3047,3)="P2P",IFERROR(INDEX(Mapping!$E$3:$E$6,MATCH($G3047,Mapping!$D$3:$D$6,0)),IFERROR(INDEX(Mapping!$B$3:$B$13,MATCH($J3047,Mapping!$A$3:$A$13,0)),"(unmapped)")),IFERROR(INDEX(Mapping!$B$17:$B$22,MATCH($F3047,Mapping!$A$17:$A$22,0)),$F3047)&amp;" "&amp;IF($G3047="Banking","Banking",IFERROR(INDEX(Mapping!$E$17:$E$28,MATCH($J3047,Mapping!$D$17:$D$28,0)),"(unmapped)")))))</f>
        <v/>
      </c>
    </row>
    <row r="3048" spans="11:11" x14ac:dyDescent="0.3">
      <c r="K3048" t="str">
        <f>IF($D3048="","",IFERROR(INDEX(Mapping!$H$3:$H$32,MATCH($B3048,Mapping!$G$3:$G$32,0)),IF(LEFT($F3048,3)="P2P",IFERROR(INDEX(Mapping!$E$3:$E$6,MATCH($G3048,Mapping!$D$3:$D$6,0)),IFERROR(INDEX(Mapping!$B$3:$B$13,MATCH($J3048,Mapping!$A$3:$A$13,0)),"(unmapped)")),IFERROR(INDEX(Mapping!$B$17:$B$22,MATCH($F3048,Mapping!$A$17:$A$22,0)),$F3048)&amp;" "&amp;IF($G3048="Banking","Banking",IFERROR(INDEX(Mapping!$E$17:$E$28,MATCH($J3048,Mapping!$D$17:$D$28,0)),"(unmapped)")))))</f>
        <v/>
      </c>
    </row>
    <row r="3049" spans="11:11" x14ac:dyDescent="0.3">
      <c r="K3049" t="str">
        <f>IF($D3049="","",IFERROR(INDEX(Mapping!$H$3:$H$32,MATCH($B3049,Mapping!$G$3:$G$32,0)),IF(LEFT($F3049,3)="P2P",IFERROR(INDEX(Mapping!$E$3:$E$6,MATCH($G3049,Mapping!$D$3:$D$6,0)),IFERROR(INDEX(Mapping!$B$3:$B$13,MATCH($J3049,Mapping!$A$3:$A$13,0)),"(unmapped)")),IFERROR(INDEX(Mapping!$B$17:$B$22,MATCH($F3049,Mapping!$A$17:$A$22,0)),$F3049)&amp;" "&amp;IF($G3049="Banking","Banking",IFERROR(INDEX(Mapping!$E$17:$E$28,MATCH($J3049,Mapping!$D$17:$D$28,0)),"(unmapped)")))))</f>
        <v/>
      </c>
    </row>
    <row r="3050" spans="11:11" x14ac:dyDescent="0.3">
      <c r="K3050" t="str">
        <f>IF($D3050="","",IFERROR(INDEX(Mapping!$H$3:$H$32,MATCH($B3050,Mapping!$G$3:$G$32,0)),IF(LEFT($F3050,3)="P2P",IFERROR(INDEX(Mapping!$E$3:$E$6,MATCH($G3050,Mapping!$D$3:$D$6,0)),IFERROR(INDEX(Mapping!$B$3:$B$13,MATCH($J3050,Mapping!$A$3:$A$13,0)),"(unmapped)")),IFERROR(INDEX(Mapping!$B$17:$B$22,MATCH($F3050,Mapping!$A$17:$A$22,0)),$F3050)&amp;" "&amp;IF($G3050="Banking","Banking",IFERROR(INDEX(Mapping!$E$17:$E$28,MATCH($J3050,Mapping!$D$17:$D$28,0)),"(unmapped)")))))</f>
        <v/>
      </c>
    </row>
    <row r="3051" spans="11:11" x14ac:dyDescent="0.3">
      <c r="K3051" t="str">
        <f>IF($D3051="","",IFERROR(INDEX(Mapping!$H$3:$H$32,MATCH($B3051,Mapping!$G$3:$G$32,0)),IF(LEFT($F3051,3)="P2P",IFERROR(INDEX(Mapping!$E$3:$E$6,MATCH($G3051,Mapping!$D$3:$D$6,0)),IFERROR(INDEX(Mapping!$B$3:$B$13,MATCH($J3051,Mapping!$A$3:$A$13,0)),"(unmapped)")),IFERROR(INDEX(Mapping!$B$17:$B$22,MATCH($F3051,Mapping!$A$17:$A$22,0)),$F3051)&amp;" "&amp;IF($G3051="Banking","Banking",IFERROR(INDEX(Mapping!$E$17:$E$28,MATCH($J3051,Mapping!$D$17:$D$28,0)),"(unmapped)")))))</f>
        <v/>
      </c>
    </row>
    <row r="3052" spans="11:11" x14ac:dyDescent="0.3">
      <c r="K3052" t="str">
        <f>IF($D3052="","",IFERROR(INDEX(Mapping!$H$3:$H$32,MATCH($B3052,Mapping!$G$3:$G$32,0)),IF(LEFT($F3052,3)="P2P",IFERROR(INDEX(Mapping!$E$3:$E$6,MATCH($G3052,Mapping!$D$3:$D$6,0)),IFERROR(INDEX(Mapping!$B$3:$B$13,MATCH($J3052,Mapping!$A$3:$A$13,0)),"(unmapped)")),IFERROR(INDEX(Mapping!$B$17:$B$22,MATCH($F3052,Mapping!$A$17:$A$22,0)),$F3052)&amp;" "&amp;IF($G3052="Banking","Banking",IFERROR(INDEX(Mapping!$E$17:$E$28,MATCH($J3052,Mapping!$D$17:$D$28,0)),"(unmapped)")))))</f>
        <v/>
      </c>
    </row>
    <row r="3053" spans="11:11" x14ac:dyDescent="0.3">
      <c r="K3053" t="str">
        <f>IF($D3053="","",IFERROR(INDEX(Mapping!$H$3:$H$32,MATCH($B3053,Mapping!$G$3:$G$32,0)),IF(LEFT($F3053,3)="P2P",IFERROR(INDEX(Mapping!$E$3:$E$6,MATCH($G3053,Mapping!$D$3:$D$6,0)),IFERROR(INDEX(Mapping!$B$3:$B$13,MATCH($J3053,Mapping!$A$3:$A$13,0)),"(unmapped)")),IFERROR(INDEX(Mapping!$B$17:$B$22,MATCH($F3053,Mapping!$A$17:$A$22,0)),$F3053)&amp;" "&amp;IF($G3053="Banking","Banking",IFERROR(INDEX(Mapping!$E$17:$E$28,MATCH($J3053,Mapping!$D$17:$D$28,0)),"(unmapped)")))))</f>
        <v/>
      </c>
    </row>
    <row r="3054" spans="11:11" x14ac:dyDescent="0.3">
      <c r="K3054" t="str">
        <f>IF($D3054="","",IFERROR(INDEX(Mapping!$H$3:$H$32,MATCH($B3054,Mapping!$G$3:$G$32,0)),IF(LEFT($F3054,3)="P2P",IFERROR(INDEX(Mapping!$E$3:$E$6,MATCH($G3054,Mapping!$D$3:$D$6,0)),IFERROR(INDEX(Mapping!$B$3:$B$13,MATCH($J3054,Mapping!$A$3:$A$13,0)),"(unmapped)")),IFERROR(INDEX(Mapping!$B$17:$B$22,MATCH($F3054,Mapping!$A$17:$A$22,0)),$F3054)&amp;" "&amp;IF($G3054="Banking","Banking",IFERROR(INDEX(Mapping!$E$17:$E$28,MATCH($J3054,Mapping!$D$17:$D$28,0)),"(unmapped)")))))</f>
        <v/>
      </c>
    </row>
    <row r="3055" spans="11:11" x14ac:dyDescent="0.3">
      <c r="K3055" t="str">
        <f>IF($D3055="","",IFERROR(INDEX(Mapping!$H$3:$H$32,MATCH($B3055,Mapping!$G$3:$G$32,0)),IF(LEFT($F3055,3)="P2P",IFERROR(INDEX(Mapping!$E$3:$E$6,MATCH($G3055,Mapping!$D$3:$D$6,0)),IFERROR(INDEX(Mapping!$B$3:$B$13,MATCH($J3055,Mapping!$A$3:$A$13,0)),"(unmapped)")),IFERROR(INDEX(Mapping!$B$17:$B$22,MATCH($F3055,Mapping!$A$17:$A$22,0)),$F3055)&amp;" "&amp;IF($G3055="Banking","Banking",IFERROR(INDEX(Mapping!$E$17:$E$28,MATCH($J3055,Mapping!$D$17:$D$28,0)),"(unmapped)")))))</f>
        <v/>
      </c>
    </row>
    <row r="3056" spans="11:11" x14ac:dyDescent="0.3">
      <c r="K3056" t="str">
        <f>IF($D3056="","",IFERROR(INDEX(Mapping!$H$3:$H$32,MATCH($B3056,Mapping!$G$3:$G$32,0)),IF(LEFT($F3056,3)="P2P",IFERROR(INDEX(Mapping!$E$3:$E$6,MATCH($G3056,Mapping!$D$3:$D$6,0)),IFERROR(INDEX(Mapping!$B$3:$B$13,MATCH($J3056,Mapping!$A$3:$A$13,0)),"(unmapped)")),IFERROR(INDEX(Mapping!$B$17:$B$22,MATCH($F3056,Mapping!$A$17:$A$22,0)),$F3056)&amp;" "&amp;IF($G3056="Banking","Banking",IFERROR(INDEX(Mapping!$E$17:$E$28,MATCH($J3056,Mapping!$D$17:$D$28,0)),"(unmapped)")))))</f>
        <v/>
      </c>
    </row>
    <row r="3057" spans="11:11" x14ac:dyDescent="0.3">
      <c r="K3057" t="str">
        <f>IF($D3057="","",IFERROR(INDEX(Mapping!$H$3:$H$32,MATCH($B3057,Mapping!$G$3:$G$32,0)),IF(LEFT($F3057,3)="P2P",IFERROR(INDEX(Mapping!$E$3:$E$6,MATCH($G3057,Mapping!$D$3:$D$6,0)),IFERROR(INDEX(Mapping!$B$3:$B$13,MATCH($J3057,Mapping!$A$3:$A$13,0)),"(unmapped)")),IFERROR(INDEX(Mapping!$B$17:$B$22,MATCH($F3057,Mapping!$A$17:$A$22,0)),$F3057)&amp;" "&amp;IF($G3057="Banking","Banking",IFERROR(INDEX(Mapping!$E$17:$E$28,MATCH($J3057,Mapping!$D$17:$D$28,0)),"(unmapped)")))))</f>
        <v/>
      </c>
    </row>
    <row r="3058" spans="11:11" x14ac:dyDescent="0.3">
      <c r="K3058" t="str">
        <f>IF($D3058="","",IFERROR(INDEX(Mapping!$H$3:$H$32,MATCH($B3058,Mapping!$G$3:$G$32,0)),IF(LEFT($F3058,3)="P2P",IFERROR(INDEX(Mapping!$E$3:$E$6,MATCH($G3058,Mapping!$D$3:$D$6,0)),IFERROR(INDEX(Mapping!$B$3:$B$13,MATCH($J3058,Mapping!$A$3:$A$13,0)),"(unmapped)")),IFERROR(INDEX(Mapping!$B$17:$B$22,MATCH($F3058,Mapping!$A$17:$A$22,0)),$F3058)&amp;" "&amp;IF($G3058="Banking","Banking",IFERROR(INDEX(Mapping!$E$17:$E$28,MATCH($J3058,Mapping!$D$17:$D$28,0)),"(unmapped)")))))</f>
        <v/>
      </c>
    </row>
    <row r="3059" spans="11:11" x14ac:dyDescent="0.3">
      <c r="K3059" t="str">
        <f>IF($D3059="","",IFERROR(INDEX(Mapping!$H$3:$H$32,MATCH($B3059,Mapping!$G$3:$G$32,0)),IF(LEFT($F3059,3)="P2P",IFERROR(INDEX(Mapping!$E$3:$E$6,MATCH($G3059,Mapping!$D$3:$D$6,0)),IFERROR(INDEX(Mapping!$B$3:$B$13,MATCH($J3059,Mapping!$A$3:$A$13,0)),"(unmapped)")),IFERROR(INDEX(Mapping!$B$17:$B$22,MATCH($F3059,Mapping!$A$17:$A$22,0)),$F3059)&amp;" "&amp;IF($G3059="Banking","Banking",IFERROR(INDEX(Mapping!$E$17:$E$28,MATCH($J3059,Mapping!$D$17:$D$28,0)),"(unmapped)")))))</f>
        <v/>
      </c>
    </row>
    <row r="3060" spans="11:11" x14ac:dyDescent="0.3">
      <c r="K3060" t="str">
        <f>IF($D3060="","",IFERROR(INDEX(Mapping!$H$3:$H$32,MATCH($B3060,Mapping!$G$3:$G$32,0)),IF(LEFT($F3060,3)="P2P",IFERROR(INDEX(Mapping!$E$3:$E$6,MATCH($G3060,Mapping!$D$3:$D$6,0)),IFERROR(INDEX(Mapping!$B$3:$B$13,MATCH($J3060,Mapping!$A$3:$A$13,0)),"(unmapped)")),IFERROR(INDEX(Mapping!$B$17:$B$22,MATCH($F3060,Mapping!$A$17:$A$22,0)),$F3060)&amp;" "&amp;IF($G3060="Banking","Banking",IFERROR(INDEX(Mapping!$E$17:$E$28,MATCH($J3060,Mapping!$D$17:$D$28,0)),"(unmapped)")))))</f>
        <v/>
      </c>
    </row>
    <row r="3061" spans="11:11" x14ac:dyDescent="0.3">
      <c r="K3061" t="str">
        <f>IF($D3061="","",IFERROR(INDEX(Mapping!$H$3:$H$32,MATCH($B3061,Mapping!$G$3:$G$32,0)),IF(LEFT($F3061,3)="P2P",IFERROR(INDEX(Mapping!$E$3:$E$6,MATCH($G3061,Mapping!$D$3:$D$6,0)),IFERROR(INDEX(Mapping!$B$3:$B$13,MATCH($J3061,Mapping!$A$3:$A$13,0)),"(unmapped)")),IFERROR(INDEX(Mapping!$B$17:$B$22,MATCH($F3061,Mapping!$A$17:$A$22,0)),$F3061)&amp;" "&amp;IF($G3061="Banking","Banking",IFERROR(INDEX(Mapping!$E$17:$E$28,MATCH($J3061,Mapping!$D$17:$D$28,0)),"(unmapped)")))))</f>
        <v/>
      </c>
    </row>
    <row r="3062" spans="11:11" x14ac:dyDescent="0.3">
      <c r="K3062" t="str">
        <f>IF($D3062="","",IFERROR(INDEX(Mapping!$H$3:$H$32,MATCH($B3062,Mapping!$G$3:$G$32,0)),IF(LEFT($F3062,3)="P2P",IFERROR(INDEX(Mapping!$E$3:$E$6,MATCH($G3062,Mapping!$D$3:$D$6,0)),IFERROR(INDEX(Mapping!$B$3:$B$13,MATCH($J3062,Mapping!$A$3:$A$13,0)),"(unmapped)")),IFERROR(INDEX(Mapping!$B$17:$B$22,MATCH($F3062,Mapping!$A$17:$A$22,0)),$F3062)&amp;" "&amp;IF($G3062="Banking","Banking",IFERROR(INDEX(Mapping!$E$17:$E$28,MATCH($J3062,Mapping!$D$17:$D$28,0)),"(unmapped)")))))</f>
        <v/>
      </c>
    </row>
    <row r="3063" spans="11:11" x14ac:dyDescent="0.3">
      <c r="K3063" t="str">
        <f>IF($D3063="","",IFERROR(INDEX(Mapping!$H$3:$H$32,MATCH($B3063,Mapping!$G$3:$G$32,0)),IF(LEFT($F3063,3)="P2P",IFERROR(INDEX(Mapping!$E$3:$E$6,MATCH($G3063,Mapping!$D$3:$D$6,0)),IFERROR(INDEX(Mapping!$B$3:$B$13,MATCH($J3063,Mapping!$A$3:$A$13,0)),"(unmapped)")),IFERROR(INDEX(Mapping!$B$17:$B$22,MATCH($F3063,Mapping!$A$17:$A$22,0)),$F3063)&amp;" "&amp;IF($G3063="Banking","Banking",IFERROR(INDEX(Mapping!$E$17:$E$28,MATCH($J3063,Mapping!$D$17:$D$28,0)),"(unmapped)")))))</f>
        <v/>
      </c>
    </row>
    <row r="3064" spans="11:11" x14ac:dyDescent="0.3">
      <c r="K3064" t="str">
        <f>IF($D3064="","",IFERROR(INDEX(Mapping!$H$3:$H$32,MATCH($B3064,Mapping!$G$3:$G$32,0)),IF(LEFT($F3064,3)="P2P",IFERROR(INDEX(Mapping!$E$3:$E$6,MATCH($G3064,Mapping!$D$3:$D$6,0)),IFERROR(INDEX(Mapping!$B$3:$B$13,MATCH($J3064,Mapping!$A$3:$A$13,0)),"(unmapped)")),IFERROR(INDEX(Mapping!$B$17:$B$22,MATCH($F3064,Mapping!$A$17:$A$22,0)),$F3064)&amp;" "&amp;IF($G3064="Banking","Banking",IFERROR(INDEX(Mapping!$E$17:$E$28,MATCH($J3064,Mapping!$D$17:$D$28,0)),"(unmapped)")))))</f>
        <v/>
      </c>
    </row>
    <row r="3065" spans="11:11" x14ac:dyDescent="0.3">
      <c r="K3065" t="str">
        <f>IF($D3065="","",IFERROR(INDEX(Mapping!$H$3:$H$32,MATCH($B3065,Mapping!$G$3:$G$32,0)),IF(LEFT($F3065,3)="P2P",IFERROR(INDEX(Mapping!$E$3:$E$6,MATCH($G3065,Mapping!$D$3:$D$6,0)),IFERROR(INDEX(Mapping!$B$3:$B$13,MATCH($J3065,Mapping!$A$3:$A$13,0)),"(unmapped)")),IFERROR(INDEX(Mapping!$B$17:$B$22,MATCH($F3065,Mapping!$A$17:$A$22,0)),$F3065)&amp;" "&amp;IF($G3065="Banking","Banking",IFERROR(INDEX(Mapping!$E$17:$E$28,MATCH($J3065,Mapping!$D$17:$D$28,0)),"(unmapped)")))))</f>
        <v/>
      </c>
    </row>
    <row r="3066" spans="11:11" x14ac:dyDescent="0.3">
      <c r="K3066" t="str">
        <f>IF($D3066="","",IFERROR(INDEX(Mapping!$H$3:$H$32,MATCH($B3066,Mapping!$G$3:$G$32,0)),IF(LEFT($F3066,3)="P2P",IFERROR(INDEX(Mapping!$E$3:$E$6,MATCH($G3066,Mapping!$D$3:$D$6,0)),IFERROR(INDEX(Mapping!$B$3:$B$13,MATCH($J3066,Mapping!$A$3:$A$13,0)),"(unmapped)")),IFERROR(INDEX(Mapping!$B$17:$B$22,MATCH($F3066,Mapping!$A$17:$A$22,0)),$F3066)&amp;" "&amp;IF($G3066="Banking","Banking",IFERROR(INDEX(Mapping!$E$17:$E$28,MATCH($J3066,Mapping!$D$17:$D$28,0)),"(unmapped)")))))</f>
        <v/>
      </c>
    </row>
    <row r="3067" spans="11:11" x14ac:dyDescent="0.3">
      <c r="K3067" t="str">
        <f>IF($D3067="","",IFERROR(INDEX(Mapping!$H$3:$H$32,MATCH($B3067,Mapping!$G$3:$G$32,0)),IF(LEFT($F3067,3)="P2P",IFERROR(INDEX(Mapping!$E$3:$E$6,MATCH($G3067,Mapping!$D$3:$D$6,0)),IFERROR(INDEX(Mapping!$B$3:$B$13,MATCH($J3067,Mapping!$A$3:$A$13,0)),"(unmapped)")),IFERROR(INDEX(Mapping!$B$17:$B$22,MATCH($F3067,Mapping!$A$17:$A$22,0)),$F3067)&amp;" "&amp;IF($G3067="Banking","Banking",IFERROR(INDEX(Mapping!$E$17:$E$28,MATCH($J3067,Mapping!$D$17:$D$28,0)),"(unmapped)")))))</f>
        <v/>
      </c>
    </row>
    <row r="3068" spans="11:11" x14ac:dyDescent="0.3">
      <c r="K3068" t="str">
        <f>IF($D3068="","",IFERROR(INDEX(Mapping!$H$3:$H$32,MATCH($B3068,Mapping!$G$3:$G$32,0)),IF(LEFT($F3068,3)="P2P",IFERROR(INDEX(Mapping!$E$3:$E$6,MATCH($G3068,Mapping!$D$3:$D$6,0)),IFERROR(INDEX(Mapping!$B$3:$B$13,MATCH($J3068,Mapping!$A$3:$A$13,0)),"(unmapped)")),IFERROR(INDEX(Mapping!$B$17:$B$22,MATCH($F3068,Mapping!$A$17:$A$22,0)),$F3068)&amp;" "&amp;IF($G3068="Banking","Banking",IFERROR(INDEX(Mapping!$E$17:$E$28,MATCH($J3068,Mapping!$D$17:$D$28,0)),"(unmapped)")))))</f>
        <v/>
      </c>
    </row>
    <row r="3069" spans="11:11" x14ac:dyDescent="0.3">
      <c r="K3069" t="str">
        <f>IF($D3069="","",IFERROR(INDEX(Mapping!$H$3:$H$32,MATCH($B3069,Mapping!$G$3:$G$32,0)),IF(LEFT($F3069,3)="P2P",IFERROR(INDEX(Mapping!$E$3:$E$6,MATCH($G3069,Mapping!$D$3:$D$6,0)),IFERROR(INDEX(Mapping!$B$3:$B$13,MATCH($J3069,Mapping!$A$3:$A$13,0)),"(unmapped)")),IFERROR(INDEX(Mapping!$B$17:$B$22,MATCH($F3069,Mapping!$A$17:$A$22,0)),$F3069)&amp;" "&amp;IF($G3069="Banking","Banking",IFERROR(INDEX(Mapping!$E$17:$E$28,MATCH($J3069,Mapping!$D$17:$D$28,0)),"(unmapped)")))))</f>
        <v/>
      </c>
    </row>
    <row r="3070" spans="11:11" x14ac:dyDescent="0.3">
      <c r="K3070" t="str">
        <f>IF($D3070="","",IFERROR(INDEX(Mapping!$H$3:$H$32,MATCH($B3070,Mapping!$G$3:$G$32,0)),IF(LEFT($F3070,3)="P2P",IFERROR(INDEX(Mapping!$E$3:$E$6,MATCH($G3070,Mapping!$D$3:$D$6,0)),IFERROR(INDEX(Mapping!$B$3:$B$13,MATCH($J3070,Mapping!$A$3:$A$13,0)),"(unmapped)")),IFERROR(INDEX(Mapping!$B$17:$B$22,MATCH($F3070,Mapping!$A$17:$A$22,0)),$F3070)&amp;" "&amp;IF($G3070="Banking","Banking",IFERROR(INDEX(Mapping!$E$17:$E$28,MATCH($J3070,Mapping!$D$17:$D$28,0)),"(unmapped)")))))</f>
        <v/>
      </c>
    </row>
    <row r="3071" spans="11:11" x14ac:dyDescent="0.3">
      <c r="K3071" t="str">
        <f>IF($D3071="","",IFERROR(INDEX(Mapping!$H$3:$H$32,MATCH($B3071,Mapping!$G$3:$G$32,0)),IF(LEFT($F3071,3)="P2P",IFERROR(INDEX(Mapping!$E$3:$E$6,MATCH($G3071,Mapping!$D$3:$D$6,0)),IFERROR(INDEX(Mapping!$B$3:$B$13,MATCH($J3071,Mapping!$A$3:$A$13,0)),"(unmapped)")),IFERROR(INDEX(Mapping!$B$17:$B$22,MATCH($F3071,Mapping!$A$17:$A$22,0)),$F3071)&amp;" "&amp;IF($G3071="Banking","Banking",IFERROR(INDEX(Mapping!$E$17:$E$28,MATCH($J3071,Mapping!$D$17:$D$28,0)),"(unmapped)")))))</f>
        <v/>
      </c>
    </row>
    <row r="3072" spans="11:11" x14ac:dyDescent="0.3">
      <c r="K3072" t="str">
        <f>IF($D3072="","",IFERROR(INDEX(Mapping!$H$3:$H$32,MATCH($B3072,Mapping!$G$3:$G$32,0)),IF(LEFT($F3072,3)="P2P",IFERROR(INDEX(Mapping!$E$3:$E$6,MATCH($G3072,Mapping!$D$3:$D$6,0)),IFERROR(INDEX(Mapping!$B$3:$B$13,MATCH($J3072,Mapping!$A$3:$A$13,0)),"(unmapped)")),IFERROR(INDEX(Mapping!$B$17:$B$22,MATCH($F3072,Mapping!$A$17:$A$22,0)),$F3072)&amp;" "&amp;IF($G3072="Banking","Banking",IFERROR(INDEX(Mapping!$E$17:$E$28,MATCH($J3072,Mapping!$D$17:$D$28,0)),"(unmapped)")))))</f>
        <v/>
      </c>
    </row>
    <row r="3073" spans="11:11" x14ac:dyDescent="0.3">
      <c r="K3073" t="str">
        <f>IF($D3073="","",IFERROR(INDEX(Mapping!$H$3:$H$32,MATCH($B3073,Mapping!$G$3:$G$32,0)),IF(LEFT($F3073,3)="P2P",IFERROR(INDEX(Mapping!$E$3:$E$6,MATCH($G3073,Mapping!$D$3:$D$6,0)),IFERROR(INDEX(Mapping!$B$3:$B$13,MATCH($J3073,Mapping!$A$3:$A$13,0)),"(unmapped)")),IFERROR(INDEX(Mapping!$B$17:$B$22,MATCH($F3073,Mapping!$A$17:$A$22,0)),$F3073)&amp;" "&amp;IF($G3073="Banking","Banking",IFERROR(INDEX(Mapping!$E$17:$E$28,MATCH($J3073,Mapping!$D$17:$D$28,0)),"(unmapped)")))))</f>
        <v/>
      </c>
    </row>
    <row r="3074" spans="11:11" x14ac:dyDescent="0.3">
      <c r="K3074" t="str">
        <f>IF($D3074="","",IFERROR(INDEX(Mapping!$H$3:$H$32,MATCH($B3074,Mapping!$G$3:$G$32,0)),IF(LEFT($F3074,3)="P2P",IFERROR(INDEX(Mapping!$E$3:$E$6,MATCH($G3074,Mapping!$D$3:$D$6,0)),IFERROR(INDEX(Mapping!$B$3:$B$13,MATCH($J3074,Mapping!$A$3:$A$13,0)),"(unmapped)")),IFERROR(INDEX(Mapping!$B$17:$B$22,MATCH($F3074,Mapping!$A$17:$A$22,0)),$F3074)&amp;" "&amp;IF($G3074="Banking","Banking",IFERROR(INDEX(Mapping!$E$17:$E$28,MATCH($J3074,Mapping!$D$17:$D$28,0)),"(unmapped)")))))</f>
        <v/>
      </c>
    </row>
    <row r="3075" spans="11:11" x14ac:dyDescent="0.3">
      <c r="K3075" t="str">
        <f>IF($D3075="","",IFERROR(INDEX(Mapping!$H$3:$H$32,MATCH($B3075,Mapping!$G$3:$G$32,0)),IF(LEFT($F3075,3)="P2P",IFERROR(INDEX(Mapping!$E$3:$E$6,MATCH($G3075,Mapping!$D$3:$D$6,0)),IFERROR(INDEX(Mapping!$B$3:$B$13,MATCH($J3075,Mapping!$A$3:$A$13,0)),"(unmapped)")),IFERROR(INDEX(Mapping!$B$17:$B$22,MATCH($F3075,Mapping!$A$17:$A$22,0)),$F3075)&amp;" "&amp;IF($G3075="Banking","Banking",IFERROR(INDEX(Mapping!$E$17:$E$28,MATCH($J3075,Mapping!$D$17:$D$28,0)),"(unmapped)")))))</f>
        <v/>
      </c>
    </row>
    <row r="3076" spans="11:11" x14ac:dyDescent="0.3">
      <c r="K3076" t="str">
        <f>IF($D3076="","",IFERROR(INDEX(Mapping!$H$3:$H$32,MATCH($B3076,Mapping!$G$3:$G$32,0)),IF(LEFT($F3076,3)="P2P",IFERROR(INDEX(Mapping!$E$3:$E$6,MATCH($G3076,Mapping!$D$3:$D$6,0)),IFERROR(INDEX(Mapping!$B$3:$B$13,MATCH($J3076,Mapping!$A$3:$A$13,0)),"(unmapped)")),IFERROR(INDEX(Mapping!$B$17:$B$22,MATCH($F3076,Mapping!$A$17:$A$22,0)),$F3076)&amp;" "&amp;IF($G3076="Banking","Banking",IFERROR(INDEX(Mapping!$E$17:$E$28,MATCH($J3076,Mapping!$D$17:$D$28,0)),"(unmapped)")))))</f>
        <v/>
      </c>
    </row>
    <row r="3077" spans="11:11" x14ac:dyDescent="0.3">
      <c r="K3077" t="str">
        <f>IF($D3077="","",IFERROR(INDEX(Mapping!$H$3:$H$32,MATCH($B3077,Mapping!$G$3:$G$32,0)),IF(LEFT($F3077,3)="P2P",IFERROR(INDEX(Mapping!$E$3:$E$6,MATCH($G3077,Mapping!$D$3:$D$6,0)),IFERROR(INDEX(Mapping!$B$3:$B$13,MATCH($J3077,Mapping!$A$3:$A$13,0)),"(unmapped)")),IFERROR(INDEX(Mapping!$B$17:$B$22,MATCH($F3077,Mapping!$A$17:$A$22,0)),$F3077)&amp;" "&amp;IF($G3077="Banking","Banking",IFERROR(INDEX(Mapping!$E$17:$E$28,MATCH($J3077,Mapping!$D$17:$D$28,0)),"(unmapped)")))))</f>
        <v/>
      </c>
    </row>
    <row r="3078" spans="11:11" x14ac:dyDescent="0.3">
      <c r="K3078" t="str">
        <f>IF($D3078="","",IFERROR(INDEX(Mapping!$H$3:$H$32,MATCH($B3078,Mapping!$G$3:$G$32,0)),IF(LEFT($F3078,3)="P2P",IFERROR(INDEX(Mapping!$E$3:$E$6,MATCH($G3078,Mapping!$D$3:$D$6,0)),IFERROR(INDEX(Mapping!$B$3:$B$13,MATCH($J3078,Mapping!$A$3:$A$13,0)),"(unmapped)")),IFERROR(INDEX(Mapping!$B$17:$B$22,MATCH($F3078,Mapping!$A$17:$A$22,0)),$F3078)&amp;" "&amp;IF($G3078="Banking","Banking",IFERROR(INDEX(Mapping!$E$17:$E$28,MATCH($J3078,Mapping!$D$17:$D$28,0)),"(unmapped)")))))</f>
        <v/>
      </c>
    </row>
    <row r="3079" spans="11:11" x14ac:dyDescent="0.3">
      <c r="K3079" t="str">
        <f>IF($D3079="","",IFERROR(INDEX(Mapping!$H$3:$H$32,MATCH($B3079,Mapping!$G$3:$G$32,0)),IF(LEFT($F3079,3)="P2P",IFERROR(INDEX(Mapping!$E$3:$E$6,MATCH($G3079,Mapping!$D$3:$D$6,0)),IFERROR(INDEX(Mapping!$B$3:$B$13,MATCH($J3079,Mapping!$A$3:$A$13,0)),"(unmapped)")),IFERROR(INDEX(Mapping!$B$17:$B$22,MATCH($F3079,Mapping!$A$17:$A$22,0)),$F3079)&amp;" "&amp;IF($G3079="Banking","Banking",IFERROR(INDEX(Mapping!$E$17:$E$28,MATCH($J3079,Mapping!$D$17:$D$28,0)),"(unmapped)")))))</f>
        <v/>
      </c>
    </row>
    <row r="3080" spans="11:11" x14ac:dyDescent="0.3">
      <c r="K3080" t="str">
        <f>IF($D3080="","",IFERROR(INDEX(Mapping!$H$3:$H$32,MATCH($B3080,Mapping!$G$3:$G$32,0)),IF(LEFT($F3080,3)="P2P",IFERROR(INDEX(Mapping!$E$3:$E$6,MATCH($G3080,Mapping!$D$3:$D$6,0)),IFERROR(INDEX(Mapping!$B$3:$B$13,MATCH($J3080,Mapping!$A$3:$A$13,0)),"(unmapped)")),IFERROR(INDEX(Mapping!$B$17:$B$22,MATCH($F3080,Mapping!$A$17:$A$22,0)),$F3080)&amp;" "&amp;IF($G3080="Banking","Banking",IFERROR(INDEX(Mapping!$E$17:$E$28,MATCH($J3080,Mapping!$D$17:$D$28,0)),"(unmapped)")))))</f>
        <v/>
      </c>
    </row>
    <row r="3081" spans="11:11" x14ac:dyDescent="0.3">
      <c r="K3081" t="str">
        <f>IF($D3081="","",IFERROR(INDEX(Mapping!$H$3:$H$32,MATCH($B3081,Mapping!$G$3:$G$32,0)),IF(LEFT($F3081,3)="P2P",IFERROR(INDEX(Mapping!$E$3:$E$6,MATCH($G3081,Mapping!$D$3:$D$6,0)),IFERROR(INDEX(Mapping!$B$3:$B$13,MATCH($J3081,Mapping!$A$3:$A$13,0)),"(unmapped)")),IFERROR(INDEX(Mapping!$B$17:$B$22,MATCH($F3081,Mapping!$A$17:$A$22,0)),$F3081)&amp;" "&amp;IF($G3081="Banking","Banking",IFERROR(INDEX(Mapping!$E$17:$E$28,MATCH($J3081,Mapping!$D$17:$D$28,0)),"(unmapped)")))))</f>
        <v/>
      </c>
    </row>
    <row r="3082" spans="11:11" x14ac:dyDescent="0.3">
      <c r="K3082" t="str">
        <f>IF($D3082="","",IFERROR(INDEX(Mapping!$H$3:$H$32,MATCH($B3082,Mapping!$G$3:$G$32,0)),IF(LEFT($F3082,3)="P2P",IFERROR(INDEX(Mapping!$E$3:$E$6,MATCH($G3082,Mapping!$D$3:$D$6,0)),IFERROR(INDEX(Mapping!$B$3:$B$13,MATCH($J3082,Mapping!$A$3:$A$13,0)),"(unmapped)")),IFERROR(INDEX(Mapping!$B$17:$B$22,MATCH($F3082,Mapping!$A$17:$A$22,0)),$F3082)&amp;" "&amp;IF($G3082="Banking","Banking",IFERROR(INDEX(Mapping!$E$17:$E$28,MATCH($J3082,Mapping!$D$17:$D$28,0)),"(unmapped)")))))</f>
        <v/>
      </c>
    </row>
    <row r="3083" spans="11:11" x14ac:dyDescent="0.3">
      <c r="K3083" t="str">
        <f>IF($D3083="","",IFERROR(INDEX(Mapping!$H$3:$H$32,MATCH($B3083,Mapping!$G$3:$G$32,0)),IF(LEFT($F3083,3)="P2P",IFERROR(INDEX(Mapping!$E$3:$E$6,MATCH($G3083,Mapping!$D$3:$D$6,0)),IFERROR(INDEX(Mapping!$B$3:$B$13,MATCH($J3083,Mapping!$A$3:$A$13,0)),"(unmapped)")),IFERROR(INDEX(Mapping!$B$17:$B$22,MATCH($F3083,Mapping!$A$17:$A$22,0)),$F3083)&amp;" "&amp;IF($G3083="Banking","Banking",IFERROR(INDEX(Mapping!$E$17:$E$28,MATCH($J3083,Mapping!$D$17:$D$28,0)),"(unmapped)")))))</f>
        <v/>
      </c>
    </row>
    <row r="3084" spans="11:11" x14ac:dyDescent="0.3">
      <c r="K3084" t="str">
        <f>IF($D3084="","",IFERROR(INDEX(Mapping!$H$3:$H$32,MATCH($B3084,Mapping!$G$3:$G$32,0)),IF(LEFT($F3084,3)="P2P",IFERROR(INDEX(Mapping!$E$3:$E$6,MATCH($G3084,Mapping!$D$3:$D$6,0)),IFERROR(INDEX(Mapping!$B$3:$B$13,MATCH($J3084,Mapping!$A$3:$A$13,0)),"(unmapped)")),IFERROR(INDEX(Mapping!$B$17:$B$22,MATCH($F3084,Mapping!$A$17:$A$22,0)),$F3084)&amp;" "&amp;IF($G3084="Banking","Banking",IFERROR(INDEX(Mapping!$E$17:$E$28,MATCH($J3084,Mapping!$D$17:$D$28,0)),"(unmapped)")))))</f>
        <v/>
      </c>
    </row>
    <row r="3085" spans="11:11" x14ac:dyDescent="0.3">
      <c r="K3085" t="str">
        <f>IF($D3085="","",IFERROR(INDEX(Mapping!$H$3:$H$32,MATCH($B3085,Mapping!$G$3:$G$32,0)),IF(LEFT($F3085,3)="P2P",IFERROR(INDEX(Mapping!$E$3:$E$6,MATCH($G3085,Mapping!$D$3:$D$6,0)),IFERROR(INDEX(Mapping!$B$3:$B$13,MATCH($J3085,Mapping!$A$3:$A$13,0)),"(unmapped)")),IFERROR(INDEX(Mapping!$B$17:$B$22,MATCH($F3085,Mapping!$A$17:$A$22,0)),$F3085)&amp;" "&amp;IF($G3085="Banking","Banking",IFERROR(INDEX(Mapping!$E$17:$E$28,MATCH($J3085,Mapping!$D$17:$D$28,0)),"(unmapped)")))))</f>
        <v/>
      </c>
    </row>
    <row r="3086" spans="11:11" x14ac:dyDescent="0.3">
      <c r="K3086" t="str">
        <f>IF($D3086="","",IFERROR(INDEX(Mapping!$H$3:$H$32,MATCH($B3086,Mapping!$G$3:$G$32,0)),IF(LEFT($F3086,3)="P2P",IFERROR(INDEX(Mapping!$E$3:$E$6,MATCH($G3086,Mapping!$D$3:$D$6,0)),IFERROR(INDEX(Mapping!$B$3:$B$13,MATCH($J3086,Mapping!$A$3:$A$13,0)),"(unmapped)")),IFERROR(INDEX(Mapping!$B$17:$B$22,MATCH($F3086,Mapping!$A$17:$A$22,0)),$F3086)&amp;" "&amp;IF($G3086="Banking","Banking",IFERROR(INDEX(Mapping!$E$17:$E$28,MATCH($J3086,Mapping!$D$17:$D$28,0)),"(unmapped)")))))</f>
        <v/>
      </c>
    </row>
    <row r="3087" spans="11:11" x14ac:dyDescent="0.3">
      <c r="K3087" t="str">
        <f>IF($D3087="","",IFERROR(INDEX(Mapping!$H$3:$H$32,MATCH($B3087,Mapping!$G$3:$G$32,0)),IF(LEFT($F3087,3)="P2P",IFERROR(INDEX(Mapping!$E$3:$E$6,MATCH($G3087,Mapping!$D$3:$D$6,0)),IFERROR(INDEX(Mapping!$B$3:$B$13,MATCH($J3087,Mapping!$A$3:$A$13,0)),"(unmapped)")),IFERROR(INDEX(Mapping!$B$17:$B$22,MATCH($F3087,Mapping!$A$17:$A$22,0)),$F3087)&amp;" "&amp;IF($G3087="Banking","Banking",IFERROR(INDEX(Mapping!$E$17:$E$28,MATCH($J3087,Mapping!$D$17:$D$28,0)),"(unmapped)")))))</f>
        <v/>
      </c>
    </row>
    <row r="3088" spans="11:11" x14ac:dyDescent="0.3">
      <c r="K3088" t="str">
        <f>IF($D3088="","",IFERROR(INDEX(Mapping!$H$3:$H$32,MATCH($B3088,Mapping!$G$3:$G$32,0)),IF(LEFT($F3088,3)="P2P",IFERROR(INDEX(Mapping!$E$3:$E$6,MATCH($G3088,Mapping!$D$3:$D$6,0)),IFERROR(INDEX(Mapping!$B$3:$B$13,MATCH($J3088,Mapping!$A$3:$A$13,0)),"(unmapped)")),IFERROR(INDEX(Mapping!$B$17:$B$22,MATCH($F3088,Mapping!$A$17:$A$22,0)),$F3088)&amp;" "&amp;IF($G3088="Banking","Banking",IFERROR(INDEX(Mapping!$E$17:$E$28,MATCH($J3088,Mapping!$D$17:$D$28,0)),"(unmapped)")))))</f>
        <v/>
      </c>
    </row>
    <row r="3089" spans="11:11" x14ac:dyDescent="0.3">
      <c r="K3089" t="str">
        <f>IF($D3089="","",IFERROR(INDEX(Mapping!$H$3:$H$32,MATCH($B3089,Mapping!$G$3:$G$32,0)),IF(LEFT($F3089,3)="P2P",IFERROR(INDEX(Mapping!$E$3:$E$6,MATCH($G3089,Mapping!$D$3:$D$6,0)),IFERROR(INDEX(Mapping!$B$3:$B$13,MATCH($J3089,Mapping!$A$3:$A$13,0)),"(unmapped)")),IFERROR(INDEX(Mapping!$B$17:$B$22,MATCH($F3089,Mapping!$A$17:$A$22,0)),$F3089)&amp;" "&amp;IF($G3089="Banking","Banking",IFERROR(INDEX(Mapping!$E$17:$E$28,MATCH($J3089,Mapping!$D$17:$D$28,0)),"(unmapped)")))))</f>
        <v/>
      </c>
    </row>
    <row r="3090" spans="11:11" x14ac:dyDescent="0.3">
      <c r="K3090" t="str">
        <f>IF($D3090="","",IFERROR(INDEX(Mapping!$H$3:$H$32,MATCH($B3090,Mapping!$G$3:$G$32,0)),IF(LEFT($F3090,3)="P2P",IFERROR(INDEX(Mapping!$E$3:$E$6,MATCH($G3090,Mapping!$D$3:$D$6,0)),IFERROR(INDEX(Mapping!$B$3:$B$13,MATCH($J3090,Mapping!$A$3:$A$13,0)),"(unmapped)")),IFERROR(INDEX(Mapping!$B$17:$B$22,MATCH($F3090,Mapping!$A$17:$A$22,0)),$F3090)&amp;" "&amp;IF($G3090="Banking","Banking",IFERROR(INDEX(Mapping!$E$17:$E$28,MATCH($J3090,Mapping!$D$17:$D$28,0)),"(unmapped)")))))</f>
        <v/>
      </c>
    </row>
    <row r="3091" spans="11:11" x14ac:dyDescent="0.3">
      <c r="K3091" t="str">
        <f>IF($D3091="","",IFERROR(INDEX(Mapping!$H$3:$H$32,MATCH($B3091,Mapping!$G$3:$G$32,0)),IF(LEFT($F3091,3)="P2P",IFERROR(INDEX(Mapping!$E$3:$E$6,MATCH($G3091,Mapping!$D$3:$D$6,0)),IFERROR(INDEX(Mapping!$B$3:$B$13,MATCH($J3091,Mapping!$A$3:$A$13,0)),"(unmapped)")),IFERROR(INDEX(Mapping!$B$17:$B$22,MATCH($F3091,Mapping!$A$17:$A$22,0)),$F3091)&amp;" "&amp;IF($G3091="Banking","Banking",IFERROR(INDEX(Mapping!$E$17:$E$28,MATCH($J3091,Mapping!$D$17:$D$28,0)),"(unmapped)")))))</f>
        <v/>
      </c>
    </row>
    <row r="3092" spans="11:11" x14ac:dyDescent="0.3">
      <c r="K3092" t="str">
        <f>IF($D3092="","",IFERROR(INDEX(Mapping!$H$3:$H$32,MATCH($B3092,Mapping!$G$3:$G$32,0)),IF(LEFT($F3092,3)="P2P",IFERROR(INDEX(Mapping!$E$3:$E$6,MATCH($G3092,Mapping!$D$3:$D$6,0)),IFERROR(INDEX(Mapping!$B$3:$B$13,MATCH($J3092,Mapping!$A$3:$A$13,0)),"(unmapped)")),IFERROR(INDEX(Mapping!$B$17:$B$22,MATCH($F3092,Mapping!$A$17:$A$22,0)),$F3092)&amp;" "&amp;IF($G3092="Banking","Banking",IFERROR(INDEX(Mapping!$E$17:$E$28,MATCH($J3092,Mapping!$D$17:$D$28,0)),"(unmapped)")))))</f>
        <v/>
      </c>
    </row>
    <row r="3093" spans="11:11" x14ac:dyDescent="0.3">
      <c r="K3093" t="str">
        <f>IF($D3093="","",IFERROR(INDEX(Mapping!$H$3:$H$32,MATCH($B3093,Mapping!$G$3:$G$32,0)),IF(LEFT($F3093,3)="P2P",IFERROR(INDEX(Mapping!$E$3:$E$6,MATCH($G3093,Mapping!$D$3:$D$6,0)),IFERROR(INDEX(Mapping!$B$3:$B$13,MATCH($J3093,Mapping!$A$3:$A$13,0)),"(unmapped)")),IFERROR(INDEX(Mapping!$B$17:$B$22,MATCH($F3093,Mapping!$A$17:$A$22,0)),$F3093)&amp;" "&amp;IF($G3093="Banking","Banking",IFERROR(INDEX(Mapping!$E$17:$E$28,MATCH($J3093,Mapping!$D$17:$D$28,0)),"(unmapped)")))))</f>
        <v/>
      </c>
    </row>
    <row r="3094" spans="11:11" x14ac:dyDescent="0.3">
      <c r="K3094" t="str">
        <f>IF($D3094="","",IFERROR(INDEX(Mapping!$H$3:$H$32,MATCH($B3094,Mapping!$G$3:$G$32,0)),IF(LEFT($F3094,3)="P2P",IFERROR(INDEX(Mapping!$E$3:$E$6,MATCH($G3094,Mapping!$D$3:$D$6,0)),IFERROR(INDEX(Mapping!$B$3:$B$13,MATCH($J3094,Mapping!$A$3:$A$13,0)),"(unmapped)")),IFERROR(INDEX(Mapping!$B$17:$B$22,MATCH($F3094,Mapping!$A$17:$A$22,0)),$F3094)&amp;" "&amp;IF($G3094="Banking","Banking",IFERROR(INDEX(Mapping!$E$17:$E$28,MATCH($J3094,Mapping!$D$17:$D$28,0)),"(unmapped)")))))</f>
        <v/>
      </c>
    </row>
    <row r="3095" spans="11:11" x14ac:dyDescent="0.3">
      <c r="K3095" t="str">
        <f>IF($D3095="","",IFERROR(INDEX(Mapping!$H$3:$H$32,MATCH($B3095,Mapping!$G$3:$G$32,0)),IF(LEFT($F3095,3)="P2P",IFERROR(INDEX(Mapping!$E$3:$E$6,MATCH($G3095,Mapping!$D$3:$D$6,0)),IFERROR(INDEX(Mapping!$B$3:$B$13,MATCH($J3095,Mapping!$A$3:$A$13,0)),"(unmapped)")),IFERROR(INDEX(Mapping!$B$17:$B$22,MATCH($F3095,Mapping!$A$17:$A$22,0)),$F3095)&amp;" "&amp;IF($G3095="Banking","Banking",IFERROR(INDEX(Mapping!$E$17:$E$28,MATCH($J3095,Mapping!$D$17:$D$28,0)),"(unmapped)")))))</f>
        <v/>
      </c>
    </row>
    <row r="3096" spans="11:11" x14ac:dyDescent="0.3">
      <c r="K3096" t="str">
        <f>IF($D3096="","",IFERROR(INDEX(Mapping!$H$3:$H$32,MATCH($B3096,Mapping!$G$3:$G$32,0)),IF(LEFT($F3096,3)="P2P",IFERROR(INDEX(Mapping!$E$3:$E$6,MATCH($G3096,Mapping!$D$3:$D$6,0)),IFERROR(INDEX(Mapping!$B$3:$B$13,MATCH($J3096,Mapping!$A$3:$A$13,0)),"(unmapped)")),IFERROR(INDEX(Mapping!$B$17:$B$22,MATCH($F3096,Mapping!$A$17:$A$22,0)),$F3096)&amp;" "&amp;IF($G3096="Banking","Banking",IFERROR(INDEX(Mapping!$E$17:$E$28,MATCH($J3096,Mapping!$D$17:$D$28,0)),"(unmapped)")))))</f>
        <v/>
      </c>
    </row>
    <row r="3097" spans="11:11" x14ac:dyDescent="0.3">
      <c r="K3097" t="str">
        <f>IF($D3097="","",IFERROR(INDEX(Mapping!$H$3:$H$32,MATCH($B3097,Mapping!$G$3:$G$32,0)),IF(LEFT($F3097,3)="P2P",IFERROR(INDEX(Mapping!$E$3:$E$6,MATCH($G3097,Mapping!$D$3:$D$6,0)),IFERROR(INDEX(Mapping!$B$3:$B$13,MATCH($J3097,Mapping!$A$3:$A$13,0)),"(unmapped)")),IFERROR(INDEX(Mapping!$B$17:$B$22,MATCH($F3097,Mapping!$A$17:$A$22,0)),$F3097)&amp;" "&amp;IF($G3097="Banking","Banking",IFERROR(INDEX(Mapping!$E$17:$E$28,MATCH($J3097,Mapping!$D$17:$D$28,0)),"(unmapped)")))))</f>
        <v/>
      </c>
    </row>
    <row r="3098" spans="11:11" x14ac:dyDescent="0.3">
      <c r="K3098" t="str">
        <f>IF($D3098="","",IFERROR(INDEX(Mapping!$H$3:$H$32,MATCH($B3098,Mapping!$G$3:$G$32,0)),IF(LEFT($F3098,3)="P2P",IFERROR(INDEX(Mapping!$E$3:$E$6,MATCH($G3098,Mapping!$D$3:$D$6,0)),IFERROR(INDEX(Mapping!$B$3:$B$13,MATCH($J3098,Mapping!$A$3:$A$13,0)),"(unmapped)")),IFERROR(INDEX(Mapping!$B$17:$B$22,MATCH($F3098,Mapping!$A$17:$A$22,0)),$F3098)&amp;" "&amp;IF($G3098="Banking","Banking",IFERROR(INDEX(Mapping!$E$17:$E$28,MATCH($J3098,Mapping!$D$17:$D$28,0)),"(unmapped)")))))</f>
        <v/>
      </c>
    </row>
    <row r="3099" spans="11:11" x14ac:dyDescent="0.3">
      <c r="K3099" t="str">
        <f>IF($D3099="","",IFERROR(INDEX(Mapping!$H$3:$H$32,MATCH($B3099,Mapping!$G$3:$G$32,0)),IF(LEFT($F3099,3)="P2P",IFERROR(INDEX(Mapping!$E$3:$E$6,MATCH($G3099,Mapping!$D$3:$D$6,0)),IFERROR(INDEX(Mapping!$B$3:$B$13,MATCH($J3099,Mapping!$A$3:$A$13,0)),"(unmapped)")),IFERROR(INDEX(Mapping!$B$17:$B$22,MATCH($F3099,Mapping!$A$17:$A$22,0)),$F3099)&amp;" "&amp;IF($G3099="Banking","Banking",IFERROR(INDEX(Mapping!$E$17:$E$28,MATCH($J3099,Mapping!$D$17:$D$28,0)),"(unmapped)")))))</f>
        <v/>
      </c>
    </row>
    <row r="3100" spans="11:11" x14ac:dyDescent="0.3">
      <c r="K3100" t="str">
        <f>IF($D3100="","",IFERROR(INDEX(Mapping!$H$3:$H$32,MATCH($B3100,Mapping!$G$3:$G$32,0)),IF(LEFT($F3100,3)="P2P",IFERROR(INDEX(Mapping!$E$3:$E$6,MATCH($G3100,Mapping!$D$3:$D$6,0)),IFERROR(INDEX(Mapping!$B$3:$B$13,MATCH($J3100,Mapping!$A$3:$A$13,0)),"(unmapped)")),IFERROR(INDEX(Mapping!$B$17:$B$22,MATCH($F3100,Mapping!$A$17:$A$22,0)),$F3100)&amp;" "&amp;IF($G3100="Banking","Banking",IFERROR(INDEX(Mapping!$E$17:$E$28,MATCH($J3100,Mapping!$D$17:$D$28,0)),"(unmapped)")))))</f>
        <v/>
      </c>
    </row>
    <row r="3101" spans="11:11" x14ac:dyDescent="0.3">
      <c r="K3101" t="str">
        <f>IF($D3101="","",IFERROR(INDEX(Mapping!$H$3:$H$32,MATCH($B3101,Mapping!$G$3:$G$32,0)),IF(LEFT($F3101,3)="P2P",IFERROR(INDEX(Mapping!$E$3:$E$6,MATCH($G3101,Mapping!$D$3:$D$6,0)),IFERROR(INDEX(Mapping!$B$3:$B$13,MATCH($J3101,Mapping!$A$3:$A$13,0)),"(unmapped)")),IFERROR(INDEX(Mapping!$B$17:$B$22,MATCH($F3101,Mapping!$A$17:$A$22,0)),$F3101)&amp;" "&amp;IF($G3101="Banking","Banking",IFERROR(INDEX(Mapping!$E$17:$E$28,MATCH($J3101,Mapping!$D$17:$D$28,0)),"(unmapped)")))))</f>
        <v/>
      </c>
    </row>
    <row r="3102" spans="11:11" x14ac:dyDescent="0.3">
      <c r="K3102" t="str">
        <f>IF($D3102="","",IFERROR(INDEX(Mapping!$H$3:$H$32,MATCH($B3102,Mapping!$G$3:$G$32,0)),IF(LEFT($F3102,3)="P2P",IFERROR(INDEX(Mapping!$E$3:$E$6,MATCH($G3102,Mapping!$D$3:$D$6,0)),IFERROR(INDEX(Mapping!$B$3:$B$13,MATCH($J3102,Mapping!$A$3:$A$13,0)),"(unmapped)")),IFERROR(INDEX(Mapping!$B$17:$B$22,MATCH($F3102,Mapping!$A$17:$A$22,0)),$F3102)&amp;" "&amp;IF($G3102="Banking","Banking",IFERROR(INDEX(Mapping!$E$17:$E$28,MATCH($J3102,Mapping!$D$17:$D$28,0)),"(unmapped)")))))</f>
        <v/>
      </c>
    </row>
    <row r="3103" spans="11:11" x14ac:dyDescent="0.3">
      <c r="K3103" t="str">
        <f>IF($D3103="","",IFERROR(INDEX(Mapping!$H$3:$H$32,MATCH($B3103,Mapping!$G$3:$G$32,0)),IF(LEFT($F3103,3)="P2P",IFERROR(INDEX(Mapping!$E$3:$E$6,MATCH($G3103,Mapping!$D$3:$D$6,0)),IFERROR(INDEX(Mapping!$B$3:$B$13,MATCH($J3103,Mapping!$A$3:$A$13,0)),"(unmapped)")),IFERROR(INDEX(Mapping!$B$17:$B$22,MATCH($F3103,Mapping!$A$17:$A$22,0)),$F3103)&amp;" "&amp;IF($G3103="Banking","Banking",IFERROR(INDEX(Mapping!$E$17:$E$28,MATCH($J3103,Mapping!$D$17:$D$28,0)),"(unmapped)")))))</f>
        <v/>
      </c>
    </row>
    <row r="3104" spans="11:11" x14ac:dyDescent="0.3">
      <c r="K3104" t="str">
        <f>IF($D3104="","",IFERROR(INDEX(Mapping!$H$3:$H$32,MATCH($B3104,Mapping!$G$3:$G$32,0)),IF(LEFT($F3104,3)="P2P",IFERROR(INDEX(Mapping!$E$3:$E$6,MATCH($G3104,Mapping!$D$3:$D$6,0)),IFERROR(INDEX(Mapping!$B$3:$B$13,MATCH($J3104,Mapping!$A$3:$A$13,0)),"(unmapped)")),IFERROR(INDEX(Mapping!$B$17:$B$22,MATCH($F3104,Mapping!$A$17:$A$22,0)),$F3104)&amp;" "&amp;IF($G3104="Banking","Banking",IFERROR(INDEX(Mapping!$E$17:$E$28,MATCH($J3104,Mapping!$D$17:$D$28,0)),"(unmapped)")))))</f>
        <v/>
      </c>
    </row>
    <row r="3105" spans="11:11" x14ac:dyDescent="0.3">
      <c r="K3105" t="str">
        <f>IF($D3105="","",IFERROR(INDEX(Mapping!$H$3:$H$32,MATCH($B3105,Mapping!$G$3:$G$32,0)),IF(LEFT($F3105,3)="P2P",IFERROR(INDEX(Mapping!$E$3:$E$6,MATCH($G3105,Mapping!$D$3:$D$6,0)),IFERROR(INDEX(Mapping!$B$3:$B$13,MATCH($J3105,Mapping!$A$3:$A$13,0)),"(unmapped)")),IFERROR(INDEX(Mapping!$B$17:$B$22,MATCH($F3105,Mapping!$A$17:$A$22,0)),$F3105)&amp;" "&amp;IF($G3105="Banking","Banking",IFERROR(INDEX(Mapping!$E$17:$E$28,MATCH($J3105,Mapping!$D$17:$D$28,0)),"(unmapped)")))))</f>
        <v/>
      </c>
    </row>
    <row r="3106" spans="11:11" x14ac:dyDescent="0.3">
      <c r="K3106" t="str">
        <f>IF($D3106="","",IFERROR(INDEX(Mapping!$H$3:$H$32,MATCH($B3106,Mapping!$G$3:$G$32,0)),IF(LEFT($F3106,3)="P2P",IFERROR(INDEX(Mapping!$E$3:$E$6,MATCH($G3106,Mapping!$D$3:$D$6,0)),IFERROR(INDEX(Mapping!$B$3:$B$13,MATCH($J3106,Mapping!$A$3:$A$13,0)),"(unmapped)")),IFERROR(INDEX(Mapping!$B$17:$B$22,MATCH($F3106,Mapping!$A$17:$A$22,0)),$F3106)&amp;" "&amp;IF($G3106="Banking","Banking",IFERROR(INDEX(Mapping!$E$17:$E$28,MATCH($J3106,Mapping!$D$17:$D$28,0)),"(unmapped)")))))</f>
        <v/>
      </c>
    </row>
    <row r="3107" spans="11:11" x14ac:dyDescent="0.3">
      <c r="K3107" t="str">
        <f>IF($D3107="","",IFERROR(INDEX(Mapping!$H$3:$H$32,MATCH($B3107,Mapping!$G$3:$G$32,0)),IF(LEFT($F3107,3)="P2P",IFERROR(INDEX(Mapping!$E$3:$E$6,MATCH($G3107,Mapping!$D$3:$D$6,0)),IFERROR(INDEX(Mapping!$B$3:$B$13,MATCH($J3107,Mapping!$A$3:$A$13,0)),"(unmapped)")),IFERROR(INDEX(Mapping!$B$17:$B$22,MATCH($F3107,Mapping!$A$17:$A$22,0)),$F3107)&amp;" "&amp;IF($G3107="Banking","Banking",IFERROR(INDEX(Mapping!$E$17:$E$28,MATCH($J3107,Mapping!$D$17:$D$28,0)),"(unmapped)")))))</f>
        <v/>
      </c>
    </row>
    <row r="3108" spans="11:11" x14ac:dyDescent="0.3">
      <c r="K3108" t="str">
        <f>IF($D3108="","",IFERROR(INDEX(Mapping!$H$3:$H$32,MATCH($B3108,Mapping!$G$3:$G$32,0)),IF(LEFT($F3108,3)="P2P",IFERROR(INDEX(Mapping!$E$3:$E$6,MATCH($G3108,Mapping!$D$3:$D$6,0)),IFERROR(INDEX(Mapping!$B$3:$B$13,MATCH($J3108,Mapping!$A$3:$A$13,0)),"(unmapped)")),IFERROR(INDEX(Mapping!$B$17:$B$22,MATCH($F3108,Mapping!$A$17:$A$22,0)),$F3108)&amp;" "&amp;IF($G3108="Banking","Banking",IFERROR(INDEX(Mapping!$E$17:$E$28,MATCH($J3108,Mapping!$D$17:$D$28,0)),"(unmapped)")))))</f>
        <v/>
      </c>
    </row>
    <row r="3109" spans="11:11" x14ac:dyDescent="0.3">
      <c r="K3109" t="str">
        <f>IF($D3109="","",IFERROR(INDEX(Mapping!$H$3:$H$32,MATCH($B3109,Mapping!$G$3:$G$32,0)),IF(LEFT($F3109,3)="P2P",IFERROR(INDEX(Mapping!$E$3:$E$6,MATCH($G3109,Mapping!$D$3:$D$6,0)),IFERROR(INDEX(Mapping!$B$3:$B$13,MATCH($J3109,Mapping!$A$3:$A$13,0)),"(unmapped)")),IFERROR(INDEX(Mapping!$B$17:$B$22,MATCH($F3109,Mapping!$A$17:$A$22,0)),$F3109)&amp;" "&amp;IF($G3109="Banking","Banking",IFERROR(INDEX(Mapping!$E$17:$E$28,MATCH($J3109,Mapping!$D$17:$D$28,0)),"(unmapped)")))))</f>
        <v/>
      </c>
    </row>
    <row r="3110" spans="11:11" x14ac:dyDescent="0.3">
      <c r="K3110" t="str">
        <f>IF($D3110="","",IFERROR(INDEX(Mapping!$H$3:$H$32,MATCH($B3110,Mapping!$G$3:$G$32,0)),IF(LEFT($F3110,3)="P2P",IFERROR(INDEX(Mapping!$E$3:$E$6,MATCH($G3110,Mapping!$D$3:$D$6,0)),IFERROR(INDEX(Mapping!$B$3:$B$13,MATCH($J3110,Mapping!$A$3:$A$13,0)),"(unmapped)")),IFERROR(INDEX(Mapping!$B$17:$B$22,MATCH($F3110,Mapping!$A$17:$A$22,0)),$F3110)&amp;" "&amp;IF($G3110="Banking","Banking",IFERROR(INDEX(Mapping!$E$17:$E$28,MATCH($J3110,Mapping!$D$17:$D$28,0)),"(unmapped)")))))</f>
        <v/>
      </c>
    </row>
    <row r="3111" spans="11:11" x14ac:dyDescent="0.3">
      <c r="K3111" t="str">
        <f>IF($D3111="","",IFERROR(INDEX(Mapping!$H$3:$H$32,MATCH($B3111,Mapping!$G$3:$G$32,0)),IF(LEFT($F3111,3)="P2P",IFERROR(INDEX(Mapping!$E$3:$E$6,MATCH($G3111,Mapping!$D$3:$D$6,0)),IFERROR(INDEX(Mapping!$B$3:$B$13,MATCH($J3111,Mapping!$A$3:$A$13,0)),"(unmapped)")),IFERROR(INDEX(Mapping!$B$17:$B$22,MATCH($F3111,Mapping!$A$17:$A$22,0)),$F3111)&amp;" "&amp;IF($G3111="Banking","Banking",IFERROR(INDEX(Mapping!$E$17:$E$28,MATCH($J3111,Mapping!$D$17:$D$28,0)),"(unmapped)")))))</f>
        <v/>
      </c>
    </row>
    <row r="3112" spans="11:11" x14ac:dyDescent="0.3">
      <c r="K3112" t="str">
        <f>IF($D3112="","",IFERROR(INDEX(Mapping!$H$3:$H$32,MATCH($B3112,Mapping!$G$3:$G$32,0)),IF(LEFT($F3112,3)="P2P",IFERROR(INDEX(Mapping!$E$3:$E$6,MATCH($G3112,Mapping!$D$3:$D$6,0)),IFERROR(INDEX(Mapping!$B$3:$B$13,MATCH($J3112,Mapping!$A$3:$A$13,0)),"(unmapped)")),IFERROR(INDEX(Mapping!$B$17:$B$22,MATCH($F3112,Mapping!$A$17:$A$22,0)),$F3112)&amp;" "&amp;IF($G3112="Banking","Banking",IFERROR(INDEX(Mapping!$E$17:$E$28,MATCH($J3112,Mapping!$D$17:$D$28,0)),"(unmapped)")))))</f>
        <v/>
      </c>
    </row>
    <row r="3113" spans="11:11" x14ac:dyDescent="0.3">
      <c r="K3113" t="str">
        <f>IF($D3113="","",IFERROR(INDEX(Mapping!$H$3:$H$32,MATCH($B3113,Mapping!$G$3:$G$32,0)),IF(LEFT($F3113,3)="P2P",IFERROR(INDEX(Mapping!$E$3:$E$6,MATCH($G3113,Mapping!$D$3:$D$6,0)),IFERROR(INDEX(Mapping!$B$3:$B$13,MATCH($J3113,Mapping!$A$3:$A$13,0)),"(unmapped)")),IFERROR(INDEX(Mapping!$B$17:$B$22,MATCH($F3113,Mapping!$A$17:$A$22,0)),$F3113)&amp;" "&amp;IF($G3113="Banking","Banking",IFERROR(INDEX(Mapping!$E$17:$E$28,MATCH($J3113,Mapping!$D$17:$D$28,0)),"(unmapped)")))))</f>
        <v/>
      </c>
    </row>
    <row r="3114" spans="11:11" x14ac:dyDescent="0.3">
      <c r="K3114" t="str">
        <f>IF($D3114="","",IFERROR(INDEX(Mapping!$H$3:$H$32,MATCH($B3114,Mapping!$G$3:$G$32,0)),IF(LEFT($F3114,3)="P2P",IFERROR(INDEX(Mapping!$E$3:$E$6,MATCH($G3114,Mapping!$D$3:$D$6,0)),IFERROR(INDEX(Mapping!$B$3:$B$13,MATCH($J3114,Mapping!$A$3:$A$13,0)),"(unmapped)")),IFERROR(INDEX(Mapping!$B$17:$B$22,MATCH($F3114,Mapping!$A$17:$A$22,0)),$F3114)&amp;" "&amp;IF($G3114="Banking","Banking",IFERROR(INDEX(Mapping!$E$17:$E$28,MATCH($J3114,Mapping!$D$17:$D$28,0)),"(unmapped)")))))</f>
        <v/>
      </c>
    </row>
    <row r="3115" spans="11:11" x14ac:dyDescent="0.3">
      <c r="K3115" t="str">
        <f>IF($D3115="","",IFERROR(INDEX(Mapping!$H$3:$H$32,MATCH($B3115,Mapping!$G$3:$G$32,0)),IF(LEFT($F3115,3)="P2P",IFERROR(INDEX(Mapping!$E$3:$E$6,MATCH($G3115,Mapping!$D$3:$D$6,0)),IFERROR(INDEX(Mapping!$B$3:$B$13,MATCH($J3115,Mapping!$A$3:$A$13,0)),"(unmapped)")),IFERROR(INDEX(Mapping!$B$17:$B$22,MATCH($F3115,Mapping!$A$17:$A$22,0)),$F3115)&amp;" "&amp;IF($G3115="Banking","Banking",IFERROR(INDEX(Mapping!$E$17:$E$28,MATCH($J3115,Mapping!$D$17:$D$28,0)),"(unmapped)")))))</f>
        <v/>
      </c>
    </row>
    <row r="3116" spans="11:11" x14ac:dyDescent="0.3">
      <c r="K3116" t="str">
        <f>IF($D3116="","",IFERROR(INDEX(Mapping!$H$3:$H$32,MATCH($B3116,Mapping!$G$3:$G$32,0)),IF(LEFT($F3116,3)="P2P",IFERROR(INDEX(Mapping!$E$3:$E$6,MATCH($G3116,Mapping!$D$3:$D$6,0)),IFERROR(INDEX(Mapping!$B$3:$B$13,MATCH($J3116,Mapping!$A$3:$A$13,0)),"(unmapped)")),IFERROR(INDEX(Mapping!$B$17:$B$22,MATCH($F3116,Mapping!$A$17:$A$22,0)),$F3116)&amp;" "&amp;IF($G3116="Banking","Banking",IFERROR(INDEX(Mapping!$E$17:$E$28,MATCH($J3116,Mapping!$D$17:$D$28,0)),"(unmapped)")))))</f>
        <v/>
      </c>
    </row>
    <row r="3117" spans="11:11" x14ac:dyDescent="0.3">
      <c r="K3117" t="str">
        <f>IF($D3117="","",IFERROR(INDEX(Mapping!$H$3:$H$32,MATCH($B3117,Mapping!$G$3:$G$32,0)),IF(LEFT($F3117,3)="P2P",IFERROR(INDEX(Mapping!$E$3:$E$6,MATCH($G3117,Mapping!$D$3:$D$6,0)),IFERROR(INDEX(Mapping!$B$3:$B$13,MATCH($J3117,Mapping!$A$3:$A$13,0)),"(unmapped)")),IFERROR(INDEX(Mapping!$B$17:$B$22,MATCH($F3117,Mapping!$A$17:$A$22,0)),$F3117)&amp;" "&amp;IF($G3117="Banking","Banking",IFERROR(INDEX(Mapping!$E$17:$E$28,MATCH($J3117,Mapping!$D$17:$D$28,0)),"(unmapped)")))))</f>
        <v/>
      </c>
    </row>
    <row r="3118" spans="11:11" x14ac:dyDescent="0.3">
      <c r="K3118" t="str">
        <f>IF($D3118="","",IFERROR(INDEX(Mapping!$H$3:$H$32,MATCH($B3118,Mapping!$G$3:$G$32,0)),IF(LEFT($F3118,3)="P2P",IFERROR(INDEX(Mapping!$E$3:$E$6,MATCH($G3118,Mapping!$D$3:$D$6,0)),IFERROR(INDEX(Mapping!$B$3:$B$13,MATCH($J3118,Mapping!$A$3:$A$13,0)),"(unmapped)")),IFERROR(INDEX(Mapping!$B$17:$B$22,MATCH($F3118,Mapping!$A$17:$A$22,0)),$F3118)&amp;" "&amp;IF($G3118="Banking","Banking",IFERROR(INDEX(Mapping!$E$17:$E$28,MATCH($J3118,Mapping!$D$17:$D$28,0)),"(unmapped)")))))</f>
        <v/>
      </c>
    </row>
    <row r="3119" spans="11:11" x14ac:dyDescent="0.3">
      <c r="K3119" t="str">
        <f>IF($D3119="","",IFERROR(INDEX(Mapping!$H$3:$H$32,MATCH($B3119,Mapping!$G$3:$G$32,0)),IF(LEFT($F3119,3)="P2P",IFERROR(INDEX(Mapping!$E$3:$E$6,MATCH($G3119,Mapping!$D$3:$D$6,0)),IFERROR(INDEX(Mapping!$B$3:$B$13,MATCH($J3119,Mapping!$A$3:$A$13,0)),"(unmapped)")),IFERROR(INDEX(Mapping!$B$17:$B$22,MATCH($F3119,Mapping!$A$17:$A$22,0)),$F3119)&amp;" "&amp;IF($G3119="Banking","Banking",IFERROR(INDEX(Mapping!$E$17:$E$28,MATCH($J3119,Mapping!$D$17:$D$28,0)),"(unmapped)")))))</f>
        <v/>
      </c>
    </row>
    <row r="3120" spans="11:11" x14ac:dyDescent="0.3">
      <c r="K3120" t="str">
        <f>IF($D3120="","",IFERROR(INDEX(Mapping!$H$3:$H$32,MATCH($B3120,Mapping!$G$3:$G$32,0)),IF(LEFT($F3120,3)="P2P",IFERROR(INDEX(Mapping!$E$3:$E$6,MATCH($G3120,Mapping!$D$3:$D$6,0)),IFERROR(INDEX(Mapping!$B$3:$B$13,MATCH($J3120,Mapping!$A$3:$A$13,0)),"(unmapped)")),IFERROR(INDEX(Mapping!$B$17:$B$22,MATCH($F3120,Mapping!$A$17:$A$22,0)),$F3120)&amp;" "&amp;IF($G3120="Banking","Banking",IFERROR(INDEX(Mapping!$E$17:$E$28,MATCH($J3120,Mapping!$D$17:$D$28,0)),"(unmapped)")))))</f>
        <v/>
      </c>
    </row>
    <row r="3121" spans="11:11" x14ac:dyDescent="0.3">
      <c r="K3121" t="str">
        <f>IF($D3121="","",IFERROR(INDEX(Mapping!$H$3:$H$32,MATCH($B3121,Mapping!$G$3:$G$32,0)),IF(LEFT($F3121,3)="P2P",IFERROR(INDEX(Mapping!$E$3:$E$6,MATCH($G3121,Mapping!$D$3:$D$6,0)),IFERROR(INDEX(Mapping!$B$3:$B$13,MATCH($J3121,Mapping!$A$3:$A$13,0)),"(unmapped)")),IFERROR(INDEX(Mapping!$B$17:$B$22,MATCH($F3121,Mapping!$A$17:$A$22,0)),$F3121)&amp;" "&amp;IF($G3121="Banking","Banking",IFERROR(INDEX(Mapping!$E$17:$E$28,MATCH($J3121,Mapping!$D$17:$D$28,0)),"(unmapped)")))))</f>
        <v/>
      </c>
    </row>
    <row r="3122" spans="11:11" x14ac:dyDescent="0.3">
      <c r="K3122" t="str">
        <f>IF($D3122="","",IFERROR(INDEX(Mapping!$H$3:$H$32,MATCH($B3122,Mapping!$G$3:$G$32,0)),IF(LEFT($F3122,3)="P2P",IFERROR(INDEX(Mapping!$E$3:$E$6,MATCH($G3122,Mapping!$D$3:$D$6,0)),IFERROR(INDEX(Mapping!$B$3:$B$13,MATCH($J3122,Mapping!$A$3:$A$13,0)),"(unmapped)")),IFERROR(INDEX(Mapping!$B$17:$B$22,MATCH($F3122,Mapping!$A$17:$A$22,0)),$F3122)&amp;" "&amp;IF($G3122="Banking","Banking",IFERROR(INDEX(Mapping!$E$17:$E$28,MATCH($J3122,Mapping!$D$17:$D$28,0)),"(unmapped)")))))</f>
        <v/>
      </c>
    </row>
    <row r="3123" spans="11:11" x14ac:dyDescent="0.3">
      <c r="K3123" t="str">
        <f>IF($D3123="","",IFERROR(INDEX(Mapping!$H$3:$H$32,MATCH($B3123,Mapping!$G$3:$G$32,0)),IF(LEFT($F3123,3)="P2P",IFERROR(INDEX(Mapping!$E$3:$E$6,MATCH($G3123,Mapping!$D$3:$D$6,0)),IFERROR(INDEX(Mapping!$B$3:$B$13,MATCH($J3123,Mapping!$A$3:$A$13,0)),"(unmapped)")),IFERROR(INDEX(Mapping!$B$17:$B$22,MATCH($F3123,Mapping!$A$17:$A$22,0)),$F3123)&amp;" "&amp;IF($G3123="Banking","Banking",IFERROR(INDEX(Mapping!$E$17:$E$28,MATCH($J3123,Mapping!$D$17:$D$28,0)),"(unmapped)")))))</f>
        <v/>
      </c>
    </row>
    <row r="3124" spans="11:11" x14ac:dyDescent="0.3">
      <c r="K3124" t="str">
        <f>IF($D3124="","",IFERROR(INDEX(Mapping!$H$3:$H$32,MATCH($B3124,Mapping!$G$3:$G$32,0)),IF(LEFT($F3124,3)="P2P",IFERROR(INDEX(Mapping!$E$3:$E$6,MATCH($G3124,Mapping!$D$3:$D$6,0)),IFERROR(INDEX(Mapping!$B$3:$B$13,MATCH($J3124,Mapping!$A$3:$A$13,0)),"(unmapped)")),IFERROR(INDEX(Mapping!$B$17:$B$22,MATCH($F3124,Mapping!$A$17:$A$22,0)),$F3124)&amp;" "&amp;IF($G3124="Banking","Banking",IFERROR(INDEX(Mapping!$E$17:$E$28,MATCH($J3124,Mapping!$D$17:$D$28,0)),"(unmapped)")))))</f>
        <v/>
      </c>
    </row>
    <row r="3125" spans="11:11" x14ac:dyDescent="0.3">
      <c r="K3125" t="str">
        <f>IF($D3125="","",IFERROR(INDEX(Mapping!$H$3:$H$32,MATCH($B3125,Mapping!$G$3:$G$32,0)),IF(LEFT($F3125,3)="P2P",IFERROR(INDEX(Mapping!$E$3:$E$6,MATCH($G3125,Mapping!$D$3:$D$6,0)),IFERROR(INDEX(Mapping!$B$3:$B$13,MATCH($J3125,Mapping!$A$3:$A$13,0)),"(unmapped)")),IFERROR(INDEX(Mapping!$B$17:$B$22,MATCH($F3125,Mapping!$A$17:$A$22,0)),$F3125)&amp;" "&amp;IF($G3125="Banking","Banking",IFERROR(INDEX(Mapping!$E$17:$E$28,MATCH($J3125,Mapping!$D$17:$D$28,0)),"(unmapped)")))))</f>
        <v/>
      </c>
    </row>
    <row r="3126" spans="11:11" x14ac:dyDescent="0.3">
      <c r="K3126" t="str">
        <f>IF($D3126="","",IFERROR(INDEX(Mapping!$H$3:$H$32,MATCH($B3126,Mapping!$G$3:$G$32,0)),IF(LEFT($F3126,3)="P2P",IFERROR(INDEX(Mapping!$E$3:$E$6,MATCH($G3126,Mapping!$D$3:$D$6,0)),IFERROR(INDEX(Mapping!$B$3:$B$13,MATCH($J3126,Mapping!$A$3:$A$13,0)),"(unmapped)")),IFERROR(INDEX(Mapping!$B$17:$B$22,MATCH($F3126,Mapping!$A$17:$A$22,0)),$F3126)&amp;" "&amp;IF($G3126="Banking","Banking",IFERROR(INDEX(Mapping!$E$17:$E$28,MATCH($J3126,Mapping!$D$17:$D$28,0)),"(unmapped)")))))</f>
        <v/>
      </c>
    </row>
    <row r="3127" spans="11:11" x14ac:dyDescent="0.3">
      <c r="K3127" t="str">
        <f>IF($D3127="","",IFERROR(INDEX(Mapping!$H$3:$H$32,MATCH($B3127,Mapping!$G$3:$G$32,0)),IF(LEFT($F3127,3)="P2P",IFERROR(INDEX(Mapping!$E$3:$E$6,MATCH($G3127,Mapping!$D$3:$D$6,0)),IFERROR(INDEX(Mapping!$B$3:$B$13,MATCH($J3127,Mapping!$A$3:$A$13,0)),"(unmapped)")),IFERROR(INDEX(Mapping!$B$17:$B$22,MATCH($F3127,Mapping!$A$17:$A$22,0)),$F3127)&amp;" "&amp;IF($G3127="Banking","Banking",IFERROR(INDEX(Mapping!$E$17:$E$28,MATCH($J3127,Mapping!$D$17:$D$28,0)),"(unmapped)")))))</f>
        <v/>
      </c>
    </row>
    <row r="3128" spans="11:11" x14ac:dyDescent="0.3">
      <c r="K3128" t="str">
        <f>IF($D3128="","",IFERROR(INDEX(Mapping!$H$3:$H$32,MATCH($B3128,Mapping!$G$3:$G$32,0)),IF(LEFT($F3128,3)="P2P",IFERROR(INDEX(Mapping!$E$3:$E$6,MATCH($G3128,Mapping!$D$3:$D$6,0)),IFERROR(INDEX(Mapping!$B$3:$B$13,MATCH($J3128,Mapping!$A$3:$A$13,0)),"(unmapped)")),IFERROR(INDEX(Mapping!$B$17:$B$22,MATCH($F3128,Mapping!$A$17:$A$22,0)),$F3128)&amp;" "&amp;IF($G3128="Banking","Banking",IFERROR(INDEX(Mapping!$E$17:$E$28,MATCH($J3128,Mapping!$D$17:$D$28,0)),"(unmapped)")))))</f>
        <v/>
      </c>
    </row>
    <row r="3129" spans="11:11" x14ac:dyDescent="0.3">
      <c r="K3129" t="str">
        <f>IF($D3129="","",IFERROR(INDEX(Mapping!$H$3:$H$32,MATCH($B3129,Mapping!$G$3:$G$32,0)),IF(LEFT($F3129,3)="P2P",IFERROR(INDEX(Mapping!$E$3:$E$6,MATCH($G3129,Mapping!$D$3:$D$6,0)),IFERROR(INDEX(Mapping!$B$3:$B$13,MATCH($J3129,Mapping!$A$3:$A$13,0)),"(unmapped)")),IFERROR(INDEX(Mapping!$B$17:$B$22,MATCH($F3129,Mapping!$A$17:$A$22,0)),$F3129)&amp;" "&amp;IF($G3129="Banking","Banking",IFERROR(INDEX(Mapping!$E$17:$E$28,MATCH($J3129,Mapping!$D$17:$D$28,0)),"(unmapped)")))))</f>
        <v/>
      </c>
    </row>
    <row r="3130" spans="11:11" x14ac:dyDescent="0.3">
      <c r="K3130" t="str">
        <f>IF($D3130="","",IFERROR(INDEX(Mapping!$H$3:$H$32,MATCH($B3130,Mapping!$G$3:$G$32,0)),IF(LEFT($F3130,3)="P2P",IFERROR(INDEX(Mapping!$E$3:$E$6,MATCH($G3130,Mapping!$D$3:$D$6,0)),IFERROR(INDEX(Mapping!$B$3:$B$13,MATCH($J3130,Mapping!$A$3:$A$13,0)),"(unmapped)")),IFERROR(INDEX(Mapping!$B$17:$B$22,MATCH($F3130,Mapping!$A$17:$A$22,0)),$F3130)&amp;" "&amp;IF($G3130="Banking","Banking",IFERROR(INDEX(Mapping!$E$17:$E$28,MATCH($J3130,Mapping!$D$17:$D$28,0)),"(unmapped)")))))</f>
        <v/>
      </c>
    </row>
    <row r="3131" spans="11:11" x14ac:dyDescent="0.3">
      <c r="K3131" t="str">
        <f>IF($D3131="","",IFERROR(INDEX(Mapping!$H$3:$H$32,MATCH($B3131,Mapping!$G$3:$G$32,0)),IF(LEFT($F3131,3)="P2P",IFERROR(INDEX(Mapping!$E$3:$E$6,MATCH($G3131,Mapping!$D$3:$D$6,0)),IFERROR(INDEX(Mapping!$B$3:$B$13,MATCH($J3131,Mapping!$A$3:$A$13,0)),"(unmapped)")),IFERROR(INDEX(Mapping!$B$17:$B$22,MATCH($F3131,Mapping!$A$17:$A$22,0)),$F3131)&amp;" "&amp;IF($G3131="Banking","Banking",IFERROR(INDEX(Mapping!$E$17:$E$28,MATCH($J3131,Mapping!$D$17:$D$28,0)),"(unmapped)")))))</f>
        <v/>
      </c>
    </row>
    <row r="3132" spans="11:11" x14ac:dyDescent="0.3">
      <c r="K3132" t="str">
        <f>IF($D3132="","",IFERROR(INDEX(Mapping!$H$3:$H$32,MATCH($B3132,Mapping!$G$3:$G$32,0)),IF(LEFT($F3132,3)="P2P",IFERROR(INDEX(Mapping!$E$3:$E$6,MATCH($G3132,Mapping!$D$3:$D$6,0)),IFERROR(INDEX(Mapping!$B$3:$B$13,MATCH($J3132,Mapping!$A$3:$A$13,0)),"(unmapped)")),IFERROR(INDEX(Mapping!$B$17:$B$22,MATCH($F3132,Mapping!$A$17:$A$22,0)),$F3132)&amp;" "&amp;IF($G3132="Banking","Banking",IFERROR(INDEX(Mapping!$E$17:$E$28,MATCH($J3132,Mapping!$D$17:$D$28,0)),"(unmapped)")))))</f>
        <v/>
      </c>
    </row>
    <row r="3133" spans="11:11" x14ac:dyDescent="0.3">
      <c r="K3133" t="str">
        <f>IF($D3133="","",IFERROR(INDEX(Mapping!$H$3:$H$32,MATCH($B3133,Mapping!$G$3:$G$32,0)),IF(LEFT($F3133,3)="P2P",IFERROR(INDEX(Mapping!$E$3:$E$6,MATCH($G3133,Mapping!$D$3:$D$6,0)),IFERROR(INDEX(Mapping!$B$3:$B$13,MATCH($J3133,Mapping!$A$3:$A$13,0)),"(unmapped)")),IFERROR(INDEX(Mapping!$B$17:$B$22,MATCH($F3133,Mapping!$A$17:$A$22,0)),$F3133)&amp;" "&amp;IF($G3133="Banking","Banking",IFERROR(INDEX(Mapping!$E$17:$E$28,MATCH($J3133,Mapping!$D$17:$D$28,0)),"(unmapped)")))))</f>
        <v/>
      </c>
    </row>
    <row r="3134" spans="11:11" x14ac:dyDescent="0.3">
      <c r="K3134" t="str">
        <f>IF($D3134="","",IFERROR(INDEX(Mapping!$H$3:$H$32,MATCH($B3134,Mapping!$G$3:$G$32,0)),IF(LEFT($F3134,3)="P2P",IFERROR(INDEX(Mapping!$E$3:$E$6,MATCH($G3134,Mapping!$D$3:$D$6,0)),IFERROR(INDEX(Mapping!$B$3:$B$13,MATCH($J3134,Mapping!$A$3:$A$13,0)),"(unmapped)")),IFERROR(INDEX(Mapping!$B$17:$B$22,MATCH($F3134,Mapping!$A$17:$A$22,0)),$F3134)&amp;" "&amp;IF($G3134="Banking","Banking",IFERROR(INDEX(Mapping!$E$17:$E$28,MATCH($J3134,Mapping!$D$17:$D$28,0)),"(unmapped)")))))</f>
        <v/>
      </c>
    </row>
    <row r="3135" spans="11:11" x14ac:dyDescent="0.3">
      <c r="K3135" t="str">
        <f>IF($D3135="","",IFERROR(INDEX(Mapping!$H$3:$H$32,MATCH($B3135,Mapping!$G$3:$G$32,0)),IF(LEFT($F3135,3)="P2P",IFERROR(INDEX(Mapping!$E$3:$E$6,MATCH($G3135,Mapping!$D$3:$D$6,0)),IFERROR(INDEX(Mapping!$B$3:$B$13,MATCH($J3135,Mapping!$A$3:$A$13,0)),"(unmapped)")),IFERROR(INDEX(Mapping!$B$17:$B$22,MATCH($F3135,Mapping!$A$17:$A$22,0)),$F3135)&amp;" "&amp;IF($G3135="Banking","Banking",IFERROR(INDEX(Mapping!$E$17:$E$28,MATCH($J3135,Mapping!$D$17:$D$28,0)),"(unmapped)")))))</f>
        <v/>
      </c>
    </row>
    <row r="3136" spans="11:11" x14ac:dyDescent="0.3">
      <c r="K3136" t="str">
        <f>IF($D3136="","",IFERROR(INDEX(Mapping!$H$3:$H$32,MATCH($B3136,Mapping!$G$3:$G$32,0)),IF(LEFT($F3136,3)="P2P",IFERROR(INDEX(Mapping!$E$3:$E$6,MATCH($G3136,Mapping!$D$3:$D$6,0)),IFERROR(INDEX(Mapping!$B$3:$B$13,MATCH($J3136,Mapping!$A$3:$A$13,0)),"(unmapped)")),IFERROR(INDEX(Mapping!$B$17:$B$22,MATCH($F3136,Mapping!$A$17:$A$22,0)),$F3136)&amp;" "&amp;IF($G3136="Banking","Banking",IFERROR(INDEX(Mapping!$E$17:$E$28,MATCH($J3136,Mapping!$D$17:$D$28,0)),"(unmapped)")))))</f>
        <v/>
      </c>
    </row>
    <row r="3137" spans="11:11" x14ac:dyDescent="0.3">
      <c r="K3137" t="str">
        <f>IF($D3137="","",IFERROR(INDEX(Mapping!$H$3:$H$32,MATCH($B3137,Mapping!$G$3:$G$32,0)),IF(LEFT($F3137,3)="P2P",IFERROR(INDEX(Mapping!$E$3:$E$6,MATCH($G3137,Mapping!$D$3:$D$6,0)),IFERROR(INDEX(Mapping!$B$3:$B$13,MATCH($J3137,Mapping!$A$3:$A$13,0)),"(unmapped)")),IFERROR(INDEX(Mapping!$B$17:$B$22,MATCH($F3137,Mapping!$A$17:$A$22,0)),$F3137)&amp;" "&amp;IF($G3137="Banking","Banking",IFERROR(INDEX(Mapping!$E$17:$E$28,MATCH($J3137,Mapping!$D$17:$D$28,0)),"(unmapped)")))))</f>
        <v/>
      </c>
    </row>
    <row r="3138" spans="11:11" x14ac:dyDescent="0.3">
      <c r="K3138" t="str">
        <f>IF($D3138="","",IFERROR(INDEX(Mapping!$H$3:$H$32,MATCH($B3138,Mapping!$G$3:$G$32,0)),IF(LEFT($F3138,3)="P2P",IFERROR(INDEX(Mapping!$E$3:$E$6,MATCH($G3138,Mapping!$D$3:$D$6,0)),IFERROR(INDEX(Mapping!$B$3:$B$13,MATCH($J3138,Mapping!$A$3:$A$13,0)),"(unmapped)")),IFERROR(INDEX(Mapping!$B$17:$B$22,MATCH($F3138,Mapping!$A$17:$A$22,0)),$F3138)&amp;" "&amp;IF($G3138="Banking","Banking",IFERROR(INDEX(Mapping!$E$17:$E$28,MATCH($J3138,Mapping!$D$17:$D$28,0)),"(unmapped)")))))</f>
        <v/>
      </c>
    </row>
    <row r="3139" spans="11:11" x14ac:dyDescent="0.3">
      <c r="K3139" t="str">
        <f>IF($D3139="","",IFERROR(INDEX(Mapping!$H$3:$H$32,MATCH($B3139,Mapping!$G$3:$G$32,0)),IF(LEFT($F3139,3)="P2P",IFERROR(INDEX(Mapping!$E$3:$E$6,MATCH($G3139,Mapping!$D$3:$D$6,0)),IFERROR(INDEX(Mapping!$B$3:$B$13,MATCH($J3139,Mapping!$A$3:$A$13,0)),"(unmapped)")),IFERROR(INDEX(Mapping!$B$17:$B$22,MATCH($F3139,Mapping!$A$17:$A$22,0)),$F3139)&amp;" "&amp;IF($G3139="Banking","Banking",IFERROR(INDEX(Mapping!$E$17:$E$28,MATCH($J3139,Mapping!$D$17:$D$28,0)),"(unmapped)")))))</f>
        <v/>
      </c>
    </row>
    <row r="3140" spans="11:11" x14ac:dyDescent="0.3">
      <c r="K3140" t="str">
        <f>IF($D3140="","",IFERROR(INDEX(Mapping!$H$3:$H$32,MATCH($B3140,Mapping!$G$3:$G$32,0)),IF(LEFT($F3140,3)="P2P",IFERROR(INDEX(Mapping!$E$3:$E$6,MATCH($G3140,Mapping!$D$3:$D$6,0)),IFERROR(INDEX(Mapping!$B$3:$B$13,MATCH($J3140,Mapping!$A$3:$A$13,0)),"(unmapped)")),IFERROR(INDEX(Mapping!$B$17:$B$22,MATCH($F3140,Mapping!$A$17:$A$22,0)),$F3140)&amp;" "&amp;IF($G3140="Banking","Banking",IFERROR(INDEX(Mapping!$E$17:$E$28,MATCH($J3140,Mapping!$D$17:$D$28,0)),"(unmapped)")))))</f>
        <v/>
      </c>
    </row>
    <row r="3141" spans="11:11" x14ac:dyDescent="0.3">
      <c r="K3141" t="str">
        <f>IF($D3141="","",IFERROR(INDEX(Mapping!$H$3:$H$32,MATCH($B3141,Mapping!$G$3:$G$32,0)),IF(LEFT($F3141,3)="P2P",IFERROR(INDEX(Mapping!$E$3:$E$6,MATCH($G3141,Mapping!$D$3:$D$6,0)),IFERROR(INDEX(Mapping!$B$3:$B$13,MATCH($J3141,Mapping!$A$3:$A$13,0)),"(unmapped)")),IFERROR(INDEX(Mapping!$B$17:$B$22,MATCH($F3141,Mapping!$A$17:$A$22,0)),$F3141)&amp;" "&amp;IF($G3141="Banking","Banking",IFERROR(INDEX(Mapping!$E$17:$E$28,MATCH($J3141,Mapping!$D$17:$D$28,0)),"(unmapped)")))))</f>
        <v/>
      </c>
    </row>
    <row r="3142" spans="11:11" x14ac:dyDescent="0.3">
      <c r="K3142" t="str">
        <f>IF($D3142="","",IFERROR(INDEX(Mapping!$H$3:$H$32,MATCH($B3142,Mapping!$G$3:$G$32,0)),IF(LEFT($F3142,3)="P2P",IFERROR(INDEX(Mapping!$E$3:$E$6,MATCH($G3142,Mapping!$D$3:$D$6,0)),IFERROR(INDEX(Mapping!$B$3:$B$13,MATCH($J3142,Mapping!$A$3:$A$13,0)),"(unmapped)")),IFERROR(INDEX(Mapping!$B$17:$B$22,MATCH($F3142,Mapping!$A$17:$A$22,0)),$F3142)&amp;" "&amp;IF($G3142="Banking","Banking",IFERROR(INDEX(Mapping!$E$17:$E$28,MATCH($J3142,Mapping!$D$17:$D$28,0)),"(unmapped)")))))</f>
        <v/>
      </c>
    </row>
    <row r="3143" spans="11:11" x14ac:dyDescent="0.3">
      <c r="K3143" t="str">
        <f>IF($D3143="","",IFERROR(INDEX(Mapping!$H$3:$H$32,MATCH($B3143,Mapping!$G$3:$G$32,0)),IF(LEFT($F3143,3)="P2P",IFERROR(INDEX(Mapping!$E$3:$E$6,MATCH($G3143,Mapping!$D$3:$D$6,0)),IFERROR(INDEX(Mapping!$B$3:$B$13,MATCH($J3143,Mapping!$A$3:$A$13,0)),"(unmapped)")),IFERROR(INDEX(Mapping!$B$17:$B$22,MATCH($F3143,Mapping!$A$17:$A$22,0)),$F3143)&amp;" "&amp;IF($G3143="Banking","Banking",IFERROR(INDEX(Mapping!$E$17:$E$28,MATCH($J3143,Mapping!$D$17:$D$28,0)),"(unmapped)")))))</f>
        <v/>
      </c>
    </row>
    <row r="3144" spans="11:11" x14ac:dyDescent="0.3">
      <c r="K3144" t="str">
        <f>IF($D3144="","",IFERROR(INDEX(Mapping!$H$3:$H$32,MATCH($B3144,Mapping!$G$3:$G$32,0)),IF(LEFT($F3144,3)="P2P",IFERROR(INDEX(Mapping!$E$3:$E$6,MATCH($G3144,Mapping!$D$3:$D$6,0)),IFERROR(INDEX(Mapping!$B$3:$B$13,MATCH($J3144,Mapping!$A$3:$A$13,0)),"(unmapped)")),IFERROR(INDEX(Mapping!$B$17:$B$22,MATCH($F3144,Mapping!$A$17:$A$22,0)),$F3144)&amp;" "&amp;IF($G3144="Banking","Banking",IFERROR(INDEX(Mapping!$E$17:$E$28,MATCH($J3144,Mapping!$D$17:$D$28,0)),"(unmapped)")))))</f>
        <v/>
      </c>
    </row>
    <row r="3145" spans="11:11" x14ac:dyDescent="0.3">
      <c r="K3145" t="str">
        <f>IF($D3145="","",IFERROR(INDEX(Mapping!$H$3:$H$32,MATCH($B3145,Mapping!$G$3:$G$32,0)),IF(LEFT($F3145,3)="P2P",IFERROR(INDEX(Mapping!$E$3:$E$6,MATCH($G3145,Mapping!$D$3:$D$6,0)),IFERROR(INDEX(Mapping!$B$3:$B$13,MATCH($J3145,Mapping!$A$3:$A$13,0)),"(unmapped)")),IFERROR(INDEX(Mapping!$B$17:$B$22,MATCH($F3145,Mapping!$A$17:$A$22,0)),$F3145)&amp;" "&amp;IF($G3145="Banking","Banking",IFERROR(INDEX(Mapping!$E$17:$E$28,MATCH($J3145,Mapping!$D$17:$D$28,0)),"(unmapped)")))))</f>
        <v/>
      </c>
    </row>
    <row r="3146" spans="11:11" x14ac:dyDescent="0.3">
      <c r="K3146" t="str">
        <f>IF($D3146="","",IFERROR(INDEX(Mapping!$H$3:$H$32,MATCH($B3146,Mapping!$G$3:$G$32,0)),IF(LEFT($F3146,3)="P2P",IFERROR(INDEX(Mapping!$E$3:$E$6,MATCH($G3146,Mapping!$D$3:$D$6,0)),IFERROR(INDEX(Mapping!$B$3:$B$13,MATCH($J3146,Mapping!$A$3:$A$13,0)),"(unmapped)")),IFERROR(INDEX(Mapping!$B$17:$B$22,MATCH($F3146,Mapping!$A$17:$A$22,0)),$F3146)&amp;" "&amp;IF($G3146="Banking","Banking",IFERROR(INDEX(Mapping!$E$17:$E$28,MATCH($J3146,Mapping!$D$17:$D$28,0)),"(unmapped)")))))</f>
        <v/>
      </c>
    </row>
    <row r="3147" spans="11:11" x14ac:dyDescent="0.3">
      <c r="K3147" t="str">
        <f>IF($D3147="","",IFERROR(INDEX(Mapping!$H$3:$H$32,MATCH($B3147,Mapping!$G$3:$G$32,0)),IF(LEFT($F3147,3)="P2P",IFERROR(INDEX(Mapping!$E$3:$E$6,MATCH($G3147,Mapping!$D$3:$D$6,0)),IFERROR(INDEX(Mapping!$B$3:$B$13,MATCH($J3147,Mapping!$A$3:$A$13,0)),"(unmapped)")),IFERROR(INDEX(Mapping!$B$17:$B$22,MATCH($F3147,Mapping!$A$17:$A$22,0)),$F3147)&amp;" "&amp;IF($G3147="Banking","Banking",IFERROR(INDEX(Mapping!$E$17:$E$28,MATCH($J3147,Mapping!$D$17:$D$28,0)),"(unmapped)")))))</f>
        <v/>
      </c>
    </row>
    <row r="3148" spans="11:11" x14ac:dyDescent="0.3">
      <c r="K3148" t="str">
        <f>IF($D3148="","",IFERROR(INDEX(Mapping!$H$3:$H$32,MATCH($B3148,Mapping!$G$3:$G$32,0)),IF(LEFT($F3148,3)="P2P",IFERROR(INDEX(Mapping!$E$3:$E$6,MATCH($G3148,Mapping!$D$3:$D$6,0)),IFERROR(INDEX(Mapping!$B$3:$B$13,MATCH($J3148,Mapping!$A$3:$A$13,0)),"(unmapped)")),IFERROR(INDEX(Mapping!$B$17:$B$22,MATCH($F3148,Mapping!$A$17:$A$22,0)),$F3148)&amp;" "&amp;IF($G3148="Banking","Banking",IFERROR(INDEX(Mapping!$E$17:$E$28,MATCH($J3148,Mapping!$D$17:$D$28,0)),"(unmapped)")))))</f>
        <v/>
      </c>
    </row>
    <row r="3149" spans="11:11" x14ac:dyDescent="0.3">
      <c r="K3149" t="str">
        <f>IF($D3149="","",IFERROR(INDEX(Mapping!$H$3:$H$32,MATCH($B3149,Mapping!$G$3:$G$32,0)),IF(LEFT($F3149,3)="P2P",IFERROR(INDEX(Mapping!$E$3:$E$6,MATCH($G3149,Mapping!$D$3:$D$6,0)),IFERROR(INDEX(Mapping!$B$3:$B$13,MATCH($J3149,Mapping!$A$3:$A$13,0)),"(unmapped)")),IFERROR(INDEX(Mapping!$B$17:$B$22,MATCH($F3149,Mapping!$A$17:$A$22,0)),$F3149)&amp;" "&amp;IF($G3149="Banking","Banking",IFERROR(INDEX(Mapping!$E$17:$E$28,MATCH($J3149,Mapping!$D$17:$D$28,0)),"(unmapped)")))))</f>
        <v/>
      </c>
    </row>
    <row r="3150" spans="11:11" x14ac:dyDescent="0.3">
      <c r="K3150" t="str">
        <f>IF($D3150="","",IFERROR(INDEX(Mapping!$H$3:$H$32,MATCH($B3150,Mapping!$G$3:$G$32,0)),IF(LEFT($F3150,3)="P2P",IFERROR(INDEX(Mapping!$E$3:$E$6,MATCH($G3150,Mapping!$D$3:$D$6,0)),IFERROR(INDEX(Mapping!$B$3:$B$13,MATCH($J3150,Mapping!$A$3:$A$13,0)),"(unmapped)")),IFERROR(INDEX(Mapping!$B$17:$B$22,MATCH($F3150,Mapping!$A$17:$A$22,0)),$F3150)&amp;" "&amp;IF($G3150="Banking","Banking",IFERROR(INDEX(Mapping!$E$17:$E$28,MATCH($J3150,Mapping!$D$17:$D$28,0)),"(unmapped)")))))</f>
        <v/>
      </c>
    </row>
    <row r="3151" spans="11:11" x14ac:dyDescent="0.3">
      <c r="K3151" t="str">
        <f>IF($D3151="","",IFERROR(INDEX(Mapping!$H$3:$H$32,MATCH($B3151,Mapping!$G$3:$G$32,0)),IF(LEFT($F3151,3)="P2P",IFERROR(INDEX(Mapping!$E$3:$E$6,MATCH($G3151,Mapping!$D$3:$D$6,0)),IFERROR(INDEX(Mapping!$B$3:$B$13,MATCH($J3151,Mapping!$A$3:$A$13,0)),"(unmapped)")),IFERROR(INDEX(Mapping!$B$17:$B$22,MATCH($F3151,Mapping!$A$17:$A$22,0)),$F3151)&amp;" "&amp;IF($G3151="Banking","Banking",IFERROR(INDEX(Mapping!$E$17:$E$28,MATCH($J3151,Mapping!$D$17:$D$28,0)),"(unmapped)")))))</f>
        <v/>
      </c>
    </row>
    <row r="3152" spans="11:11" x14ac:dyDescent="0.3">
      <c r="K3152" t="str">
        <f>IF($D3152="","",IFERROR(INDEX(Mapping!$H$3:$H$32,MATCH($B3152,Mapping!$G$3:$G$32,0)),IF(LEFT($F3152,3)="P2P",IFERROR(INDEX(Mapping!$E$3:$E$6,MATCH($G3152,Mapping!$D$3:$D$6,0)),IFERROR(INDEX(Mapping!$B$3:$B$13,MATCH($J3152,Mapping!$A$3:$A$13,0)),"(unmapped)")),IFERROR(INDEX(Mapping!$B$17:$B$22,MATCH($F3152,Mapping!$A$17:$A$22,0)),$F3152)&amp;" "&amp;IF($G3152="Banking","Banking",IFERROR(INDEX(Mapping!$E$17:$E$28,MATCH($J3152,Mapping!$D$17:$D$28,0)),"(unmapped)")))))</f>
        <v/>
      </c>
    </row>
    <row r="3153" spans="11:11" x14ac:dyDescent="0.3">
      <c r="K3153" t="str">
        <f>IF($D3153="","",IFERROR(INDEX(Mapping!$H$3:$H$32,MATCH($B3153,Mapping!$G$3:$G$32,0)),IF(LEFT($F3153,3)="P2P",IFERROR(INDEX(Mapping!$E$3:$E$6,MATCH($G3153,Mapping!$D$3:$D$6,0)),IFERROR(INDEX(Mapping!$B$3:$B$13,MATCH($J3153,Mapping!$A$3:$A$13,0)),"(unmapped)")),IFERROR(INDEX(Mapping!$B$17:$B$22,MATCH($F3153,Mapping!$A$17:$A$22,0)),$F3153)&amp;" "&amp;IF($G3153="Banking","Banking",IFERROR(INDEX(Mapping!$E$17:$E$28,MATCH($J3153,Mapping!$D$17:$D$28,0)),"(unmapped)")))))</f>
        <v/>
      </c>
    </row>
    <row r="3154" spans="11:11" x14ac:dyDescent="0.3">
      <c r="K3154" t="str">
        <f>IF($D3154="","",IFERROR(INDEX(Mapping!$H$3:$H$32,MATCH($B3154,Mapping!$G$3:$G$32,0)),IF(LEFT($F3154,3)="P2P",IFERROR(INDEX(Mapping!$E$3:$E$6,MATCH($G3154,Mapping!$D$3:$D$6,0)),IFERROR(INDEX(Mapping!$B$3:$B$13,MATCH($J3154,Mapping!$A$3:$A$13,0)),"(unmapped)")),IFERROR(INDEX(Mapping!$B$17:$B$22,MATCH($F3154,Mapping!$A$17:$A$22,0)),$F3154)&amp;" "&amp;IF($G3154="Banking","Banking",IFERROR(INDEX(Mapping!$E$17:$E$28,MATCH($J3154,Mapping!$D$17:$D$28,0)),"(unmapped)")))))</f>
        <v/>
      </c>
    </row>
    <row r="3155" spans="11:11" x14ac:dyDescent="0.3">
      <c r="K3155" t="str">
        <f>IF($D3155="","",IFERROR(INDEX(Mapping!$H$3:$H$32,MATCH($B3155,Mapping!$G$3:$G$32,0)),IF(LEFT($F3155,3)="P2P",IFERROR(INDEX(Mapping!$E$3:$E$6,MATCH($G3155,Mapping!$D$3:$D$6,0)),IFERROR(INDEX(Mapping!$B$3:$B$13,MATCH($J3155,Mapping!$A$3:$A$13,0)),"(unmapped)")),IFERROR(INDEX(Mapping!$B$17:$B$22,MATCH($F3155,Mapping!$A$17:$A$22,0)),$F3155)&amp;" "&amp;IF($G3155="Banking","Banking",IFERROR(INDEX(Mapping!$E$17:$E$28,MATCH($J3155,Mapping!$D$17:$D$28,0)),"(unmapped)")))))</f>
        <v/>
      </c>
    </row>
    <row r="3156" spans="11:11" x14ac:dyDescent="0.3">
      <c r="K3156" t="str">
        <f>IF($D3156="","",IFERROR(INDEX(Mapping!$H$3:$H$32,MATCH($B3156,Mapping!$G$3:$G$32,0)),IF(LEFT($F3156,3)="P2P",IFERROR(INDEX(Mapping!$E$3:$E$6,MATCH($G3156,Mapping!$D$3:$D$6,0)),IFERROR(INDEX(Mapping!$B$3:$B$13,MATCH($J3156,Mapping!$A$3:$A$13,0)),"(unmapped)")),IFERROR(INDEX(Mapping!$B$17:$B$22,MATCH($F3156,Mapping!$A$17:$A$22,0)),$F3156)&amp;" "&amp;IF($G3156="Banking","Banking",IFERROR(INDEX(Mapping!$E$17:$E$28,MATCH($J3156,Mapping!$D$17:$D$28,0)),"(unmapped)")))))</f>
        <v/>
      </c>
    </row>
    <row r="3157" spans="11:11" x14ac:dyDescent="0.3">
      <c r="K3157" t="str">
        <f>IF($D3157="","",IFERROR(INDEX(Mapping!$H$3:$H$32,MATCH($B3157,Mapping!$G$3:$G$32,0)),IF(LEFT($F3157,3)="P2P",IFERROR(INDEX(Mapping!$E$3:$E$6,MATCH($G3157,Mapping!$D$3:$D$6,0)),IFERROR(INDEX(Mapping!$B$3:$B$13,MATCH($J3157,Mapping!$A$3:$A$13,0)),"(unmapped)")),IFERROR(INDEX(Mapping!$B$17:$B$22,MATCH($F3157,Mapping!$A$17:$A$22,0)),$F3157)&amp;" "&amp;IF($G3157="Banking","Banking",IFERROR(INDEX(Mapping!$E$17:$E$28,MATCH($J3157,Mapping!$D$17:$D$28,0)),"(unmapped)")))))</f>
        <v/>
      </c>
    </row>
    <row r="3158" spans="11:11" x14ac:dyDescent="0.3">
      <c r="K3158" t="str">
        <f>IF($D3158="","",IFERROR(INDEX(Mapping!$H$3:$H$32,MATCH($B3158,Mapping!$G$3:$G$32,0)),IF(LEFT($F3158,3)="P2P",IFERROR(INDEX(Mapping!$E$3:$E$6,MATCH($G3158,Mapping!$D$3:$D$6,0)),IFERROR(INDEX(Mapping!$B$3:$B$13,MATCH($J3158,Mapping!$A$3:$A$13,0)),"(unmapped)")),IFERROR(INDEX(Mapping!$B$17:$B$22,MATCH($F3158,Mapping!$A$17:$A$22,0)),$F3158)&amp;" "&amp;IF($G3158="Banking","Banking",IFERROR(INDEX(Mapping!$E$17:$E$28,MATCH($J3158,Mapping!$D$17:$D$28,0)),"(unmapped)")))))</f>
        <v/>
      </c>
    </row>
    <row r="3159" spans="11:11" x14ac:dyDescent="0.3">
      <c r="K3159" t="str">
        <f>IF($D3159="","",IFERROR(INDEX(Mapping!$H$3:$H$32,MATCH($B3159,Mapping!$G$3:$G$32,0)),IF(LEFT($F3159,3)="P2P",IFERROR(INDEX(Mapping!$E$3:$E$6,MATCH($G3159,Mapping!$D$3:$D$6,0)),IFERROR(INDEX(Mapping!$B$3:$B$13,MATCH($J3159,Mapping!$A$3:$A$13,0)),"(unmapped)")),IFERROR(INDEX(Mapping!$B$17:$B$22,MATCH($F3159,Mapping!$A$17:$A$22,0)),$F3159)&amp;" "&amp;IF($G3159="Banking","Banking",IFERROR(INDEX(Mapping!$E$17:$E$28,MATCH($J3159,Mapping!$D$17:$D$28,0)),"(unmapped)")))))</f>
        <v/>
      </c>
    </row>
    <row r="3160" spans="11:11" x14ac:dyDescent="0.3">
      <c r="K3160" t="str">
        <f>IF($D3160="","",IFERROR(INDEX(Mapping!$H$3:$H$32,MATCH($B3160,Mapping!$G$3:$G$32,0)),IF(LEFT($F3160,3)="P2P",IFERROR(INDEX(Mapping!$E$3:$E$6,MATCH($G3160,Mapping!$D$3:$D$6,0)),IFERROR(INDEX(Mapping!$B$3:$B$13,MATCH($J3160,Mapping!$A$3:$A$13,0)),"(unmapped)")),IFERROR(INDEX(Mapping!$B$17:$B$22,MATCH($F3160,Mapping!$A$17:$A$22,0)),$F3160)&amp;" "&amp;IF($G3160="Banking","Banking",IFERROR(INDEX(Mapping!$E$17:$E$28,MATCH($J3160,Mapping!$D$17:$D$28,0)),"(unmapped)")))))</f>
        <v/>
      </c>
    </row>
    <row r="3161" spans="11:11" x14ac:dyDescent="0.3">
      <c r="K3161" t="str">
        <f>IF($D3161="","",IFERROR(INDEX(Mapping!$H$3:$H$32,MATCH($B3161,Mapping!$G$3:$G$32,0)),IF(LEFT($F3161,3)="P2P",IFERROR(INDEX(Mapping!$E$3:$E$6,MATCH($G3161,Mapping!$D$3:$D$6,0)),IFERROR(INDEX(Mapping!$B$3:$B$13,MATCH($J3161,Mapping!$A$3:$A$13,0)),"(unmapped)")),IFERROR(INDEX(Mapping!$B$17:$B$22,MATCH($F3161,Mapping!$A$17:$A$22,0)),$F3161)&amp;" "&amp;IF($G3161="Banking","Banking",IFERROR(INDEX(Mapping!$E$17:$E$28,MATCH($J3161,Mapping!$D$17:$D$28,0)),"(unmapped)")))))</f>
        <v/>
      </c>
    </row>
    <row r="3162" spans="11:11" x14ac:dyDescent="0.3">
      <c r="K3162" t="str">
        <f>IF($D3162="","",IFERROR(INDEX(Mapping!$H$3:$H$32,MATCH($B3162,Mapping!$G$3:$G$32,0)),IF(LEFT($F3162,3)="P2P",IFERROR(INDEX(Mapping!$E$3:$E$6,MATCH($G3162,Mapping!$D$3:$D$6,0)),IFERROR(INDEX(Mapping!$B$3:$B$13,MATCH($J3162,Mapping!$A$3:$A$13,0)),"(unmapped)")),IFERROR(INDEX(Mapping!$B$17:$B$22,MATCH($F3162,Mapping!$A$17:$A$22,0)),$F3162)&amp;" "&amp;IF($G3162="Banking","Banking",IFERROR(INDEX(Mapping!$E$17:$E$28,MATCH($J3162,Mapping!$D$17:$D$28,0)),"(unmapped)")))))</f>
        <v/>
      </c>
    </row>
    <row r="3163" spans="11:11" x14ac:dyDescent="0.3">
      <c r="K3163" t="str">
        <f>IF($D3163="","",IFERROR(INDEX(Mapping!$H$3:$H$32,MATCH($B3163,Mapping!$G$3:$G$32,0)),IF(LEFT($F3163,3)="P2P",IFERROR(INDEX(Mapping!$E$3:$E$6,MATCH($G3163,Mapping!$D$3:$D$6,0)),IFERROR(INDEX(Mapping!$B$3:$B$13,MATCH($J3163,Mapping!$A$3:$A$13,0)),"(unmapped)")),IFERROR(INDEX(Mapping!$B$17:$B$22,MATCH($F3163,Mapping!$A$17:$A$22,0)),$F3163)&amp;" "&amp;IF($G3163="Banking","Banking",IFERROR(INDEX(Mapping!$E$17:$E$28,MATCH($J3163,Mapping!$D$17:$D$28,0)),"(unmapped)")))))</f>
        <v/>
      </c>
    </row>
    <row r="3164" spans="11:11" x14ac:dyDescent="0.3">
      <c r="K3164" t="str">
        <f>IF($D3164="","",IFERROR(INDEX(Mapping!$H$3:$H$32,MATCH($B3164,Mapping!$G$3:$G$32,0)),IF(LEFT($F3164,3)="P2P",IFERROR(INDEX(Mapping!$E$3:$E$6,MATCH($G3164,Mapping!$D$3:$D$6,0)),IFERROR(INDEX(Mapping!$B$3:$B$13,MATCH($J3164,Mapping!$A$3:$A$13,0)),"(unmapped)")),IFERROR(INDEX(Mapping!$B$17:$B$22,MATCH($F3164,Mapping!$A$17:$A$22,0)),$F3164)&amp;" "&amp;IF($G3164="Banking","Banking",IFERROR(INDEX(Mapping!$E$17:$E$28,MATCH($J3164,Mapping!$D$17:$D$28,0)),"(unmapped)")))))</f>
        <v/>
      </c>
    </row>
    <row r="3165" spans="11:11" x14ac:dyDescent="0.3">
      <c r="K3165" t="str">
        <f>IF($D3165="","",IFERROR(INDEX(Mapping!$H$3:$H$32,MATCH($B3165,Mapping!$G$3:$G$32,0)),IF(LEFT($F3165,3)="P2P",IFERROR(INDEX(Mapping!$E$3:$E$6,MATCH($G3165,Mapping!$D$3:$D$6,0)),IFERROR(INDEX(Mapping!$B$3:$B$13,MATCH($J3165,Mapping!$A$3:$A$13,0)),"(unmapped)")),IFERROR(INDEX(Mapping!$B$17:$B$22,MATCH($F3165,Mapping!$A$17:$A$22,0)),$F3165)&amp;" "&amp;IF($G3165="Banking","Banking",IFERROR(INDEX(Mapping!$E$17:$E$28,MATCH($J3165,Mapping!$D$17:$D$28,0)),"(unmapped)")))))</f>
        <v/>
      </c>
    </row>
    <row r="3166" spans="11:11" x14ac:dyDescent="0.3">
      <c r="K3166" t="str">
        <f>IF($D3166="","",IFERROR(INDEX(Mapping!$H$3:$H$32,MATCH($B3166,Mapping!$G$3:$G$32,0)),IF(LEFT($F3166,3)="P2P",IFERROR(INDEX(Mapping!$E$3:$E$6,MATCH($G3166,Mapping!$D$3:$D$6,0)),IFERROR(INDEX(Mapping!$B$3:$B$13,MATCH($J3166,Mapping!$A$3:$A$13,0)),"(unmapped)")),IFERROR(INDEX(Mapping!$B$17:$B$22,MATCH($F3166,Mapping!$A$17:$A$22,0)),$F3166)&amp;" "&amp;IF($G3166="Banking","Banking",IFERROR(INDEX(Mapping!$E$17:$E$28,MATCH($J3166,Mapping!$D$17:$D$28,0)),"(unmapped)")))))</f>
        <v/>
      </c>
    </row>
    <row r="3167" spans="11:11" x14ac:dyDescent="0.3">
      <c r="K3167" t="str">
        <f>IF($D3167="","",IFERROR(INDEX(Mapping!$H$3:$H$32,MATCH($B3167,Mapping!$G$3:$G$32,0)),IF(LEFT($F3167,3)="P2P",IFERROR(INDEX(Mapping!$E$3:$E$6,MATCH($G3167,Mapping!$D$3:$D$6,0)),IFERROR(INDEX(Mapping!$B$3:$B$13,MATCH($J3167,Mapping!$A$3:$A$13,0)),"(unmapped)")),IFERROR(INDEX(Mapping!$B$17:$B$22,MATCH($F3167,Mapping!$A$17:$A$22,0)),$F3167)&amp;" "&amp;IF($G3167="Banking","Banking",IFERROR(INDEX(Mapping!$E$17:$E$28,MATCH($J3167,Mapping!$D$17:$D$28,0)),"(unmapped)")))))</f>
        <v/>
      </c>
    </row>
    <row r="3168" spans="11:11" x14ac:dyDescent="0.3">
      <c r="K3168" t="str">
        <f>IF($D3168="","",IFERROR(INDEX(Mapping!$H$3:$H$32,MATCH($B3168,Mapping!$G$3:$G$32,0)),IF(LEFT($F3168,3)="P2P",IFERROR(INDEX(Mapping!$E$3:$E$6,MATCH($G3168,Mapping!$D$3:$D$6,0)),IFERROR(INDEX(Mapping!$B$3:$B$13,MATCH($J3168,Mapping!$A$3:$A$13,0)),"(unmapped)")),IFERROR(INDEX(Mapping!$B$17:$B$22,MATCH($F3168,Mapping!$A$17:$A$22,0)),$F3168)&amp;" "&amp;IF($G3168="Banking","Banking",IFERROR(INDEX(Mapping!$E$17:$E$28,MATCH($J3168,Mapping!$D$17:$D$28,0)),"(unmapped)")))))</f>
        <v/>
      </c>
    </row>
    <row r="3169" spans="11:11" x14ac:dyDescent="0.3">
      <c r="K3169" t="str">
        <f>IF($D3169="","",IFERROR(INDEX(Mapping!$H$3:$H$32,MATCH($B3169,Mapping!$G$3:$G$32,0)),IF(LEFT($F3169,3)="P2P",IFERROR(INDEX(Mapping!$E$3:$E$6,MATCH($G3169,Mapping!$D$3:$D$6,0)),IFERROR(INDEX(Mapping!$B$3:$B$13,MATCH($J3169,Mapping!$A$3:$A$13,0)),"(unmapped)")),IFERROR(INDEX(Mapping!$B$17:$B$22,MATCH($F3169,Mapping!$A$17:$A$22,0)),$F3169)&amp;" "&amp;IF($G3169="Banking","Banking",IFERROR(INDEX(Mapping!$E$17:$E$28,MATCH($J3169,Mapping!$D$17:$D$28,0)),"(unmapped)")))))</f>
        <v/>
      </c>
    </row>
    <row r="3170" spans="11:11" x14ac:dyDescent="0.3">
      <c r="K3170" t="str">
        <f>IF($D3170="","",IFERROR(INDEX(Mapping!$H$3:$H$32,MATCH($B3170,Mapping!$G$3:$G$32,0)),IF(LEFT($F3170,3)="P2P",IFERROR(INDEX(Mapping!$E$3:$E$6,MATCH($G3170,Mapping!$D$3:$D$6,0)),IFERROR(INDEX(Mapping!$B$3:$B$13,MATCH($J3170,Mapping!$A$3:$A$13,0)),"(unmapped)")),IFERROR(INDEX(Mapping!$B$17:$B$22,MATCH($F3170,Mapping!$A$17:$A$22,0)),$F3170)&amp;" "&amp;IF($G3170="Banking","Banking",IFERROR(INDEX(Mapping!$E$17:$E$28,MATCH($J3170,Mapping!$D$17:$D$28,0)),"(unmapped)")))))</f>
        <v/>
      </c>
    </row>
    <row r="3171" spans="11:11" x14ac:dyDescent="0.3">
      <c r="K3171" t="str">
        <f>IF($D3171="","",IFERROR(INDEX(Mapping!$H$3:$H$32,MATCH($B3171,Mapping!$G$3:$G$32,0)),IF(LEFT($F3171,3)="P2P",IFERROR(INDEX(Mapping!$E$3:$E$6,MATCH($G3171,Mapping!$D$3:$D$6,0)),IFERROR(INDEX(Mapping!$B$3:$B$13,MATCH($J3171,Mapping!$A$3:$A$13,0)),"(unmapped)")),IFERROR(INDEX(Mapping!$B$17:$B$22,MATCH($F3171,Mapping!$A$17:$A$22,0)),$F3171)&amp;" "&amp;IF($G3171="Banking","Banking",IFERROR(INDEX(Mapping!$E$17:$E$28,MATCH($J3171,Mapping!$D$17:$D$28,0)),"(unmapped)")))))</f>
        <v/>
      </c>
    </row>
    <row r="3172" spans="11:11" x14ac:dyDescent="0.3">
      <c r="K3172" t="str">
        <f>IF($D3172="","",IFERROR(INDEX(Mapping!$H$3:$H$32,MATCH($B3172,Mapping!$G$3:$G$32,0)),IF(LEFT($F3172,3)="P2P",IFERROR(INDEX(Mapping!$E$3:$E$6,MATCH($G3172,Mapping!$D$3:$D$6,0)),IFERROR(INDEX(Mapping!$B$3:$B$13,MATCH($J3172,Mapping!$A$3:$A$13,0)),"(unmapped)")),IFERROR(INDEX(Mapping!$B$17:$B$22,MATCH($F3172,Mapping!$A$17:$A$22,0)),$F3172)&amp;" "&amp;IF($G3172="Banking","Banking",IFERROR(INDEX(Mapping!$E$17:$E$28,MATCH($J3172,Mapping!$D$17:$D$28,0)),"(unmapped)")))))</f>
        <v/>
      </c>
    </row>
    <row r="3173" spans="11:11" x14ac:dyDescent="0.3">
      <c r="K3173" t="str">
        <f>IF($D3173="","",IFERROR(INDEX(Mapping!$H$3:$H$32,MATCH($B3173,Mapping!$G$3:$G$32,0)),IF(LEFT($F3173,3)="P2P",IFERROR(INDEX(Mapping!$E$3:$E$6,MATCH($G3173,Mapping!$D$3:$D$6,0)),IFERROR(INDEX(Mapping!$B$3:$B$13,MATCH($J3173,Mapping!$A$3:$A$13,0)),"(unmapped)")),IFERROR(INDEX(Mapping!$B$17:$B$22,MATCH($F3173,Mapping!$A$17:$A$22,0)),$F3173)&amp;" "&amp;IF($G3173="Banking","Banking",IFERROR(INDEX(Mapping!$E$17:$E$28,MATCH($J3173,Mapping!$D$17:$D$28,0)),"(unmapped)")))))</f>
        <v/>
      </c>
    </row>
    <row r="3174" spans="11:11" x14ac:dyDescent="0.3">
      <c r="K3174" t="str">
        <f>IF($D3174="","",IFERROR(INDEX(Mapping!$H$3:$H$32,MATCH($B3174,Mapping!$G$3:$G$32,0)),IF(LEFT($F3174,3)="P2P",IFERROR(INDEX(Mapping!$E$3:$E$6,MATCH($G3174,Mapping!$D$3:$D$6,0)),IFERROR(INDEX(Mapping!$B$3:$B$13,MATCH($J3174,Mapping!$A$3:$A$13,0)),"(unmapped)")),IFERROR(INDEX(Mapping!$B$17:$B$22,MATCH($F3174,Mapping!$A$17:$A$22,0)),$F3174)&amp;" "&amp;IF($G3174="Banking","Banking",IFERROR(INDEX(Mapping!$E$17:$E$28,MATCH($J3174,Mapping!$D$17:$D$28,0)),"(unmapped)")))))</f>
        <v/>
      </c>
    </row>
    <row r="3175" spans="11:11" x14ac:dyDescent="0.3">
      <c r="K3175" t="str">
        <f>IF($D3175="","",IFERROR(INDEX(Mapping!$H$3:$H$32,MATCH($B3175,Mapping!$G$3:$G$32,0)),IF(LEFT($F3175,3)="P2P",IFERROR(INDEX(Mapping!$E$3:$E$6,MATCH($G3175,Mapping!$D$3:$D$6,0)),IFERROR(INDEX(Mapping!$B$3:$B$13,MATCH($J3175,Mapping!$A$3:$A$13,0)),"(unmapped)")),IFERROR(INDEX(Mapping!$B$17:$B$22,MATCH($F3175,Mapping!$A$17:$A$22,0)),$F3175)&amp;" "&amp;IF($G3175="Banking","Banking",IFERROR(INDEX(Mapping!$E$17:$E$28,MATCH($J3175,Mapping!$D$17:$D$28,0)),"(unmapped)")))))</f>
        <v/>
      </c>
    </row>
    <row r="3176" spans="11:11" x14ac:dyDescent="0.3">
      <c r="K3176" t="str">
        <f>IF($D3176="","",IFERROR(INDEX(Mapping!$H$3:$H$32,MATCH($B3176,Mapping!$G$3:$G$32,0)),IF(LEFT($F3176,3)="P2P",IFERROR(INDEX(Mapping!$E$3:$E$6,MATCH($G3176,Mapping!$D$3:$D$6,0)),IFERROR(INDEX(Mapping!$B$3:$B$13,MATCH($J3176,Mapping!$A$3:$A$13,0)),"(unmapped)")),IFERROR(INDEX(Mapping!$B$17:$B$22,MATCH($F3176,Mapping!$A$17:$A$22,0)),$F3176)&amp;" "&amp;IF($G3176="Banking","Banking",IFERROR(INDEX(Mapping!$E$17:$E$28,MATCH($J3176,Mapping!$D$17:$D$28,0)),"(unmapped)")))))</f>
        <v/>
      </c>
    </row>
    <row r="3177" spans="11:11" x14ac:dyDescent="0.3">
      <c r="K3177" t="str">
        <f>IF($D3177="","",IFERROR(INDEX(Mapping!$H$3:$H$32,MATCH($B3177,Mapping!$G$3:$G$32,0)),IF(LEFT($F3177,3)="P2P",IFERROR(INDEX(Mapping!$E$3:$E$6,MATCH($G3177,Mapping!$D$3:$D$6,0)),IFERROR(INDEX(Mapping!$B$3:$B$13,MATCH($J3177,Mapping!$A$3:$A$13,0)),"(unmapped)")),IFERROR(INDEX(Mapping!$B$17:$B$22,MATCH($F3177,Mapping!$A$17:$A$22,0)),$F3177)&amp;" "&amp;IF($G3177="Banking","Banking",IFERROR(INDEX(Mapping!$E$17:$E$28,MATCH($J3177,Mapping!$D$17:$D$28,0)),"(unmapped)")))))</f>
        <v/>
      </c>
    </row>
    <row r="3178" spans="11:11" x14ac:dyDescent="0.3">
      <c r="K3178" t="str">
        <f>IF($D3178="","",IFERROR(INDEX(Mapping!$H$3:$H$32,MATCH($B3178,Mapping!$G$3:$G$32,0)),IF(LEFT($F3178,3)="P2P",IFERROR(INDEX(Mapping!$E$3:$E$6,MATCH($G3178,Mapping!$D$3:$D$6,0)),IFERROR(INDEX(Mapping!$B$3:$B$13,MATCH($J3178,Mapping!$A$3:$A$13,0)),"(unmapped)")),IFERROR(INDEX(Mapping!$B$17:$B$22,MATCH($F3178,Mapping!$A$17:$A$22,0)),$F3178)&amp;" "&amp;IF($G3178="Banking","Banking",IFERROR(INDEX(Mapping!$E$17:$E$28,MATCH($J3178,Mapping!$D$17:$D$28,0)),"(unmapped)")))))</f>
        <v/>
      </c>
    </row>
    <row r="3179" spans="11:11" x14ac:dyDescent="0.3">
      <c r="K3179" t="str">
        <f>IF($D3179="","",IFERROR(INDEX(Mapping!$H$3:$H$32,MATCH($B3179,Mapping!$G$3:$G$32,0)),IF(LEFT($F3179,3)="P2P",IFERROR(INDEX(Mapping!$E$3:$E$6,MATCH($G3179,Mapping!$D$3:$D$6,0)),IFERROR(INDEX(Mapping!$B$3:$B$13,MATCH($J3179,Mapping!$A$3:$A$13,0)),"(unmapped)")),IFERROR(INDEX(Mapping!$B$17:$B$22,MATCH($F3179,Mapping!$A$17:$A$22,0)),$F3179)&amp;" "&amp;IF($G3179="Banking","Banking",IFERROR(INDEX(Mapping!$E$17:$E$28,MATCH($J3179,Mapping!$D$17:$D$28,0)),"(unmapped)")))))</f>
        <v/>
      </c>
    </row>
    <row r="3180" spans="11:11" x14ac:dyDescent="0.3">
      <c r="K3180" t="str">
        <f>IF($D3180="","",IFERROR(INDEX(Mapping!$H$3:$H$32,MATCH($B3180,Mapping!$G$3:$G$32,0)),IF(LEFT($F3180,3)="P2P",IFERROR(INDEX(Mapping!$E$3:$E$6,MATCH($G3180,Mapping!$D$3:$D$6,0)),IFERROR(INDEX(Mapping!$B$3:$B$13,MATCH($J3180,Mapping!$A$3:$A$13,0)),"(unmapped)")),IFERROR(INDEX(Mapping!$B$17:$B$22,MATCH($F3180,Mapping!$A$17:$A$22,0)),$F3180)&amp;" "&amp;IF($G3180="Banking","Banking",IFERROR(INDEX(Mapping!$E$17:$E$28,MATCH($J3180,Mapping!$D$17:$D$28,0)),"(unmapped)")))))</f>
        <v/>
      </c>
    </row>
    <row r="3181" spans="11:11" x14ac:dyDescent="0.3">
      <c r="K3181" t="str">
        <f>IF($D3181="","",IFERROR(INDEX(Mapping!$H$3:$H$32,MATCH($B3181,Mapping!$G$3:$G$32,0)),IF(LEFT($F3181,3)="P2P",IFERROR(INDEX(Mapping!$E$3:$E$6,MATCH($G3181,Mapping!$D$3:$D$6,0)),IFERROR(INDEX(Mapping!$B$3:$B$13,MATCH($J3181,Mapping!$A$3:$A$13,0)),"(unmapped)")),IFERROR(INDEX(Mapping!$B$17:$B$22,MATCH($F3181,Mapping!$A$17:$A$22,0)),$F3181)&amp;" "&amp;IF($G3181="Banking","Banking",IFERROR(INDEX(Mapping!$E$17:$E$28,MATCH($J3181,Mapping!$D$17:$D$28,0)),"(unmapped)")))))</f>
        <v/>
      </c>
    </row>
    <row r="3182" spans="11:11" x14ac:dyDescent="0.3">
      <c r="K3182" t="str">
        <f>IF($D3182="","",IFERROR(INDEX(Mapping!$H$3:$H$32,MATCH($B3182,Mapping!$G$3:$G$32,0)),IF(LEFT($F3182,3)="P2P",IFERROR(INDEX(Mapping!$E$3:$E$6,MATCH($G3182,Mapping!$D$3:$D$6,0)),IFERROR(INDEX(Mapping!$B$3:$B$13,MATCH($J3182,Mapping!$A$3:$A$13,0)),"(unmapped)")),IFERROR(INDEX(Mapping!$B$17:$B$22,MATCH($F3182,Mapping!$A$17:$A$22,0)),$F3182)&amp;" "&amp;IF($G3182="Banking","Banking",IFERROR(INDEX(Mapping!$E$17:$E$28,MATCH($J3182,Mapping!$D$17:$D$28,0)),"(unmapped)")))))</f>
        <v/>
      </c>
    </row>
    <row r="3183" spans="11:11" x14ac:dyDescent="0.3">
      <c r="K3183" t="str">
        <f>IF($D3183="","",IFERROR(INDEX(Mapping!$H$3:$H$32,MATCH($B3183,Mapping!$G$3:$G$32,0)),IF(LEFT($F3183,3)="P2P",IFERROR(INDEX(Mapping!$E$3:$E$6,MATCH($G3183,Mapping!$D$3:$D$6,0)),IFERROR(INDEX(Mapping!$B$3:$B$13,MATCH($J3183,Mapping!$A$3:$A$13,0)),"(unmapped)")),IFERROR(INDEX(Mapping!$B$17:$B$22,MATCH($F3183,Mapping!$A$17:$A$22,0)),$F3183)&amp;" "&amp;IF($G3183="Banking","Banking",IFERROR(INDEX(Mapping!$E$17:$E$28,MATCH($J3183,Mapping!$D$17:$D$28,0)),"(unmapped)")))))</f>
        <v/>
      </c>
    </row>
    <row r="3184" spans="11:11" x14ac:dyDescent="0.3">
      <c r="K3184" t="str">
        <f>IF($D3184="","",IFERROR(INDEX(Mapping!$H$3:$H$32,MATCH($B3184,Mapping!$G$3:$G$32,0)),IF(LEFT($F3184,3)="P2P",IFERROR(INDEX(Mapping!$E$3:$E$6,MATCH($G3184,Mapping!$D$3:$D$6,0)),IFERROR(INDEX(Mapping!$B$3:$B$13,MATCH($J3184,Mapping!$A$3:$A$13,0)),"(unmapped)")),IFERROR(INDEX(Mapping!$B$17:$B$22,MATCH($F3184,Mapping!$A$17:$A$22,0)),$F3184)&amp;" "&amp;IF($G3184="Banking","Banking",IFERROR(INDEX(Mapping!$E$17:$E$28,MATCH($J3184,Mapping!$D$17:$D$28,0)),"(unmapped)")))))</f>
        <v/>
      </c>
    </row>
    <row r="3185" spans="11:11" x14ac:dyDescent="0.3">
      <c r="K3185" t="str">
        <f>IF($D3185="","",IFERROR(INDEX(Mapping!$H$3:$H$32,MATCH($B3185,Mapping!$G$3:$G$32,0)),IF(LEFT($F3185,3)="P2P",IFERROR(INDEX(Mapping!$E$3:$E$6,MATCH($G3185,Mapping!$D$3:$D$6,0)),IFERROR(INDEX(Mapping!$B$3:$B$13,MATCH($J3185,Mapping!$A$3:$A$13,0)),"(unmapped)")),IFERROR(INDEX(Mapping!$B$17:$B$22,MATCH($F3185,Mapping!$A$17:$A$22,0)),$F3185)&amp;" "&amp;IF($G3185="Banking","Banking",IFERROR(INDEX(Mapping!$E$17:$E$28,MATCH($J3185,Mapping!$D$17:$D$28,0)),"(unmapped)")))))</f>
        <v/>
      </c>
    </row>
    <row r="3186" spans="11:11" x14ac:dyDescent="0.3">
      <c r="K3186" t="str">
        <f>IF($D3186="","",IFERROR(INDEX(Mapping!$H$3:$H$32,MATCH($B3186,Mapping!$G$3:$G$32,0)),IF(LEFT($F3186,3)="P2P",IFERROR(INDEX(Mapping!$E$3:$E$6,MATCH($G3186,Mapping!$D$3:$D$6,0)),IFERROR(INDEX(Mapping!$B$3:$B$13,MATCH($J3186,Mapping!$A$3:$A$13,0)),"(unmapped)")),IFERROR(INDEX(Mapping!$B$17:$B$22,MATCH($F3186,Mapping!$A$17:$A$22,0)),$F3186)&amp;" "&amp;IF($G3186="Banking","Banking",IFERROR(INDEX(Mapping!$E$17:$E$28,MATCH($J3186,Mapping!$D$17:$D$28,0)),"(unmapped)")))))</f>
        <v/>
      </c>
    </row>
    <row r="3187" spans="11:11" x14ac:dyDescent="0.3">
      <c r="K3187" t="str">
        <f>IF($D3187="","",IFERROR(INDEX(Mapping!$H$3:$H$32,MATCH($B3187,Mapping!$G$3:$G$32,0)),IF(LEFT($F3187,3)="P2P",IFERROR(INDEX(Mapping!$E$3:$E$6,MATCH($G3187,Mapping!$D$3:$D$6,0)),IFERROR(INDEX(Mapping!$B$3:$B$13,MATCH($J3187,Mapping!$A$3:$A$13,0)),"(unmapped)")),IFERROR(INDEX(Mapping!$B$17:$B$22,MATCH($F3187,Mapping!$A$17:$A$22,0)),$F3187)&amp;" "&amp;IF($G3187="Banking","Banking",IFERROR(INDEX(Mapping!$E$17:$E$28,MATCH($J3187,Mapping!$D$17:$D$28,0)),"(unmapped)")))))</f>
        <v/>
      </c>
    </row>
    <row r="3188" spans="11:11" x14ac:dyDescent="0.3">
      <c r="K3188" t="str">
        <f>IF($D3188="","",IFERROR(INDEX(Mapping!$H$3:$H$32,MATCH($B3188,Mapping!$G$3:$G$32,0)),IF(LEFT($F3188,3)="P2P",IFERROR(INDEX(Mapping!$E$3:$E$6,MATCH($G3188,Mapping!$D$3:$D$6,0)),IFERROR(INDEX(Mapping!$B$3:$B$13,MATCH($J3188,Mapping!$A$3:$A$13,0)),"(unmapped)")),IFERROR(INDEX(Mapping!$B$17:$B$22,MATCH($F3188,Mapping!$A$17:$A$22,0)),$F3188)&amp;" "&amp;IF($G3188="Banking","Banking",IFERROR(INDEX(Mapping!$E$17:$E$28,MATCH($J3188,Mapping!$D$17:$D$28,0)),"(unmapped)")))))</f>
        <v/>
      </c>
    </row>
    <row r="3189" spans="11:11" x14ac:dyDescent="0.3">
      <c r="K3189" t="str">
        <f>IF($D3189="","",IFERROR(INDEX(Mapping!$H$3:$H$32,MATCH($B3189,Mapping!$G$3:$G$32,0)),IF(LEFT($F3189,3)="P2P",IFERROR(INDEX(Mapping!$E$3:$E$6,MATCH($G3189,Mapping!$D$3:$D$6,0)),IFERROR(INDEX(Mapping!$B$3:$B$13,MATCH($J3189,Mapping!$A$3:$A$13,0)),"(unmapped)")),IFERROR(INDEX(Mapping!$B$17:$B$22,MATCH($F3189,Mapping!$A$17:$A$22,0)),$F3189)&amp;" "&amp;IF($G3189="Banking","Banking",IFERROR(INDEX(Mapping!$E$17:$E$28,MATCH($J3189,Mapping!$D$17:$D$28,0)),"(unmapped)")))))</f>
        <v/>
      </c>
    </row>
    <row r="3190" spans="11:11" x14ac:dyDescent="0.3">
      <c r="K3190" t="str">
        <f>IF($D3190="","",IFERROR(INDEX(Mapping!$H$3:$H$32,MATCH($B3190,Mapping!$G$3:$G$32,0)),IF(LEFT($F3190,3)="P2P",IFERROR(INDEX(Mapping!$E$3:$E$6,MATCH($G3190,Mapping!$D$3:$D$6,0)),IFERROR(INDEX(Mapping!$B$3:$B$13,MATCH($J3190,Mapping!$A$3:$A$13,0)),"(unmapped)")),IFERROR(INDEX(Mapping!$B$17:$B$22,MATCH($F3190,Mapping!$A$17:$A$22,0)),$F3190)&amp;" "&amp;IF($G3190="Banking","Banking",IFERROR(INDEX(Mapping!$E$17:$E$28,MATCH($J3190,Mapping!$D$17:$D$28,0)),"(unmapped)")))))</f>
        <v/>
      </c>
    </row>
    <row r="3191" spans="11:11" x14ac:dyDescent="0.3">
      <c r="K3191" t="str">
        <f>IF($D3191="","",IFERROR(INDEX(Mapping!$H$3:$H$32,MATCH($B3191,Mapping!$G$3:$G$32,0)),IF(LEFT($F3191,3)="P2P",IFERROR(INDEX(Mapping!$E$3:$E$6,MATCH($G3191,Mapping!$D$3:$D$6,0)),IFERROR(INDEX(Mapping!$B$3:$B$13,MATCH($J3191,Mapping!$A$3:$A$13,0)),"(unmapped)")),IFERROR(INDEX(Mapping!$B$17:$B$22,MATCH($F3191,Mapping!$A$17:$A$22,0)),$F3191)&amp;" "&amp;IF($G3191="Banking","Banking",IFERROR(INDEX(Mapping!$E$17:$E$28,MATCH($J3191,Mapping!$D$17:$D$28,0)),"(unmapped)")))))</f>
        <v/>
      </c>
    </row>
    <row r="3192" spans="11:11" x14ac:dyDescent="0.3">
      <c r="K3192" t="str">
        <f>IF($D3192="","",IFERROR(INDEX(Mapping!$H$3:$H$32,MATCH($B3192,Mapping!$G$3:$G$32,0)),IF(LEFT($F3192,3)="P2P",IFERROR(INDEX(Mapping!$E$3:$E$6,MATCH($G3192,Mapping!$D$3:$D$6,0)),IFERROR(INDEX(Mapping!$B$3:$B$13,MATCH($J3192,Mapping!$A$3:$A$13,0)),"(unmapped)")),IFERROR(INDEX(Mapping!$B$17:$B$22,MATCH($F3192,Mapping!$A$17:$A$22,0)),$F3192)&amp;" "&amp;IF($G3192="Banking","Banking",IFERROR(INDEX(Mapping!$E$17:$E$28,MATCH($J3192,Mapping!$D$17:$D$28,0)),"(unmapped)")))))</f>
        <v/>
      </c>
    </row>
    <row r="3193" spans="11:11" x14ac:dyDescent="0.3">
      <c r="K3193" t="str">
        <f>IF($D3193="","",IFERROR(INDEX(Mapping!$H$3:$H$32,MATCH($B3193,Mapping!$G$3:$G$32,0)),IF(LEFT($F3193,3)="P2P",IFERROR(INDEX(Mapping!$E$3:$E$6,MATCH($G3193,Mapping!$D$3:$D$6,0)),IFERROR(INDEX(Mapping!$B$3:$B$13,MATCH($J3193,Mapping!$A$3:$A$13,0)),"(unmapped)")),IFERROR(INDEX(Mapping!$B$17:$B$22,MATCH($F3193,Mapping!$A$17:$A$22,0)),$F3193)&amp;" "&amp;IF($G3193="Banking","Banking",IFERROR(INDEX(Mapping!$E$17:$E$28,MATCH($J3193,Mapping!$D$17:$D$28,0)),"(unmapped)")))))</f>
        <v/>
      </c>
    </row>
    <row r="3194" spans="11:11" x14ac:dyDescent="0.3">
      <c r="K3194" t="str">
        <f>IF($D3194="","",IFERROR(INDEX(Mapping!$H$3:$H$32,MATCH($B3194,Mapping!$G$3:$G$32,0)),IF(LEFT($F3194,3)="P2P",IFERROR(INDEX(Mapping!$E$3:$E$6,MATCH($G3194,Mapping!$D$3:$D$6,0)),IFERROR(INDEX(Mapping!$B$3:$B$13,MATCH($J3194,Mapping!$A$3:$A$13,0)),"(unmapped)")),IFERROR(INDEX(Mapping!$B$17:$B$22,MATCH($F3194,Mapping!$A$17:$A$22,0)),$F3194)&amp;" "&amp;IF($G3194="Banking","Banking",IFERROR(INDEX(Mapping!$E$17:$E$28,MATCH($J3194,Mapping!$D$17:$D$28,0)),"(unmapped)")))))</f>
        <v/>
      </c>
    </row>
    <row r="3195" spans="11:11" x14ac:dyDescent="0.3">
      <c r="K3195" t="str">
        <f>IF($D3195="","",IFERROR(INDEX(Mapping!$H$3:$H$32,MATCH($B3195,Mapping!$G$3:$G$32,0)),IF(LEFT($F3195,3)="P2P",IFERROR(INDEX(Mapping!$E$3:$E$6,MATCH($G3195,Mapping!$D$3:$D$6,0)),IFERROR(INDEX(Mapping!$B$3:$B$13,MATCH($J3195,Mapping!$A$3:$A$13,0)),"(unmapped)")),IFERROR(INDEX(Mapping!$B$17:$B$22,MATCH($F3195,Mapping!$A$17:$A$22,0)),$F3195)&amp;" "&amp;IF($G3195="Banking","Banking",IFERROR(INDEX(Mapping!$E$17:$E$28,MATCH($J3195,Mapping!$D$17:$D$28,0)),"(unmapped)")))))</f>
        <v/>
      </c>
    </row>
    <row r="3196" spans="11:11" x14ac:dyDescent="0.3">
      <c r="K3196" t="str">
        <f>IF($D3196="","",IFERROR(INDEX(Mapping!$H$3:$H$32,MATCH($B3196,Mapping!$G$3:$G$32,0)),IF(LEFT($F3196,3)="P2P",IFERROR(INDEX(Mapping!$E$3:$E$6,MATCH($G3196,Mapping!$D$3:$D$6,0)),IFERROR(INDEX(Mapping!$B$3:$B$13,MATCH($J3196,Mapping!$A$3:$A$13,0)),"(unmapped)")),IFERROR(INDEX(Mapping!$B$17:$B$22,MATCH($F3196,Mapping!$A$17:$A$22,0)),$F3196)&amp;" "&amp;IF($G3196="Banking","Banking",IFERROR(INDEX(Mapping!$E$17:$E$28,MATCH($J3196,Mapping!$D$17:$D$28,0)),"(unmapped)")))))</f>
        <v/>
      </c>
    </row>
    <row r="3197" spans="11:11" x14ac:dyDescent="0.3">
      <c r="K3197" t="str">
        <f>IF($D3197="","",IFERROR(INDEX(Mapping!$H$3:$H$32,MATCH($B3197,Mapping!$G$3:$G$32,0)),IF(LEFT($F3197,3)="P2P",IFERROR(INDEX(Mapping!$E$3:$E$6,MATCH($G3197,Mapping!$D$3:$D$6,0)),IFERROR(INDEX(Mapping!$B$3:$B$13,MATCH($J3197,Mapping!$A$3:$A$13,0)),"(unmapped)")),IFERROR(INDEX(Mapping!$B$17:$B$22,MATCH($F3197,Mapping!$A$17:$A$22,0)),$F3197)&amp;" "&amp;IF($G3197="Banking","Banking",IFERROR(INDEX(Mapping!$E$17:$E$28,MATCH($J3197,Mapping!$D$17:$D$28,0)),"(unmapped)")))))</f>
        <v/>
      </c>
    </row>
    <row r="3198" spans="11:11" x14ac:dyDescent="0.3">
      <c r="K3198" t="str">
        <f>IF($D3198="","",IFERROR(INDEX(Mapping!$H$3:$H$32,MATCH($B3198,Mapping!$G$3:$G$32,0)),IF(LEFT($F3198,3)="P2P",IFERROR(INDEX(Mapping!$E$3:$E$6,MATCH($G3198,Mapping!$D$3:$D$6,0)),IFERROR(INDEX(Mapping!$B$3:$B$13,MATCH($J3198,Mapping!$A$3:$A$13,0)),"(unmapped)")),IFERROR(INDEX(Mapping!$B$17:$B$22,MATCH($F3198,Mapping!$A$17:$A$22,0)),$F3198)&amp;" "&amp;IF($G3198="Banking","Banking",IFERROR(INDEX(Mapping!$E$17:$E$28,MATCH($J3198,Mapping!$D$17:$D$28,0)),"(unmapped)")))))</f>
        <v/>
      </c>
    </row>
    <row r="3199" spans="11:11" x14ac:dyDescent="0.3">
      <c r="K3199" t="str">
        <f>IF($D3199="","",IFERROR(INDEX(Mapping!$H$3:$H$32,MATCH($B3199,Mapping!$G$3:$G$32,0)),IF(LEFT($F3199,3)="P2P",IFERROR(INDEX(Mapping!$E$3:$E$6,MATCH($G3199,Mapping!$D$3:$D$6,0)),IFERROR(INDEX(Mapping!$B$3:$B$13,MATCH($J3199,Mapping!$A$3:$A$13,0)),"(unmapped)")),IFERROR(INDEX(Mapping!$B$17:$B$22,MATCH($F3199,Mapping!$A$17:$A$22,0)),$F3199)&amp;" "&amp;IF($G3199="Banking","Banking",IFERROR(INDEX(Mapping!$E$17:$E$28,MATCH($J3199,Mapping!$D$17:$D$28,0)),"(unmapped)")))))</f>
        <v/>
      </c>
    </row>
    <row r="3200" spans="11:11" x14ac:dyDescent="0.3">
      <c r="K3200" t="str">
        <f>IF($D3200="","",IFERROR(INDEX(Mapping!$H$3:$H$32,MATCH($B3200,Mapping!$G$3:$G$32,0)),IF(LEFT($F3200,3)="P2P",IFERROR(INDEX(Mapping!$E$3:$E$6,MATCH($G3200,Mapping!$D$3:$D$6,0)),IFERROR(INDEX(Mapping!$B$3:$B$13,MATCH($J3200,Mapping!$A$3:$A$13,0)),"(unmapped)")),IFERROR(INDEX(Mapping!$B$17:$B$22,MATCH($F3200,Mapping!$A$17:$A$22,0)),$F3200)&amp;" "&amp;IF($G3200="Banking","Banking",IFERROR(INDEX(Mapping!$E$17:$E$28,MATCH($J3200,Mapping!$D$17:$D$28,0)),"(unmapped)")))))</f>
        <v/>
      </c>
    </row>
    <row r="3201" spans="11:11" x14ac:dyDescent="0.3">
      <c r="K3201" t="str">
        <f>IF($D3201="","",IFERROR(INDEX(Mapping!$H$3:$H$32,MATCH($B3201,Mapping!$G$3:$G$32,0)),IF(LEFT($F3201,3)="P2P",IFERROR(INDEX(Mapping!$E$3:$E$6,MATCH($G3201,Mapping!$D$3:$D$6,0)),IFERROR(INDEX(Mapping!$B$3:$B$13,MATCH($J3201,Mapping!$A$3:$A$13,0)),"(unmapped)")),IFERROR(INDEX(Mapping!$B$17:$B$22,MATCH($F3201,Mapping!$A$17:$A$22,0)),$F3201)&amp;" "&amp;IF($G3201="Banking","Banking",IFERROR(INDEX(Mapping!$E$17:$E$28,MATCH($J3201,Mapping!$D$17:$D$28,0)),"(unmapped)")))))</f>
        <v/>
      </c>
    </row>
    <row r="3202" spans="11:11" x14ac:dyDescent="0.3">
      <c r="K3202" t="str">
        <f>IF($D3202="","",IFERROR(INDEX(Mapping!$H$3:$H$32,MATCH($B3202,Mapping!$G$3:$G$32,0)),IF(LEFT($F3202,3)="P2P",IFERROR(INDEX(Mapping!$E$3:$E$6,MATCH($G3202,Mapping!$D$3:$D$6,0)),IFERROR(INDEX(Mapping!$B$3:$B$13,MATCH($J3202,Mapping!$A$3:$A$13,0)),"(unmapped)")),IFERROR(INDEX(Mapping!$B$17:$B$22,MATCH($F3202,Mapping!$A$17:$A$22,0)),$F3202)&amp;" "&amp;IF($G3202="Banking","Banking",IFERROR(INDEX(Mapping!$E$17:$E$28,MATCH($J3202,Mapping!$D$17:$D$28,0)),"(unmapped)")))))</f>
        <v/>
      </c>
    </row>
    <row r="3203" spans="11:11" x14ac:dyDescent="0.3">
      <c r="K3203" t="str">
        <f>IF($D3203="","",IFERROR(INDEX(Mapping!$H$3:$H$32,MATCH($B3203,Mapping!$G$3:$G$32,0)),IF(LEFT($F3203,3)="P2P",IFERROR(INDEX(Mapping!$E$3:$E$6,MATCH($G3203,Mapping!$D$3:$D$6,0)),IFERROR(INDEX(Mapping!$B$3:$B$13,MATCH($J3203,Mapping!$A$3:$A$13,0)),"(unmapped)")),IFERROR(INDEX(Mapping!$B$17:$B$22,MATCH($F3203,Mapping!$A$17:$A$22,0)),$F3203)&amp;" "&amp;IF($G3203="Banking","Banking",IFERROR(INDEX(Mapping!$E$17:$E$28,MATCH($J3203,Mapping!$D$17:$D$28,0)),"(unmapped)")))))</f>
        <v/>
      </c>
    </row>
    <row r="3204" spans="11:11" x14ac:dyDescent="0.3">
      <c r="K3204" t="str">
        <f>IF($D3204="","",IFERROR(INDEX(Mapping!$H$3:$H$32,MATCH($B3204,Mapping!$G$3:$G$32,0)),IF(LEFT($F3204,3)="P2P",IFERROR(INDEX(Mapping!$E$3:$E$6,MATCH($G3204,Mapping!$D$3:$D$6,0)),IFERROR(INDEX(Mapping!$B$3:$B$13,MATCH($J3204,Mapping!$A$3:$A$13,0)),"(unmapped)")),IFERROR(INDEX(Mapping!$B$17:$B$22,MATCH($F3204,Mapping!$A$17:$A$22,0)),$F3204)&amp;" "&amp;IF($G3204="Banking","Banking",IFERROR(INDEX(Mapping!$E$17:$E$28,MATCH($J3204,Mapping!$D$17:$D$28,0)),"(unmapped)")))))</f>
        <v/>
      </c>
    </row>
    <row r="3205" spans="11:11" x14ac:dyDescent="0.3">
      <c r="K3205" t="str">
        <f>IF($D3205="","",IFERROR(INDEX(Mapping!$H$3:$H$32,MATCH($B3205,Mapping!$G$3:$G$32,0)),IF(LEFT($F3205,3)="P2P",IFERROR(INDEX(Mapping!$E$3:$E$6,MATCH($G3205,Mapping!$D$3:$D$6,0)),IFERROR(INDEX(Mapping!$B$3:$B$13,MATCH($J3205,Mapping!$A$3:$A$13,0)),"(unmapped)")),IFERROR(INDEX(Mapping!$B$17:$B$22,MATCH($F3205,Mapping!$A$17:$A$22,0)),$F3205)&amp;" "&amp;IF($G3205="Banking","Banking",IFERROR(INDEX(Mapping!$E$17:$E$28,MATCH($J3205,Mapping!$D$17:$D$28,0)),"(unmapped)")))))</f>
        <v/>
      </c>
    </row>
    <row r="3206" spans="11:11" x14ac:dyDescent="0.3">
      <c r="K3206" t="str">
        <f>IF($D3206="","",IFERROR(INDEX(Mapping!$H$3:$H$32,MATCH($B3206,Mapping!$G$3:$G$32,0)),IF(LEFT($F3206,3)="P2P",IFERROR(INDEX(Mapping!$E$3:$E$6,MATCH($G3206,Mapping!$D$3:$D$6,0)),IFERROR(INDEX(Mapping!$B$3:$B$13,MATCH($J3206,Mapping!$A$3:$A$13,0)),"(unmapped)")),IFERROR(INDEX(Mapping!$B$17:$B$22,MATCH($F3206,Mapping!$A$17:$A$22,0)),$F3206)&amp;" "&amp;IF($G3206="Banking","Banking",IFERROR(INDEX(Mapping!$E$17:$E$28,MATCH($J3206,Mapping!$D$17:$D$28,0)),"(unmapped)")))))</f>
        <v/>
      </c>
    </row>
    <row r="3207" spans="11:11" x14ac:dyDescent="0.3">
      <c r="K3207" t="str">
        <f>IF($D3207="","",IFERROR(INDEX(Mapping!$H$3:$H$32,MATCH($B3207,Mapping!$G$3:$G$32,0)),IF(LEFT($F3207,3)="P2P",IFERROR(INDEX(Mapping!$E$3:$E$6,MATCH($G3207,Mapping!$D$3:$D$6,0)),IFERROR(INDEX(Mapping!$B$3:$B$13,MATCH($J3207,Mapping!$A$3:$A$13,0)),"(unmapped)")),IFERROR(INDEX(Mapping!$B$17:$B$22,MATCH($F3207,Mapping!$A$17:$A$22,0)),$F3207)&amp;" "&amp;IF($G3207="Banking","Banking",IFERROR(INDEX(Mapping!$E$17:$E$28,MATCH($J3207,Mapping!$D$17:$D$28,0)),"(unmapped)")))))</f>
        <v/>
      </c>
    </row>
    <row r="3208" spans="11:11" x14ac:dyDescent="0.3">
      <c r="K3208" t="str">
        <f>IF($D3208="","",IFERROR(INDEX(Mapping!$H$3:$H$32,MATCH($B3208,Mapping!$G$3:$G$32,0)),IF(LEFT($F3208,3)="P2P",IFERROR(INDEX(Mapping!$E$3:$E$6,MATCH($G3208,Mapping!$D$3:$D$6,0)),IFERROR(INDEX(Mapping!$B$3:$B$13,MATCH($J3208,Mapping!$A$3:$A$13,0)),"(unmapped)")),IFERROR(INDEX(Mapping!$B$17:$B$22,MATCH($F3208,Mapping!$A$17:$A$22,0)),$F3208)&amp;" "&amp;IF($G3208="Banking","Banking",IFERROR(INDEX(Mapping!$E$17:$E$28,MATCH($J3208,Mapping!$D$17:$D$28,0)),"(unmapped)")))))</f>
        <v/>
      </c>
    </row>
    <row r="3209" spans="11:11" x14ac:dyDescent="0.3">
      <c r="K3209" t="str">
        <f>IF($D3209="","",IFERROR(INDEX(Mapping!$H$3:$H$32,MATCH($B3209,Mapping!$G$3:$G$32,0)),IF(LEFT($F3209,3)="P2P",IFERROR(INDEX(Mapping!$E$3:$E$6,MATCH($G3209,Mapping!$D$3:$D$6,0)),IFERROR(INDEX(Mapping!$B$3:$B$13,MATCH($J3209,Mapping!$A$3:$A$13,0)),"(unmapped)")),IFERROR(INDEX(Mapping!$B$17:$B$22,MATCH($F3209,Mapping!$A$17:$A$22,0)),$F3209)&amp;" "&amp;IF($G3209="Banking","Banking",IFERROR(INDEX(Mapping!$E$17:$E$28,MATCH($J3209,Mapping!$D$17:$D$28,0)),"(unmapped)")))))</f>
        <v/>
      </c>
    </row>
    <row r="3210" spans="11:11" x14ac:dyDescent="0.3">
      <c r="K3210" t="str">
        <f>IF($D3210="","",IFERROR(INDEX(Mapping!$H$3:$H$32,MATCH($B3210,Mapping!$G$3:$G$32,0)),IF(LEFT($F3210,3)="P2P",IFERROR(INDEX(Mapping!$E$3:$E$6,MATCH($G3210,Mapping!$D$3:$D$6,0)),IFERROR(INDEX(Mapping!$B$3:$B$13,MATCH($J3210,Mapping!$A$3:$A$13,0)),"(unmapped)")),IFERROR(INDEX(Mapping!$B$17:$B$22,MATCH($F3210,Mapping!$A$17:$A$22,0)),$F3210)&amp;" "&amp;IF($G3210="Banking","Banking",IFERROR(INDEX(Mapping!$E$17:$E$28,MATCH($J3210,Mapping!$D$17:$D$28,0)),"(unmapped)")))))</f>
        <v/>
      </c>
    </row>
    <row r="3211" spans="11:11" x14ac:dyDescent="0.3">
      <c r="K3211" t="str">
        <f>IF($D3211="","",IFERROR(INDEX(Mapping!$H$3:$H$32,MATCH($B3211,Mapping!$G$3:$G$32,0)),IF(LEFT($F3211,3)="P2P",IFERROR(INDEX(Mapping!$E$3:$E$6,MATCH($G3211,Mapping!$D$3:$D$6,0)),IFERROR(INDEX(Mapping!$B$3:$B$13,MATCH($J3211,Mapping!$A$3:$A$13,0)),"(unmapped)")),IFERROR(INDEX(Mapping!$B$17:$B$22,MATCH($F3211,Mapping!$A$17:$A$22,0)),$F3211)&amp;" "&amp;IF($G3211="Banking","Banking",IFERROR(INDEX(Mapping!$E$17:$E$28,MATCH($J3211,Mapping!$D$17:$D$28,0)),"(unmapped)")))))</f>
        <v/>
      </c>
    </row>
    <row r="3212" spans="11:11" x14ac:dyDescent="0.3">
      <c r="K3212" t="str">
        <f>IF($D3212="","",IFERROR(INDEX(Mapping!$H$3:$H$32,MATCH($B3212,Mapping!$G$3:$G$32,0)),IF(LEFT($F3212,3)="P2P",IFERROR(INDEX(Mapping!$E$3:$E$6,MATCH($G3212,Mapping!$D$3:$D$6,0)),IFERROR(INDEX(Mapping!$B$3:$B$13,MATCH($J3212,Mapping!$A$3:$A$13,0)),"(unmapped)")),IFERROR(INDEX(Mapping!$B$17:$B$22,MATCH($F3212,Mapping!$A$17:$A$22,0)),$F3212)&amp;" "&amp;IF($G3212="Banking","Banking",IFERROR(INDEX(Mapping!$E$17:$E$28,MATCH($J3212,Mapping!$D$17:$D$28,0)),"(unmapped)")))))</f>
        <v/>
      </c>
    </row>
    <row r="3213" spans="11:11" x14ac:dyDescent="0.3">
      <c r="K3213" t="str">
        <f>IF($D3213="","",IFERROR(INDEX(Mapping!$H$3:$H$32,MATCH($B3213,Mapping!$G$3:$G$32,0)),IF(LEFT($F3213,3)="P2P",IFERROR(INDEX(Mapping!$E$3:$E$6,MATCH($G3213,Mapping!$D$3:$D$6,0)),IFERROR(INDEX(Mapping!$B$3:$B$13,MATCH($J3213,Mapping!$A$3:$A$13,0)),"(unmapped)")),IFERROR(INDEX(Mapping!$B$17:$B$22,MATCH($F3213,Mapping!$A$17:$A$22,0)),$F3213)&amp;" "&amp;IF($G3213="Banking","Banking",IFERROR(INDEX(Mapping!$E$17:$E$28,MATCH($J3213,Mapping!$D$17:$D$28,0)),"(unmapped)")))))</f>
        <v/>
      </c>
    </row>
    <row r="3214" spans="11:11" x14ac:dyDescent="0.3">
      <c r="K3214" t="str">
        <f>IF($D3214="","",IFERROR(INDEX(Mapping!$H$3:$H$32,MATCH($B3214,Mapping!$G$3:$G$32,0)),IF(LEFT($F3214,3)="P2P",IFERROR(INDEX(Mapping!$E$3:$E$6,MATCH($G3214,Mapping!$D$3:$D$6,0)),IFERROR(INDEX(Mapping!$B$3:$B$13,MATCH($J3214,Mapping!$A$3:$A$13,0)),"(unmapped)")),IFERROR(INDEX(Mapping!$B$17:$B$22,MATCH($F3214,Mapping!$A$17:$A$22,0)),$F3214)&amp;" "&amp;IF($G3214="Banking","Banking",IFERROR(INDEX(Mapping!$E$17:$E$28,MATCH($J3214,Mapping!$D$17:$D$28,0)),"(unmapped)")))))</f>
        <v/>
      </c>
    </row>
    <row r="3215" spans="11:11" x14ac:dyDescent="0.3">
      <c r="K3215" t="str">
        <f>IF($D3215="","",IFERROR(INDEX(Mapping!$H$3:$H$32,MATCH($B3215,Mapping!$G$3:$G$32,0)),IF(LEFT($F3215,3)="P2P",IFERROR(INDEX(Mapping!$E$3:$E$6,MATCH($G3215,Mapping!$D$3:$D$6,0)),IFERROR(INDEX(Mapping!$B$3:$B$13,MATCH($J3215,Mapping!$A$3:$A$13,0)),"(unmapped)")),IFERROR(INDEX(Mapping!$B$17:$B$22,MATCH($F3215,Mapping!$A$17:$A$22,0)),$F3215)&amp;" "&amp;IF($G3215="Banking","Banking",IFERROR(INDEX(Mapping!$E$17:$E$28,MATCH($J3215,Mapping!$D$17:$D$28,0)),"(unmapped)")))))</f>
        <v/>
      </c>
    </row>
    <row r="3216" spans="11:11" x14ac:dyDescent="0.3">
      <c r="K3216" t="str">
        <f>IF($D3216="","",IFERROR(INDEX(Mapping!$H$3:$H$32,MATCH($B3216,Mapping!$G$3:$G$32,0)),IF(LEFT($F3216,3)="P2P",IFERROR(INDEX(Mapping!$E$3:$E$6,MATCH($G3216,Mapping!$D$3:$D$6,0)),IFERROR(INDEX(Mapping!$B$3:$B$13,MATCH($J3216,Mapping!$A$3:$A$13,0)),"(unmapped)")),IFERROR(INDEX(Mapping!$B$17:$B$22,MATCH($F3216,Mapping!$A$17:$A$22,0)),$F3216)&amp;" "&amp;IF($G3216="Banking","Banking",IFERROR(INDEX(Mapping!$E$17:$E$28,MATCH($J3216,Mapping!$D$17:$D$28,0)),"(unmapped)")))))</f>
        <v/>
      </c>
    </row>
    <row r="3217" spans="11:11" x14ac:dyDescent="0.3">
      <c r="K3217" t="str">
        <f>IF($D3217="","",IFERROR(INDEX(Mapping!$H$3:$H$32,MATCH($B3217,Mapping!$G$3:$G$32,0)),IF(LEFT($F3217,3)="P2P",IFERROR(INDEX(Mapping!$E$3:$E$6,MATCH($G3217,Mapping!$D$3:$D$6,0)),IFERROR(INDEX(Mapping!$B$3:$B$13,MATCH($J3217,Mapping!$A$3:$A$13,0)),"(unmapped)")),IFERROR(INDEX(Mapping!$B$17:$B$22,MATCH($F3217,Mapping!$A$17:$A$22,0)),$F3217)&amp;" "&amp;IF($G3217="Banking","Banking",IFERROR(INDEX(Mapping!$E$17:$E$28,MATCH($J3217,Mapping!$D$17:$D$28,0)),"(unmapped)")))))</f>
        <v/>
      </c>
    </row>
    <row r="3218" spans="11:11" x14ac:dyDescent="0.3">
      <c r="K3218" t="str">
        <f>IF($D3218="","",IFERROR(INDEX(Mapping!$H$3:$H$32,MATCH($B3218,Mapping!$G$3:$G$32,0)),IF(LEFT($F3218,3)="P2P",IFERROR(INDEX(Mapping!$E$3:$E$6,MATCH($G3218,Mapping!$D$3:$D$6,0)),IFERROR(INDEX(Mapping!$B$3:$B$13,MATCH($J3218,Mapping!$A$3:$A$13,0)),"(unmapped)")),IFERROR(INDEX(Mapping!$B$17:$B$22,MATCH($F3218,Mapping!$A$17:$A$22,0)),$F3218)&amp;" "&amp;IF($G3218="Banking","Banking",IFERROR(INDEX(Mapping!$E$17:$E$28,MATCH($J3218,Mapping!$D$17:$D$28,0)),"(unmapped)")))))</f>
        <v/>
      </c>
    </row>
    <row r="3219" spans="11:11" x14ac:dyDescent="0.3">
      <c r="K3219" t="str">
        <f>IF($D3219="","",IFERROR(INDEX(Mapping!$H$3:$H$32,MATCH($B3219,Mapping!$G$3:$G$32,0)),IF(LEFT($F3219,3)="P2P",IFERROR(INDEX(Mapping!$E$3:$E$6,MATCH($G3219,Mapping!$D$3:$D$6,0)),IFERROR(INDEX(Mapping!$B$3:$B$13,MATCH($J3219,Mapping!$A$3:$A$13,0)),"(unmapped)")),IFERROR(INDEX(Mapping!$B$17:$B$22,MATCH($F3219,Mapping!$A$17:$A$22,0)),$F3219)&amp;" "&amp;IF($G3219="Banking","Banking",IFERROR(INDEX(Mapping!$E$17:$E$28,MATCH($J3219,Mapping!$D$17:$D$28,0)),"(unmapped)")))))</f>
        <v/>
      </c>
    </row>
    <row r="3220" spans="11:11" x14ac:dyDescent="0.3">
      <c r="K3220" t="str">
        <f>IF($D3220="","",IFERROR(INDEX(Mapping!$H$3:$H$32,MATCH($B3220,Mapping!$G$3:$G$32,0)),IF(LEFT($F3220,3)="P2P",IFERROR(INDEX(Mapping!$E$3:$E$6,MATCH($G3220,Mapping!$D$3:$D$6,0)),IFERROR(INDEX(Mapping!$B$3:$B$13,MATCH($J3220,Mapping!$A$3:$A$13,0)),"(unmapped)")),IFERROR(INDEX(Mapping!$B$17:$B$22,MATCH($F3220,Mapping!$A$17:$A$22,0)),$F3220)&amp;" "&amp;IF($G3220="Banking","Banking",IFERROR(INDEX(Mapping!$E$17:$E$28,MATCH($J3220,Mapping!$D$17:$D$28,0)),"(unmapped)")))))</f>
        <v/>
      </c>
    </row>
    <row r="3221" spans="11:11" x14ac:dyDescent="0.3">
      <c r="K3221" t="str">
        <f>IF($D3221="","",IFERROR(INDEX(Mapping!$H$3:$H$32,MATCH($B3221,Mapping!$G$3:$G$32,0)),IF(LEFT($F3221,3)="P2P",IFERROR(INDEX(Mapping!$E$3:$E$6,MATCH($G3221,Mapping!$D$3:$D$6,0)),IFERROR(INDEX(Mapping!$B$3:$B$13,MATCH($J3221,Mapping!$A$3:$A$13,0)),"(unmapped)")),IFERROR(INDEX(Mapping!$B$17:$B$22,MATCH($F3221,Mapping!$A$17:$A$22,0)),$F3221)&amp;" "&amp;IF($G3221="Banking","Banking",IFERROR(INDEX(Mapping!$E$17:$E$28,MATCH($J3221,Mapping!$D$17:$D$28,0)),"(unmapped)")))))</f>
        <v/>
      </c>
    </row>
    <row r="3222" spans="11:11" x14ac:dyDescent="0.3">
      <c r="K3222" t="str">
        <f>IF($D3222="","",IFERROR(INDEX(Mapping!$H$3:$H$32,MATCH($B3222,Mapping!$G$3:$G$32,0)),IF(LEFT($F3222,3)="P2P",IFERROR(INDEX(Mapping!$E$3:$E$6,MATCH($G3222,Mapping!$D$3:$D$6,0)),IFERROR(INDEX(Mapping!$B$3:$B$13,MATCH($J3222,Mapping!$A$3:$A$13,0)),"(unmapped)")),IFERROR(INDEX(Mapping!$B$17:$B$22,MATCH($F3222,Mapping!$A$17:$A$22,0)),$F3222)&amp;" "&amp;IF($G3222="Banking","Banking",IFERROR(INDEX(Mapping!$E$17:$E$28,MATCH($J3222,Mapping!$D$17:$D$28,0)),"(unmapped)")))))</f>
        <v/>
      </c>
    </row>
    <row r="3223" spans="11:11" x14ac:dyDescent="0.3">
      <c r="K3223" t="str">
        <f>IF($D3223="","",IFERROR(INDEX(Mapping!$H$3:$H$32,MATCH($B3223,Mapping!$G$3:$G$32,0)),IF(LEFT($F3223,3)="P2P",IFERROR(INDEX(Mapping!$E$3:$E$6,MATCH($G3223,Mapping!$D$3:$D$6,0)),IFERROR(INDEX(Mapping!$B$3:$B$13,MATCH($J3223,Mapping!$A$3:$A$13,0)),"(unmapped)")),IFERROR(INDEX(Mapping!$B$17:$B$22,MATCH($F3223,Mapping!$A$17:$A$22,0)),$F3223)&amp;" "&amp;IF($G3223="Banking","Banking",IFERROR(INDEX(Mapping!$E$17:$E$28,MATCH($J3223,Mapping!$D$17:$D$28,0)),"(unmapped)")))))</f>
        <v/>
      </c>
    </row>
    <row r="3224" spans="11:11" x14ac:dyDescent="0.3">
      <c r="K3224" t="str">
        <f>IF($D3224="","",IFERROR(INDEX(Mapping!$H$3:$H$32,MATCH($B3224,Mapping!$G$3:$G$32,0)),IF(LEFT($F3224,3)="P2P",IFERROR(INDEX(Mapping!$E$3:$E$6,MATCH($G3224,Mapping!$D$3:$D$6,0)),IFERROR(INDEX(Mapping!$B$3:$B$13,MATCH($J3224,Mapping!$A$3:$A$13,0)),"(unmapped)")),IFERROR(INDEX(Mapping!$B$17:$B$22,MATCH($F3224,Mapping!$A$17:$A$22,0)),$F3224)&amp;" "&amp;IF($G3224="Banking","Banking",IFERROR(INDEX(Mapping!$E$17:$E$28,MATCH($J3224,Mapping!$D$17:$D$28,0)),"(unmapped)")))))</f>
        <v/>
      </c>
    </row>
    <row r="3225" spans="11:11" x14ac:dyDescent="0.3">
      <c r="K3225" t="str">
        <f>IF($D3225="","",IFERROR(INDEX(Mapping!$H$3:$H$32,MATCH($B3225,Mapping!$G$3:$G$32,0)),IF(LEFT($F3225,3)="P2P",IFERROR(INDEX(Mapping!$E$3:$E$6,MATCH($G3225,Mapping!$D$3:$D$6,0)),IFERROR(INDEX(Mapping!$B$3:$B$13,MATCH($J3225,Mapping!$A$3:$A$13,0)),"(unmapped)")),IFERROR(INDEX(Mapping!$B$17:$B$22,MATCH($F3225,Mapping!$A$17:$A$22,0)),$F3225)&amp;" "&amp;IF($G3225="Banking","Banking",IFERROR(INDEX(Mapping!$E$17:$E$28,MATCH($J3225,Mapping!$D$17:$D$28,0)),"(unmapped)")))))</f>
        <v/>
      </c>
    </row>
    <row r="3226" spans="11:11" x14ac:dyDescent="0.3">
      <c r="K3226" t="str">
        <f>IF($D3226="","",IFERROR(INDEX(Mapping!$H$3:$H$32,MATCH($B3226,Mapping!$G$3:$G$32,0)),IF(LEFT($F3226,3)="P2P",IFERROR(INDEX(Mapping!$E$3:$E$6,MATCH($G3226,Mapping!$D$3:$D$6,0)),IFERROR(INDEX(Mapping!$B$3:$B$13,MATCH($J3226,Mapping!$A$3:$A$13,0)),"(unmapped)")),IFERROR(INDEX(Mapping!$B$17:$B$22,MATCH($F3226,Mapping!$A$17:$A$22,0)),$F3226)&amp;" "&amp;IF($G3226="Banking","Banking",IFERROR(INDEX(Mapping!$E$17:$E$28,MATCH($J3226,Mapping!$D$17:$D$28,0)),"(unmapped)")))))</f>
        <v/>
      </c>
    </row>
    <row r="3227" spans="11:11" x14ac:dyDescent="0.3">
      <c r="K3227" t="str">
        <f>IF($D3227="","",IFERROR(INDEX(Mapping!$H$3:$H$32,MATCH($B3227,Mapping!$G$3:$G$32,0)),IF(LEFT($F3227,3)="P2P",IFERROR(INDEX(Mapping!$E$3:$E$6,MATCH($G3227,Mapping!$D$3:$D$6,0)),IFERROR(INDEX(Mapping!$B$3:$B$13,MATCH($J3227,Mapping!$A$3:$A$13,0)),"(unmapped)")),IFERROR(INDEX(Mapping!$B$17:$B$22,MATCH($F3227,Mapping!$A$17:$A$22,0)),$F3227)&amp;" "&amp;IF($G3227="Banking","Banking",IFERROR(INDEX(Mapping!$E$17:$E$28,MATCH($J3227,Mapping!$D$17:$D$28,0)),"(unmapped)")))))</f>
        <v/>
      </c>
    </row>
    <row r="3228" spans="11:11" x14ac:dyDescent="0.3">
      <c r="K3228" t="str">
        <f>IF($D3228="","",IFERROR(INDEX(Mapping!$H$3:$H$32,MATCH($B3228,Mapping!$G$3:$G$32,0)),IF(LEFT($F3228,3)="P2P",IFERROR(INDEX(Mapping!$E$3:$E$6,MATCH($G3228,Mapping!$D$3:$D$6,0)),IFERROR(INDEX(Mapping!$B$3:$B$13,MATCH($J3228,Mapping!$A$3:$A$13,0)),"(unmapped)")),IFERROR(INDEX(Mapping!$B$17:$B$22,MATCH($F3228,Mapping!$A$17:$A$22,0)),$F3228)&amp;" "&amp;IF($G3228="Banking","Banking",IFERROR(INDEX(Mapping!$E$17:$E$28,MATCH($J3228,Mapping!$D$17:$D$28,0)),"(unmapped)")))))</f>
        <v/>
      </c>
    </row>
    <row r="3229" spans="11:11" x14ac:dyDescent="0.3">
      <c r="K3229" t="str">
        <f>IF($D3229="","",IFERROR(INDEX(Mapping!$H$3:$H$32,MATCH($B3229,Mapping!$G$3:$G$32,0)),IF(LEFT($F3229,3)="P2P",IFERROR(INDEX(Mapping!$E$3:$E$6,MATCH($G3229,Mapping!$D$3:$D$6,0)),IFERROR(INDEX(Mapping!$B$3:$B$13,MATCH($J3229,Mapping!$A$3:$A$13,0)),"(unmapped)")),IFERROR(INDEX(Mapping!$B$17:$B$22,MATCH($F3229,Mapping!$A$17:$A$22,0)),$F3229)&amp;" "&amp;IF($G3229="Banking","Banking",IFERROR(INDEX(Mapping!$E$17:$E$28,MATCH($J3229,Mapping!$D$17:$D$28,0)),"(unmapped)")))))</f>
        <v/>
      </c>
    </row>
    <row r="3230" spans="11:11" x14ac:dyDescent="0.3">
      <c r="K3230" t="str">
        <f>IF($D3230="","",IFERROR(INDEX(Mapping!$H$3:$H$32,MATCH($B3230,Mapping!$G$3:$G$32,0)),IF(LEFT($F3230,3)="P2P",IFERROR(INDEX(Mapping!$E$3:$E$6,MATCH($G3230,Mapping!$D$3:$D$6,0)),IFERROR(INDEX(Mapping!$B$3:$B$13,MATCH($J3230,Mapping!$A$3:$A$13,0)),"(unmapped)")),IFERROR(INDEX(Mapping!$B$17:$B$22,MATCH($F3230,Mapping!$A$17:$A$22,0)),$F3230)&amp;" "&amp;IF($G3230="Banking","Banking",IFERROR(INDEX(Mapping!$E$17:$E$28,MATCH($J3230,Mapping!$D$17:$D$28,0)),"(unmapped)")))))</f>
        <v/>
      </c>
    </row>
    <row r="3231" spans="11:11" x14ac:dyDescent="0.3">
      <c r="K3231" t="str">
        <f>IF($D3231="","",IFERROR(INDEX(Mapping!$H$3:$H$32,MATCH($B3231,Mapping!$G$3:$G$32,0)),IF(LEFT($F3231,3)="P2P",IFERROR(INDEX(Mapping!$E$3:$E$6,MATCH($G3231,Mapping!$D$3:$D$6,0)),IFERROR(INDEX(Mapping!$B$3:$B$13,MATCH($J3231,Mapping!$A$3:$A$13,0)),"(unmapped)")),IFERROR(INDEX(Mapping!$B$17:$B$22,MATCH($F3231,Mapping!$A$17:$A$22,0)),$F3231)&amp;" "&amp;IF($G3231="Banking","Banking",IFERROR(INDEX(Mapping!$E$17:$E$28,MATCH($J3231,Mapping!$D$17:$D$28,0)),"(unmapped)")))))</f>
        <v/>
      </c>
    </row>
    <row r="3232" spans="11:11" x14ac:dyDescent="0.3">
      <c r="K3232" t="str">
        <f>IF($D3232="","",IFERROR(INDEX(Mapping!$H$3:$H$32,MATCH($B3232,Mapping!$G$3:$G$32,0)),IF(LEFT($F3232,3)="P2P",IFERROR(INDEX(Mapping!$E$3:$E$6,MATCH($G3232,Mapping!$D$3:$D$6,0)),IFERROR(INDEX(Mapping!$B$3:$B$13,MATCH($J3232,Mapping!$A$3:$A$13,0)),"(unmapped)")),IFERROR(INDEX(Mapping!$B$17:$B$22,MATCH($F3232,Mapping!$A$17:$A$22,0)),$F3232)&amp;" "&amp;IF($G3232="Banking","Banking",IFERROR(INDEX(Mapping!$E$17:$E$28,MATCH($J3232,Mapping!$D$17:$D$28,0)),"(unmapped)")))))</f>
        <v/>
      </c>
    </row>
    <row r="3233" spans="11:11" x14ac:dyDescent="0.3">
      <c r="K3233" t="str">
        <f>IF($D3233="","",IFERROR(INDEX(Mapping!$H$3:$H$32,MATCH($B3233,Mapping!$G$3:$G$32,0)),IF(LEFT($F3233,3)="P2P",IFERROR(INDEX(Mapping!$E$3:$E$6,MATCH($G3233,Mapping!$D$3:$D$6,0)),IFERROR(INDEX(Mapping!$B$3:$B$13,MATCH($J3233,Mapping!$A$3:$A$13,0)),"(unmapped)")),IFERROR(INDEX(Mapping!$B$17:$B$22,MATCH($F3233,Mapping!$A$17:$A$22,0)),$F3233)&amp;" "&amp;IF($G3233="Banking","Banking",IFERROR(INDEX(Mapping!$E$17:$E$28,MATCH($J3233,Mapping!$D$17:$D$28,0)),"(unmapped)")))))</f>
        <v/>
      </c>
    </row>
    <row r="3234" spans="11:11" x14ac:dyDescent="0.3">
      <c r="K3234" t="str">
        <f>IF($D3234="","",IFERROR(INDEX(Mapping!$H$3:$H$32,MATCH($B3234,Mapping!$G$3:$G$32,0)),IF(LEFT($F3234,3)="P2P",IFERROR(INDEX(Mapping!$E$3:$E$6,MATCH($G3234,Mapping!$D$3:$D$6,0)),IFERROR(INDEX(Mapping!$B$3:$B$13,MATCH($J3234,Mapping!$A$3:$A$13,0)),"(unmapped)")),IFERROR(INDEX(Mapping!$B$17:$B$22,MATCH($F3234,Mapping!$A$17:$A$22,0)),$F3234)&amp;" "&amp;IF($G3234="Banking","Banking",IFERROR(INDEX(Mapping!$E$17:$E$28,MATCH($J3234,Mapping!$D$17:$D$28,0)),"(unmapped)")))))</f>
        <v/>
      </c>
    </row>
    <row r="3235" spans="11:11" x14ac:dyDescent="0.3">
      <c r="K3235" t="str">
        <f>IF($D3235="","",IFERROR(INDEX(Mapping!$H$3:$H$32,MATCH($B3235,Mapping!$G$3:$G$32,0)),IF(LEFT($F3235,3)="P2P",IFERROR(INDEX(Mapping!$E$3:$E$6,MATCH($G3235,Mapping!$D$3:$D$6,0)),IFERROR(INDEX(Mapping!$B$3:$B$13,MATCH($J3235,Mapping!$A$3:$A$13,0)),"(unmapped)")),IFERROR(INDEX(Mapping!$B$17:$B$22,MATCH($F3235,Mapping!$A$17:$A$22,0)),$F3235)&amp;" "&amp;IF($G3235="Banking","Banking",IFERROR(INDEX(Mapping!$E$17:$E$28,MATCH($J3235,Mapping!$D$17:$D$28,0)),"(unmapped)")))))</f>
        <v/>
      </c>
    </row>
    <row r="3236" spans="11:11" x14ac:dyDescent="0.3">
      <c r="K3236" t="str">
        <f>IF($D3236="","",IFERROR(INDEX(Mapping!$H$3:$H$32,MATCH($B3236,Mapping!$G$3:$G$32,0)),IF(LEFT($F3236,3)="P2P",IFERROR(INDEX(Mapping!$E$3:$E$6,MATCH($G3236,Mapping!$D$3:$D$6,0)),IFERROR(INDEX(Mapping!$B$3:$B$13,MATCH($J3236,Mapping!$A$3:$A$13,0)),"(unmapped)")),IFERROR(INDEX(Mapping!$B$17:$B$22,MATCH($F3236,Mapping!$A$17:$A$22,0)),$F3236)&amp;" "&amp;IF($G3236="Banking","Banking",IFERROR(INDEX(Mapping!$E$17:$E$28,MATCH($J3236,Mapping!$D$17:$D$28,0)),"(unmapped)")))))</f>
        <v/>
      </c>
    </row>
    <row r="3237" spans="11:11" x14ac:dyDescent="0.3">
      <c r="K3237" t="str">
        <f>IF($D3237="","",IFERROR(INDEX(Mapping!$H$3:$H$32,MATCH($B3237,Mapping!$G$3:$G$32,0)),IF(LEFT($F3237,3)="P2P",IFERROR(INDEX(Mapping!$E$3:$E$6,MATCH($G3237,Mapping!$D$3:$D$6,0)),IFERROR(INDEX(Mapping!$B$3:$B$13,MATCH($J3237,Mapping!$A$3:$A$13,0)),"(unmapped)")),IFERROR(INDEX(Mapping!$B$17:$B$22,MATCH($F3237,Mapping!$A$17:$A$22,0)),$F3237)&amp;" "&amp;IF($G3237="Banking","Banking",IFERROR(INDEX(Mapping!$E$17:$E$28,MATCH($J3237,Mapping!$D$17:$D$28,0)),"(unmapped)")))))</f>
        <v/>
      </c>
    </row>
    <row r="3238" spans="11:11" x14ac:dyDescent="0.3">
      <c r="K3238" t="str">
        <f>IF($D3238="","",IFERROR(INDEX(Mapping!$H$3:$H$32,MATCH($B3238,Mapping!$G$3:$G$32,0)),IF(LEFT($F3238,3)="P2P",IFERROR(INDEX(Mapping!$E$3:$E$6,MATCH($G3238,Mapping!$D$3:$D$6,0)),IFERROR(INDEX(Mapping!$B$3:$B$13,MATCH($J3238,Mapping!$A$3:$A$13,0)),"(unmapped)")),IFERROR(INDEX(Mapping!$B$17:$B$22,MATCH($F3238,Mapping!$A$17:$A$22,0)),$F3238)&amp;" "&amp;IF($G3238="Banking","Banking",IFERROR(INDEX(Mapping!$E$17:$E$28,MATCH($J3238,Mapping!$D$17:$D$28,0)),"(unmapped)")))))</f>
        <v/>
      </c>
    </row>
    <row r="3239" spans="11:11" x14ac:dyDescent="0.3">
      <c r="K3239" t="str">
        <f>IF($D3239="","",IFERROR(INDEX(Mapping!$H$3:$H$32,MATCH($B3239,Mapping!$G$3:$G$32,0)),IF(LEFT($F3239,3)="P2P",IFERROR(INDEX(Mapping!$E$3:$E$6,MATCH($G3239,Mapping!$D$3:$D$6,0)),IFERROR(INDEX(Mapping!$B$3:$B$13,MATCH($J3239,Mapping!$A$3:$A$13,0)),"(unmapped)")),IFERROR(INDEX(Mapping!$B$17:$B$22,MATCH($F3239,Mapping!$A$17:$A$22,0)),$F3239)&amp;" "&amp;IF($G3239="Banking","Banking",IFERROR(INDEX(Mapping!$E$17:$E$28,MATCH($J3239,Mapping!$D$17:$D$28,0)),"(unmapped)")))))</f>
        <v/>
      </c>
    </row>
    <row r="3240" spans="11:11" x14ac:dyDescent="0.3">
      <c r="K3240" t="str">
        <f>IF($D3240="","",IFERROR(INDEX(Mapping!$H$3:$H$32,MATCH($B3240,Mapping!$G$3:$G$32,0)),IF(LEFT($F3240,3)="P2P",IFERROR(INDEX(Mapping!$E$3:$E$6,MATCH($G3240,Mapping!$D$3:$D$6,0)),IFERROR(INDEX(Mapping!$B$3:$B$13,MATCH($J3240,Mapping!$A$3:$A$13,0)),"(unmapped)")),IFERROR(INDEX(Mapping!$B$17:$B$22,MATCH($F3240,Mapping!$A$17:$A$22,0)),$F3240)&amp;" "&amp;IF($G3240="Banking","Banking",IFERROR(INDEX(Mapping!$E$17:$E$28,MATCH($J3240,Mapping!$D$17:$D$28,0)),"(unmapped)")))))</f>
        <v/>
      </c>
    </row>
    <row r="3241" spans="11:11" x14ac:dyDescent="0.3">
      <c r="K3241" t="str">
        <f>IF($D3241="","",IFERROR(INDEX(Mapping!$H$3:$H$32,MATCH($B3241,Mapping!$G$3:$G$32,0)),IF(LEFT($F3241,3)="P2P",IFERROR(INDEX(Mapping!$E$3:$E$6,MATCH($G3241,Mapping!$D$3:$D$6,0)),IFERROR(INDEX(Mapping!$B$3:$B$13,MATCH($J3241,Mapping!$A$3:$A$13,0)),"(unmapped)")),IFERROR(INDEX(Mapping!$B$17:$B$22,MATCH($F3241,Mapping!$A$17:$A$22,0)),$F3241)&amp;" "&amp;IF($G3241="Banking","Banking",IFERROR(INDEX(Mapping!$E$17:$E$28,MATCH($J3241,Mapping!$D$17:$D$28,0)),"(unmapped)")))))</f>
        <v/>
      </c>
    </row>
    <row r="3242" spans="11:11" x14ac:dyDescent="0.3">
      <c r="K3242" t="str">
        <f>IF($D3242="","",IFERROR(INDEX(Mapping!$H$3:$H$32,MATCH($B3242,Mapping!$G$3:$G$32,0)),IF(LEFT($F3242,3)="P2P",IFERROR(INDEX(Mapping!$E$3:$E$6,MATCH($G3242,Mapping!$D$3:$D$6,0)),IFERROR(INDEX(Mapping!$B$3:$B$13,MATCH($J3242,Mapping!$A$3:$A$13,0)),"(unmapped)")),IFERROR(INDEX(Mapping!$B$17:$B$22,MATCH($F3242,Mapping!$A$17:$A$22,0)),$F3242)&amp;" "&amp;IF($G3242="Banking","Banking",IFERROR(INDEX(Mapping!$E$17:$E$28,MATCH($J3242,Mapping!$D$17:$D$28,0)),"(unmapped)")))))</f>
        <v/>
      </c>
    </row>
    <row r="3243" spans="11:11" x14ac:dyDescent="0.3">
      <c r="K3243" t="str">
        <f>IF($D3243="","",IFERROR(INDEX(Mapping!$H$3:$H$32,MATCH($B3243,Mapping!$G$3:$G$32,0)),IF(LEFT($F3243,3)="P2P",IFERROR(INDEX(Mapping!$E$3:$E$6,MATCH($G3243,Mapping!$D$3:$D$6,0)),IFERROR(INDEX(Mapping!$B$3:$B$13,MATCH($J3243,Mapping!$A$3:$A$13,0)),"(unmapped)")),IFERROR(INDEX(Mapping!$B$17:$B$22,MATCH($F3243,Mapping!$A$17:$A$22,0)),$F3243)&amp;" "&amp;IF($G3243="Banking","Banking",IFERROR(INDEX(Mapping!$E$17:$E$28,MATCH($J3243,Mapping!$D$17:$D$28,0)),"(unmapped)")))))</f>
        <v/>
      </c>
    </row>
    <row r="3244" spans="11:11" x14ac:dyDescent="0.3">
      <c r="K3244" t="str">
        <f>IF($D3244="","",IFERROR(INDEX(Mapping!$H$3:$H$32,MATCH($B3244,Mapping!$G$3:$G$32,0)),IF(LEFT($F3244,3)="P2P",IFERROR(INDEX(Mapping!$E$3:$E$6,MATCH($G3244,Mapping!$D$3:$D$6,0)),IFERROR(INDEX(Mapping!$B$3:$B$13,MATCH($J3244,Mapping!$A$3:$A$13,0)),"(unmapped)")),IFERROR(INDEX(Mapping!$B$17:$B$22,MATCH($F3244,Mapping!$A$17:$A$22,0)),$F3244)&amp;" "&amp;IF($G3244="Banking","Banking",IFERROR(INDEX(Mapping!$E$17:$E$28,MATCH($J3244,Mapping!$D$17:$D$28,0)),"(unmapped)")))))</f>
        <v/>
      </c>
    </row>
    <row r="3245" spans="11:11" x14ac:dyDescent="0.3">
      <c r="K3245" t="str">
        <f>IF($D3245="","",IFERROR(INDEX(Mapping!$H$3:$H$32,MATCH($B3245,Mapping!$G$3:$G$32,0)),IF(LEFT($F3245,3)="P2P",IFERROR(INDEX(Mapping!$E$3:$E$6,MATCH($G3245,Mapping!$D$3:$D$6,0)),IFERROR(INDEX(Mapping!$B$3:$B$13,MATCH($J3245,Mapping!$A$3:$A$13,0)),"(unmapped)")),IFERROR(INDEX(Mapping!$B$17:$B$22,MATCH($F3245,Mapping!$A$17:$A$22,0)),$F3245)&amp;" "&amp;IF($G3245="Banking","Banking",IFERROR(INDEX(Mapping!$E$17:$E$28,MATCH($J3245,Mapping!$D$17:$D$28,0)),"(unmapped)")))))</f>
        <v/>
      </c>
    </row>
    <row r="3246" spans="11:11" x14ac:dyDescent="0.3">
      <c r="K3246" t="str">
        <f>IF($D3246="","",IFERROR(INDEX(Mapping!$H$3:$H$32,MATCH($B3246,Mapping!$G$3:$G$32,0)),IF(LEFT($F3246,3)="P2P",IFERROR(INDEX(Mapping!$E$3:$E$6,MATCH($G3246,Mapping!$D$3:$D$6,0)),IFERROR(INDEX(Mapping!$B$3:$B$13,MATCH($J3246,Mapping!$A$3:$A$13,0)),"(unmapped)")),IFERROR(INDEX(Mapping!$B$17:$B$22,MATCH($F3246,Mapping!$A$17:$A$22,0)),$F3246)&amp;" "&amp;IF($G3246="Banking","Banking",IFERROR(INDEX(Mapping!$E$17:$E$28,MATCH($J3246,Mapping!$D$17:$D$28,0)),"(unmapped)")))))</f>
        <v/>
      </c>
    </row>
    <row r="3247" spans="11:11" x14ac:dyDescent="0.3">
      <c r="K3247" t="str">
        <f>IF($D3247="","",IFERROR(INDEX(Mapping!$H$3:$H$32,MATCH($B3247,Mapping!$G$3:$G$32,0)),IF(LEFT($F3247,3)="P2P",IFERROR(INDEX(Mapping!$E$3:$E$6,MATCH($G3247,Mapping!$D$3:$D$6,0)),IFERROR(INDEX(Mapping!$B$3:$B$13,MATCH($J3247,Mapping!$A$3:$A$13,0)),"(unmapped)")),IFERROR(INDEX(Mapping!$B$17:$B$22,MATCH($F3247,Mapping!$A$17:$A$22,0)),$F3247)&amp;" "&amp;IF($G3247="Banking","Banking",IFERROR(INDEX(Mapping!$E$17:$E$28,MATCH($J3247,Mapping!$D$17:$D$28,0)),"(unmapped)")))))</f>
        <v/>
      </c>
    </row>
    <row r="3248" spans="11:11" x14ac:dyDescent="0.3">
      <c r="K3248" t="str">
        <f>IF($D3248="","",IFERROR(INDEX(Mapping!$H$3:$H$32,MATCH($B3248,Mapping!$G$3:$G$32,0)),IF(LEFT($F3248,3)="P2P",IFERROR(INDEX(Mapping!$E$3:$E$6,MATCH($G3248,Mapping!$D$3:$D$6,0)),IFERROR(INDEX(Mapping!$B$3:$B$13,MATCH($J3248,Mapping!$A$3:$A$13,0)),"(unmapped)")),IFERROR(INDEX(Mapping!$B$17:$B$22,MATCH($F3248,Mapping!$A$17:$A$22,0)),$F3248)&amp;" "&amp;IF($G3248="Banking","Banking",IFERROR(INDEX(Mapping!$E$17:$E$28,MATCH($J3248,Mapping!$D$17:$D$28,0)),"(unmapped)")))))</f>
        <v/>
      </c>
    </row>
    <row r="3249" spans="11:11" x14ac:dyDescent="0.3">
      <c r="K3249" t="str">
        <f>IF($D3249="","",IFERROR(INDEX(Mapping!$H$3:$H$32,MATCH($B3249,Mapping!$G$3:$G$32,0)),IF(LEFT($F3249,3)="P2P",IFERROR(INDEX(Mapping!$E$3:$E$6,MATCH($G3249,Mapping!$D$3:$D$6,0)),IFERROR(INDEX(Mapping!$B$3:$B$13,MATCH($J3249,Mapping!$A$3:$A$13,0)),"(unmapped)")),IFERROR(INDEX(Mapping!$B$17:$B$22,MATCH($F3249,Mapping!$A$17:$A$22,0)),$F3249)&amp;" "&amp;IF($G3249="Banking","Banking",IFERROR(INDEX(Mapping!$E$17:$E$28,MATCH($J3249,Mapping!$D$17:$D$28,0)),"(unmapped)")))))</f>
        <v/>
      </c>
    </row>
    <row r="3250" spans="11:11" x14ac:dyDescent="0.3">
      <c r="K3250" t="str">
        <f>IF($D3250="","",IFERROR(INDEX(Mapping!$H$3:$H$32,MATCH($B3250,Mapping!$G$3:$G$32,0)),IF(LEFT($F3250,3)="P2P",IFERROR(INDEX(Mapping!$E$3:$E$6,MATCH($G3250,Mapping!$D$3:$D$6,0)),IFERROR(INDEX(Mapping!$B$3:$B$13,MATCH($J3250,Mapping!$A$3:$A$13,0)),"(unmapped)")),IFERROR(INDEX(Mapping!$B$17:$B$22,MATCH($F3250,Mapping!$A$17:$A$22,0)),$F3250)&amp;" "&amp;IF($G3250="Banking","Banking",IFERROR(INDEX(Mapping!$E$17:$E$28,MATCH($J3250,Mapping!$D$17:$D$28,0)),"(unmapped)")))))</f>
        <v/>
      </c>
    </row>
    <row r="3251" spans="11:11" x14ac:dyDescent="0.3">
      <c r="K3251" t="str">
        <f>IF($D3251="","",IFERROR(INDEX(Mapping!$H$3:$H$32,MATCH($B3251,Mapping!$G$3:$G$32,0)),IF(LEFT($F3251,3)="P2P",IFERROR(INDEX(Mapping!$E$3:$E$6,MATCH($G3251,Mapping!$D$3:$D$6,0)),IFERROR(INDEX(Mapping!$B$3:$B$13,MATCH($J3251,Mapping!$A$3:$A$13,0)),"(unmapped)")),IFERROR(INDEX(Mapping!$B$17:$B$22,MATCH($F3251,Mapping!$A$17:$A$22,0)),$F3251)&amp;" "&amp;IF($G3251="Banking","Banking",IFERROR(INDEX(Mapping!$E$17:$E$28,MATCH($J3251,Mapping!$D$17:$D$28,0)),"(unmapped)")))))</f>
        <v/>
      </c>
    </row>
    <row r="3252" spans="11:11" x14ac:dyDescent="0.3">
      <c r="K3252" t="str">
        <f>IF($D3252="","",IFERROR(INDEX(Mapping!$H$3:$H$32,MATCH($B3252,Mapping!$G$3:$G$32,0)),IF(LEFT($F3252,3)="P2P",IFERROR(INDEX(Mapping!$E$3:$E$6,MATCH($G3252,Mapping!$D$3:$D$6,0)),IFERROR(INDEX(Mapping!$B$3:$B$13,MATCH($J3252,Mapping!$A$3:$A$13,0)),"(unmapped)")),IFERROR(INDEX(Mapping!$B$17:$B$22,MATCH($F3252,Mapping!$A$17:$A$22,0)),$F3252)&amp;" "&amp;IF($G3252="Banking","Banking",IFERROR(INDEX(Mapping!$E$17:$E$28,MATCH($J3252,Mapping!$D$17:$D$28,0)),"(unmapped)")))))</f>
        <v/>
      </c>
    </row>
    <row r="3253" spans="11:11" x14ac:dyDescent="0.3">
      <c r="K3253" t="str">
        <f>IF($D3253="","",IFERROR(INDEX(Mapping!$H$3:$H$32,MATCH($B3253,Mapping!$G$3:$G$32,0)),IF(LEFT($F3253,3)="P2P",IFERROR(INDEX(Mapping!$E$3:$E$6,MATCH($G3253,Mapping!$D$3:$D$6,0)),IFERROR(INDEX(Mapping!$B$3:$B$13,MATCH($J3253,Mapping!$A$3:$A$13,0)),"(unmapped)")),IFERROR(INDEX(Mapping!$B$17:$B$22,MATCH($F3253,Mapping!$A$17:$A$22,0)),$F3253)&amp;" "&amp;IF($G3253="Banking","Banking",IFERROR(INDEX(Mapping!$E$17:$E$28,MATCH($J3253,Mapping!$D$17:$D$28,0)),"(unmapped)")))))</f>
        <v/>
      </c>
    </row>
    <row r="3254" spans="11:11" x14ac:dyDescent="0.3">
      <c r="K3254" t="str">
        <f>IF($D3254="","",IFERROR(INDEX(Mapping!$H$3:$H$32,MATCH($B3254,Mapping!$G$3:$G$32,0)),IF(LEFT($F3254,3)="P2P",IFERROR(INDEX(Mapping!$E$3:$E$6,MATCH($G3254,Mapping!$D$3:$D$6,0)),IFERROR(INDEX(Mapping!$B$3:$B$13,MATCH($J3254,Mapping!$A$3:$A$13,0)),"(unmapped)")),IFERROR(INDEX(Mapping!$B$17:$B$22,MATCH($F3254,Mapping!$A$17:$A$22,0)),$F3254)&amp;" "&amp;IF($G3254="Banking","Banking",IFERROR(INDEX(Mapping!$E$17:$E$28,MATCH($J3254,Mapping!$D$17:$D$28,0)),"(unmapped)")))))</f>
        <v/>
      </c>
    </row>
    <row r="3255" spans="11:11" x14ac:dyDescent="0.3">
      <c r="K3255" t="str">
        <f>IF($D3255="","",IFERROR(INDEX(Mapping!$H$3:$H$32,MATCH($B3255,Mapping!$G$3:$G$32,0)),IF(LEFT($F3255,3)="P2P",IFERROR(INDEX(Mapping!$E$3:$E$6,MATCH($G3255,Mapping!$D$3:$D$6,0)),IFERROR(INDEX(Mapping!$B$3:$B$13,MATCH($J3255,Mapping!$A$3:$A$13,0)),"(unmapped)")),IFERROR(INDEX(Mapping!$B$17:$B$22,MATCH($F3255,Mapping!$A$17:$A$22,0)),$F3255)&amp;" "&amp;IF($G3255="Banking","Banking",IFERROR(INDEX(Mapping!$E$17:$E$28,MATCH($J3255,Mapping!$D$17:$D$28,0)),"(unmapped)")))))</f>
        <v/>
      </c>
    </row>
    <row r="3256" spans="11:11" x14ac:dyDescent="0.3">
      <c r="K3256" t="str">
        <f>IF($D3256="","",IFERROR(INDEX(Mapping!$H$3:$H$32,MATCH($B3256,Mapping!$G$3:$G$32,0)),IF(LEFT($F3256,3)="P2P",IFERROR(INDEX(Mapping!$E$3:$E$6,MATCH($G3256,Mapping!$D$3:$D$6,0)),IFERROR(INDEX(Mapping!$B$3:$B$13,MATCH($J3256,Mapping!$A$3:$A$13,0)),"(unmapped)")),IFERROR(INDEX(Mapping!$B$17:$B$22,MATCH($F3256,Mapping!$A$17:$A$22,0)),$F3256)&amp;" "&amp;IF($G3256="Banking","Banking",IFERROR(INDEX(Mapping!$E$17:$E$28,MATCH($J3256,Mapping!$D$17:$D$28,0)),"(unmapped)")))))</f>
        <v/>
      </c>
    </row>
    <row r="3257" spans="11:11" x14ac:dyDescent="0.3">
      <c r="K3257" t="str">
        <f>IF($D3257="","",IFERROR(INDEX(Mapping!$H$3:$H$32,MATCH($B3257,Mapping!$G$3:$G$32,0)),IF(LEFT($F3257,3)="P2P",IFERROR(INDEX(Mapping!$E$3:$E$6,MATCH($G3257,Mapping!$D$3:$D$6,0)),IFERROR(INDEX(Mapping!$B$3:$B$13,MATCH($J3257,Mapping!$A$3:$A$13,0)),"(unmapped)")),IFERROR(INDEX(Mapping!$B$17:$B$22,MATCH($F3257,Mapping!$A$17:$A$22,0)),$F3257)&amp;" "&amp;IF($G3257="Banking","Banking",IFERROR(INDEX(Mapping!$E$17:$E$28,MATCH($J3257,Mapping!$D$17:$D$28,0)),"(unmapped)")))))</f>
        <v/>
      </c>
    </row>
    <row r="3258" spans="11:11" x14ac:dyDescent="0.3">
      <c r="K3258" t="str">
        <f>IF($D3258="","",IFERROR(INDEX(Mapping!$H$3:$H$32,MATCH($B3258,Mapping!$G$3:$G$32,0)),IF(LEFT($F3258,3)="P2P",IFERROR(INDEX(Mapping!$E$3:$E$6,MATCH($G3258,Mapping!$D$3:$D$6,0)),IFERROR(INDEX(Mapping!$B$3:$B$13,MATCH($J3258,Mapping!$A$3:$A$13,0)),"(unmapped)")),IFERROR(INDEX(Mapping!$B$17:$B$22,MATCH($F3258,Mapping!$A$17:$A$22,0)),$F3258)&amp;" "&amp;IF($G3258="Banking","Banking",IFERROR(INDEX(Mapping!$E$17:$E$28,MATCH($J3258,Mapping!$D$17:$D$28,0)),"(unmapped)")))))</f>
        <v/>
      </c>
    </row>
    <row r="3259" spans="11:11" x14ac:dyDescent="0.3">
      <c r="K3259" t="str">
        <f>IF($D3259="","",IFERROR(INDEX(Mapping!$H$3:$H$32,MATCH($B3259,Mapping!$G$3:$G$32,0)),IF(LEFT($F3259,3)="P2P",IFERROR(INDEX(Mapping!$E$3:$E$6,MATCH($G3259,Mapping!$D$3:$D$6,0)),IFERROR(INDEX(Mapping!$B$3:$B$13,MATCH($J3259,Mapping!$A$3:$A$13,0)),"(unmapped)")),IFERROR(INDEX(Mapping!$B$17:$B$22,MATCH($F3259,Mapping!$A$17:$A$22,0)),$F3259)&amp;" "&amp;IF($G3259="Banking","Banking",IFERROR(INDEX(Mapping!$E$17:$E$28,MATCH($J3259,Mapping!$D$17:$D$28,0)),"(unmapped)")))))</f>
        <v/>
      </c>
    </row>
    <row r="3260" spans="11:11" x14ac:dyDescent="0.3">
      <c r="K3260" t="str">
        <f>IF($D3260="","",IFERROR(INDEX(Mapping!$H$3:$H$32,MATCH($B3260,Mapping!$G$3:$G$32,0)),IF(LEFT($F3260,3)="P2P",IFERROR(INDEX(Mapping!$E$3:$E$6,MATCH($G3260,Mapping!$D$3:$D$6,0)),IFERROR(INDEX(Mapping!$B$3:$B$13,MATCH($J3260,Mapping!$A$3:$A$13,0)),"(unmapped)")),IFERROR(INDEX(Mapping!$B$17:$B$22,MATCH($F3260,Mapping!$A$17:$A$22,0)),$F3260)&amp;" "&amp;IF($G3260="Banking","Banking",IFERROR(INDEX(Mapping!$E$17:$E$28,MATCH($J3260,Mapping!$D$17:$D$28,0)),"(unmapped)")))))</f>
        <v/>
      </c>
    </row>
    <row r="3261" spans="11:11" x14ac:dyDescent="0.3">
      <c r="K3261" t="str">
        <f>IF($D3261="","",IFERROR(INDEX(Mapping!$H$3:$H$32,MATCH($B3261,Mapping!$G$3:$G$32,0)),IF(LEFT($F3261,3)="P2P",IFERROR(INDEX(Mapping!$E$3:$E$6,MATCH($G3261,Mapping!$D$3:$D$6,0)),IFERROR(INDEX(Mapping!$B$3:$B$13,MATCH($J3261,Mapping!$A$3:$A$13,0)),"(unmapped)")),IFERROR(INDEX(Mapping!$B$17:$B$22,MATCH($F3261,Mapping!$A$17:$A$22,0)),$F3261)&amp;" "&amp;IF($G3261="Banking","Banking",IFERROR(INDEX(Mapping!$E$17:$E$28,MATCH($J3261,Mapping!$D$17:$D$28,0)),"(unmapped)")))))</f>
        <v/>
      </c>
    </row>
    <row r="3262" spans="11:11" x14ac:dyDescent="0.3">
      <c r="K3262" t="str">
        <f>IF($D3262="","",IFERROR(INDEX(Mapping!$H$3:$H$32,MATCH($B3262,Mapping!$G$3:$G$32,0)),IF(LEFT($F3262,3)="P2P",IFERROR(INDEX(Mapping!$E$3:$E$6,MATCH($G3262,Mapping!$D$3:$D$6,0)),IFERROR(INDEX(Mapping!$B$3:$B$13,MATCH($J3262,Mapping!$A$3:$A$13,0)),"(unmapped)")),IFERROR(INDEX(Mapping!$B$17:$B$22,MATCH($F3262,Mapping!$A$17:$A$22,0)),$F3262)&amp;" "&amp;IF($G3262="Banking","Banking",IFERROR(INDEX(Mapping!$E$17:$E$28,MATCH($J3262,Mapping!$D$17:$D$28,0)),"(unmapped)")))))</f>
        <v/>
      </c>
    </row>
    <row r="3263" spans="11:11" x14ac:dyDescent="0.3">
      <c r="K3263" t="str">
        <f>IF($D3263="","",IFERROR(INDEX(Mapping!$H$3:$H$32,MATCH($B3263,Mapping!$G$3:$G$32,0)),IF(LEFT($F3263,3)="P2P",IFERROR(INDEX(Mapping!$E$3:$E$6,MATCH($G3263,Mapping!$D$3:$D$6,0)),IFERROR(INDEX(Mapping!$B$3:$B$13,MATCH($J3263,Mapping!$A$3:$A$13,0)),"(unmapped)")),IFERROR(INDEX(Mapping!$B$17:$B$22,MATCH($F3263,Mapping!$A$17:$A$22,0)),$F3263)&amp;" "&amp;IF($G3263="Banking","Banking",IFERROR(INDEX(Mapping!$E$17:$E$28,MATCH($J3263,Mapping!$D$17:$D$28,0)),"(unmapped)")))))</f>
        <v/>
      </c>
    </row>
    <row r="3264" spans="11:11" x14ac:dyDescent="0.3">
      <c r="K3264" t="str">
        <f>IF($D3264="","",IFERROR(INDEX(Mapping!$H$3:$H$32,MATCH($B3264,Mapping!$G$3:$G$32,0)),IF(LEFT($F3264,3)="P2P",IFERROR(INDEX(Mapping!$E$3:$E$6,MATCH($G3264,Mapping!$D$3:$D$6,0)),IFERROR(INDEX(Mapping!$B$3:$B$13,MATCH($J3264,Mapping!$A$3:$A$13,0)),"(unmapped)")),IFERROR(INDEX(Mapping!$B$17:$B$22,MATCH($F3264,Mapping!$A$17:$A$22,0)),$F3264)&amp;" "&amp;IF($G3264="Banking","Banking",IFERROR(INDEX(Mapping!$E$17:$E$28,MATCH($J3264,Mapping!$D$17:$D$28,0)),"(unmapped)")))))</f>
        <v/>
      </c>
    </row>
    <row r="3265" spans="11:11" x14ac:dyDescent="0.3">
      <c r="K3265" t="str">
        <f>IF($D3265="","",IFERROR(INDEX(Mapping!$H$3:$H$32,MATCH($B3265,Mapping!$G$3:$G$32,0)),IF(LEFT($F3265,3)="P2P",IFERROR(INDEX(Mapping!$E$3:$E$6,MATCH($G3265,Mapping!$D$3:$D$6,0)),IFERROR(INDEX(Mapping!$B$3:$B$13,MATCH($J3265,Mapping!$A$3:$A$13,0)),"(unmapped)")),IFERROR(INDEX(Mapping!$B$17:$B$22,MATCH($F3265,Mapping!$A$17:$A$22,0)),$F3265)&amp;" "&amp;IF($G3265="Banking","Banking",IFERROR(INDEX(Mapping!$E$17:$E$28,MATCH($J3265,Mapping!$D$17:$D$28,0)),"(unmapped)")))))</f>
        <v/>
      </c>
    </row>
    <row r="3266" spans="11:11" x14ac:dyDescent="0.3">
      <c r="K3266" t="str">
        <f>IF($D3266="","",IFERROR(INDEX(Mapping!$H$3:$H$32,MATCH($B3266,Mapping!$G$3:$G$32,0)),IF(LEFT($F3266,3)="P2P",IFERROR(INDEX(Mapping!$E$3:$E$6,MATCH($G3266,Mapping!$D$3:$D$6,0)),IFERROR(INDEX(Mapping!$B$3:$B$13,MATCH($J3266,Mapping!$A$3:$A$13,0)),"(unmapped)")),IFERROR(INDEX(Mapping!$B$17:$B$22,MATCH($F3266,Mapping!$A$17:$A$22,0)),$F3266)&amp;" "&amp;IF($G3266="Banking","Banking",IFERROR(INDEX(Mapping!$E$17:$E$28,MATCH($J3266,Mapping!$D$17:$D$28,0)),"(unmapped)")))))</f>
        <v/>
      </c>
    </row>
    <row r="3267" spans="11:11" x14ac:dyDescent="0.3">
      <c r="K3267" t="str">
        <f>IF($D3267="","",IFERROR(INDEX(Mapping!$H$3:$H$32,MATCH($B3267,Mapping!$G$3:$G$32,0)),IF(LEFT($F3267,3)="P2P",IFERROR(INDEX(Mapping!$E$3:$E$6,MATCH($G3267,Mapping!$D$3:$D$6,0)),IFERROR(INDEX(Mapping!$B$3:$B$13,MATCH($J3267,Mapping!$A$3:$A$13,0)),"(unmapped)")),IFERROR(INDEX(Mapping!$B$17:$B$22,MATCH($F3267,Mapping!$A$17:$A$22,0)),$F3267)&amp;" "&amp;IF($G3267="Banking","Banking",IFERROR(INDEX(Mapping!$E$17:$E$28,MATCH($J3267,Mapping!$D$17:$D$28,0)),"(unmapped)")))))</f>
        <v/>
      </c>
    </row>
    <row r="3268" spans="11:11" x14ac:dyDescent="0.3">
      <c r="K3268" t="str">
        <f>IF($D3268="","",IFERROR(INDEX(Mapping!$H$3:$H$32,MATCH($B3268,Mapping!$G$3:$G$32,0)),IF(LEFT($F3268,3)="P2P",IFERROR(INDEX(Mapping!$E$3:$E$6,MATCH($G3268,Mapping!$D$3:$D$6,0)),IFERROR(INDEX(Mapping!$B$3:$B$13,MATCH($J3268,Mapping!$A$3:$A$13,0)),"(unmapped)")),IFERROR(INDEX(Mapping!$B$17:$B$22,MATCH($F3268,Mapping!$A$17:$A$22,0)),$F3268)&amp;" "&amp;IF($G3268="Banking","Banking",IFERROR(INDEX(Mapping!$E$17:$E$28,MATCH($J3268,Mapping!$D$17:$D$28,0)),"(unmapped)")))))</f>
        <v/>
      </c>
    </row>
    <row r="3269" spans="11:11" x14ac:dyDescent="0.3">
      <c r="K3269" t="str">
        <f>IF($D3269="","",IFERROR(INDEX(Mapping!$H$3:$H$32,MATCH($B3269,Mapping!$G$3:$G$32,0)),IF(LEFT($F3269,3)="P2P",IFERROR(INDEX(Mapping!$E$3:$E$6,MATCH($G3269,Mapping!$D$3:$D$6,0)),IFERROR(INDEX(Mapping!$B$3:$B$13,MATCH($J3269,Mapping!$A$3:$A$13,0)),"(unmapped)")),IFERROR(INDEX(Mapping!$B$17:$B$22,MATCH($F3269,Mapping!$A$17:$A$22,0)),$F3269)&amp;" "&amp;IF($G3269="Banking","Banking",IFERROR(INDEX(Mapping!$E$17:$E$28,MATCH($J3269,Mapping!$D$17:$D$28,0)),"(unmapped)")))))</f>
        <v/>
      </c>
    </row>
    <row r="3270" spans="11:11" x14ac:dyDescent="0.3">
      <c r="K3270" t="str">
        <f>IF($D3270="","",IFERROR(INDEX(Mapping!$H$3:$H$32,MATCH($B3270,Mapping!$G$3:$G$32,0)),IF(LEFT($F3270,3)="P2P",IFERROR(INDEX(Mapping!$E$3:$E$6,MATCH($G3270,Mapping!$D$3:$D$6,0)),IFERROR(INDEX(Mapping!$B$3:$B$13,MATCH($J3270,Mapping!$A$3:$A$13,0)),"(unmapped)")),IFERROR(INDEX(Mapping!$B$17:$B$22,MATCH($F3270,Mapping!$A$17:$A$22,0)),$F3270)&amp;" "&amp;IF($G3270="Banking","Banking",IFERROR(INDEX(Mapping!$E$17:$E$28,MATCH($J3270,Mapping!$D$17:$D$28,0)),"(unmapped)")))))</f>
        <v/>
      </c>
    </row>
    <row r="3271" spans="11:11" x14ac:dyDescent="0.3">
      <c r="K3271" t="str">
        <f>IF($D3271="","",IFERROR(INDEX(Mapping!$H$3:$H$32,MATCH($B3271,Mapping!$G$3:$G$32,0)),IF(LEFT($F3271,3)="P2P",IFERROR(INDEX(Mapping!$E$3:$E$6,MATCH($G3271,Mapping!$D$3:$D$6,0)),IFERROR(INDEX(Mapping!$B$3:$B$13,MATCH($J3271,Mapping!$A$3:$A$13,0)),"(unmapped)")),IFERROR(INDEX(Mapping!$B$17:$B$22,MATCH($F3271,Mapping!$A$17:$A$22,0)),$F3271)&amp;" "&amp;IF($G3271="Banking","Banking",IFERROR(INDEX(Mapping!$E$17:$E$28,MATCH($J3271,Mapping!$D$17:$D$28,0)),"(unmapped)")))))</f>
        <v/>
      </c>
    </row>
    <row r="3272" spans="11:11" x14ac:dyDescent="0.3">
      <c r="K3272" t="str">
        <f>IF($D3272="","",IFERROR(INDEX(Mapping!$H$3:$H$32,MATCH($B3272,Mapping!$G$3:$G$32,0)),IF(LEFT($F3272,3)="P2P",IFERROR(INDEX(Mapping!$E$3:$E$6,MATCH($G3272,Mapping!$D$3:$D$6,0)),IFERROR(INDEX(Mapping!$B$3:$B$13,MATCH($J3272,Mapping!$A$3:$A$13,0)),"(unmapped)")),IFERROR(INDEX(Mapping!$B$17:$B$22,MATCH($F3272,Mapping!$A$17:$A$22,0)),$F3272)&amp;" "&amp;IF($G3272="Banking","Banking",IFERROR(INDEX(Mapping!$E$17:$E$28,MATCH($J3272,Mapping!$D$17:$D$28,0)),"(unmapped)")))))</f>
        <v/>
      </c>
    </row>
    <row r="3273" spans="11:11" x14ac:dyDescent="0.3">
      <c r="K3273" t="str">
        <f>IF($D3273="","",IFERROR(INDEX(Mapping!$H$3:$H$32,MATCH($B3273,Mapping!$G$3:$G$32,0)),IF(LEFT($F3273,3)="P2P",IFERROR(INDEX(Mapping!$E$3:$E$6,MATCH($G3273,Mapping!$D$3:$D$6,0)),IFERROR(INDEX(Mapping!$B$3:$B$13,MATCH($J3273,Mapping!$A$3:$A$13,0)),"(unmapped)")),IFERROR(INDEX(Mapping!$B$17:$B$22,MATCH($F3273,Mapping!$A$17:$A$22,0)),$F3273)&amp;" "&amp;IF($G3273="Banking","Banking",IFERROR(INDEX(Mapping!$E$17:$E$28,MATCH($J3273,Mapping!$D$17:$D$28,0)),"(unmapped)")))))</f>
        <v/>
      </c>
    </row>
    <row r="3274" spans="11:11" x14ac:dyDescent="0.3">
      <c r="K3274" t="str">
        <f>IF($D3274="","",IFERROR(INDEX(Mapping!$H$3:$H$32,MATCH($B3274,Mapping!$G$3:$G$32,0)),IF(LEFT($F3274,3)="P2P",IFERROR(INDEX(Mapping!$E$3:$E$6,MATCH($G3274,Mapping!$D$3:$D$6,0)),IFERROR(INDEX(Mapping!$B$3:$B$13,MATCH($J3274,Mapping!$A$3:$A$13,0)),"(unmapped)")),IFERROR(INDEX(Mapping!$B$17:$B$22,MATCH($F3274,Mapping!$A$17:$A$22,0)),$F3274)&amp;" "&amp;IF($G3274="Banking","Banking",IFERROR(INDEX(Mapping!$E$17:$E$28,MATCH($J3274,Mapping!$D$17:$D$28,0)),"(unmapped)")))))</f>
        <v/>
      </c>
    </row>
    <row r="3275" spans="11:11" x14ac:dyDescent="0.3">
      <c r="K3275" t="str">
        <f>IF($D3275="","",IFERROR(INDEX(Mapping!$H$3:$H$32,MATCH($B3275,Mapping!$G$3:$G$32,0)),IF(LEFT($F3275,3)="P2P",IFERROR(INDEX(Mapping!$E$3:$E$6,MATCH($G3275,Mapping!$D$3:$D$6,0)),IFERROR(INDEX(Mapping!$B$3:$B$13,MATCH($J3275,Mapping!$A$3:$A$13,0)),"(unmapped)")),IFERROR(INDEX(Mapping!$B$17:$B$22,MATCH($F3275,Mapping!$A$17:$A$22,0)),$F3275)&amp;" "&amp;IF($G3275="Banking","Banking",IFERROR(INDEX(Mapping!$E$17:$E$28,MATCH($J3275,Mapping!$D$17:$D$28,0)),"(unmapped)")))))</f>
        <v/>
      </c>
    </row>
    <row r="3276" spans="11:11" x14ac:dyDescent="0.3">
      <c r="K3276" t="str">
        <f>IF($D3276="","",IFERROR(INDEX(Mapping!$H$3:$H$32,MATCH($B3276,Mapping!$G$3:$G$32,0)),IF(LEFT($F3276,3)="P2P",IFERROR(INDEX(Mapping!$E$3:$E$6,MATCH($G3276,Mapping!$D$3:$D$6,0)),IFERROR(INDEX(Mapping!$B$3:$B$13,MATCH($J3276,Mapping!$A$3:$A$13,0)),"(unmapped)")),IFERROR(INDEX(Mapping!$B$17:$B$22,MATCH($F3276,Mapping!$A$17:$A$22,0)),$F3276)&amp;" "&amp;IF($G3276="Banking","Banking",IFERROR(INDEX(Mapping!$E$17:$E$28,MATCH($J3276,Mapping!$D$17:$D$28,0)),"(unmapped)")))))</f>
        <v/>
      </c>
    </row>
    <row r="3277" spans="11:11" x14ac:dyDescent="0.3">
      <c r="K3277" t="str">
        <f>IF($D3277="","",IFERROR(INDEX(Mapping!$H$3:$H$32,MATCH($B3277,Mapping!$G$3:$G$32,0)),IF(LEFT($F3277,3)="P2P",IFERROR(INDEX(Mapping!$E$3:$E$6,MATCH($G3277,Mapping!$D$3:$D$6,0)),IFERROR(INDEX(Mapping!$B$3:$B$13,MATCH($J3277,Mapping!$A$3:$A$13,0)),"(unmapped)")),IFERROR(INDEX(Mapping!$B$17:$B$22,MATCH($F3277,Mapping!$A$17:$A$22,0)),$F3277)&amp;" "&amp;IF($G3277="Banking","Banking",IFERROR(INDEX(Mapping!$E$17:$E$28,MATCH($J3277,Mapping!$D$17:$D$28,0)),"(unmapped)")))))</f>
        <v/>
      </c>
    </row>
    <row r="3278" spans="11:11" x14ac:dyDescent="0.3">
      <c r="K3278" t="str">
        <f>IF($D3278="","",IFERROR(INDEX(Mapping!$H$3:$H$32,MATCH($B3278,Mapping!$G$3:$G$32,0)),IF(LEFT($F3278,3)="P2P",IFERROR(INDEX(Mapping!$E$3:$E$6,MATCH($G3278,Mapping!$D$3:$D$6,0)),IFERROR(INDEX(Mapping!$B$3:$B$13,MATCH($J3278,Mapping!$A$3:$A$13,0)),"(unmapped)")),IFERROR(INDEX(Mapping!$B$17:$B$22,MATCH($F3278,Mapping!$A$17:$A$22,0)),$F3278)&amp;" "&amp;IF($G3278="Banking","Banking",IFERROR(INDEX(Mapping!$E$17:$E$28,MATCH($J3278,Mapping!$D$17:$D$28,0)),"(unmapped)")))))</f>
        <v/>
      </c>
    </row>
    <row r="3279" spans="11:11" x14ac:dyDescent="0.3">
      <c r="K3279" t="str">
        <f>IF($D3279="","",IFERROR(INDEX(Mapping!$H$3:$H$32,MATCH($B3279,Mapping!$G$3:$G$32,0)),IF(LEFT($F3279,3)="P2P",IFERROR(INDEX(Mapping!$E$3:$E$6,MATCH($G3279,Mapping!$D$3:$D$6,0)),IFERROR(INDEX(Mapping!$B$3:$B$13,MATCH($J3279,Mapping!$A$3:$A$13,0)),"(unmapped)")),IFERROR(INDEX(Mapping!$B$17:$B$22,MATCH($F3279,Mapping!$A$17:$A$22,0)),$F3279)&amp;" "&amp;IF($G3279="Banking","Banking",IFERROR(INDEX(Mapping!$E$17:$E$28,MATCH($J3279,Mapping!$D$17:$D$28,0)),"(unmapped)")))))</f>
        <v/>
      </c>
    </row>
    <row r="3280" spans="11:11" x14ac:dyDescent="0.3">
      <c r="K3280" t="str">
        <f>IF($D3280="","",IFERROR(INDEX(Mapping!$H$3:$H$32,MATCH($B3280,Mapping!$G$3:$G$32,0)),IF(LEFT($F3280,3)="P2P",IFERROR(INDEX(Mapping!$E$3:$E$6,MATCH($G3280,Mapping!$D$3:$D$6,0)),IFERROR(INDEX(Mapping!$B$3:$B$13,MATCH($J3280,Mapping!$A$3:$A$13,0)),"(unmapped)")),IFERROR(INDEX(Mapping!$B$17:$B$22,MATCH($F3280,Mapping!$A$17:$A$22,0)),$F3280)&amp;" "&amp;IF($G3280="Banking","Banking",IFERROR(INDEX(Mapping!$E$17:$E$28,MATCH($J3280,Mapping!$D$17:$D$28,0)),"(unmapped)")))))</f>
        <v/>
      </c>
    </row>
    <row r="3281" spans="11:11" x14ac:dyDescent="0.3">
      <c r="K3281" t="str">
        <f>IF($D3281="","",IFERROR(INDEX(Mapping!$H$3:$H$32,MATCH($B3281,Mapping!$G$3:$G$32,0)),IF(LEFT($F3281,3)="P2P",IFERROR(INDEX(Mapping!$E$3:$E$6,MATCH($G3281,Mapping!$D$3:$D$6,0)),IFERROR(INDEX(Mapping!$B$3:$B$13,MATCH($J3281,Mapping!$A$3:$A$13,0)),"(unmapped)")),IFERROR(INDEX(Mapping!$B$17:$B$22,MATCH($F3281,Mapping!$A$17:$A$22,0)),$F3281)&amp;" "&amp;IF($G3281="Banking","Banking",IFERROR(INDEX(Mapping!$E$17:$E$28,MATCH($J3281,Mapping!$D$17:$D$28,0)),"(unmapped)")))))</f>
        <v/>
      </c>
    </row>
    <row r="3282" spans="11:11" x14ac:dyDescent="0.3">
      <c r="K3282" t="str">
        <f>IF($D3282="","",IFERROR(INDEX(Mapping!$H$3:$H$32,MATCH($B3282,Mapping!$G$3:$G$32,0)),IF(LEFT($F3282,3)="P2P",IFERROR(INDEX(Mapping!$E$3:$E$6,MATCH($G3282,Mapping!$D$3:$D$6,0)),IFERROR(INDEX(Mapping!$B$3:$B$13,MATCH($J3282,Mapping!$A$3:$A$13,0)),"(unmapped)")),IFERROR(INDEX(Mapping!$B$17:$B$22,MATCH($F3282,Mapping!$A$17:$A$22,0)),$F3282)&amp;" "&amp;IF($G3282="Banking","Banking",IFERROR(INDEX(Mapping!$E$17:$E$28,MATCH($J3282,Mapping!$D$17:$D$28,0)),"(unmapped)")))))</f>
        <v/>
      </c>
    </row>
    <row r="3283" spans="11:11" x14ac:dyDescent="0.3">
      <c r="K3283" t="str">
        <f>IF($D3283="","",IFERROR(INDEX(Mapping!$H$3:$H$32,MATCH($B3283,Mapping!$G$3:$G$32,0)),IF(LEFT($F3283,3)="P2P",IFERROR(INDEX(Mapping!$E$3:$E$6,MATCH($G3283,Mapping!$D$3:$D$6,0)),IFERROR(INDEX(Mapping!$B$3:$B$13,MATCH($J3283,Mapping!$A$3:$A$13,0)),"(unmapped)")),IFERROR(INDEX(Mapping!$B$17:$B$22,MATCH($F3283,Mapping!$A$17:$A$22,0)),$F3283)&amp;" "&amp;IF($G3283="Banking","Banking",IFERROR(INDEX(Mapping!$E$17:$E$28,MATCH($J3283,Mapping!$D$17:$D$28,0)),"(unmapped)")))))</f>
        <v/>
      </c>
    </row>
    <row r="3284" spans="11:11" x14ac:dyDescent="0.3">
      <c r="K3284" t="str">
        <f>IF($D3284="","",IFERROR(INDEX(Mapping!$H$3:$H$32,MATCH($B3284,Mapping!$G$3:$G$32,0)),IF(LEFT($F3284,3)="P2P",IFERROR(INDEX(Mapping!$E$3:$E$6,MATCH($G3284,Mapping!$D$3:$D$6,0)),IFERROR(INDEX(Mapping!$B$3:$B$13,MATCH($J3284,Mapping!$A$3:$A$13,0)),"(unmapped)")),IFERROR(INDEX(Mapping!$B$17:$B$22,MATCH($F3284,Mapping!$A$17:$A$22,0)),$F3284)&amp;" "&amp;IF($G3284="Banking","Banking",IFERROR(INDEX(Mapping!$E$17:$E$28,MATCH($J3284,Mapping!$D$17:$D$28,0)),"(unmapped)")))))</f>
        <v/>
      </c>
    </row>
    <row r="3285" spans="11:11" x14ac:dyDescent="0.3">
      <c r="K3285" t="str">
        <f>IF($D3285="","",IFERROR(INDEX(Mapping!$H$3:$H$32,MATCH($B3285,Mapping!$G$3:$G$32,0)),IF(LEFT($F3285,3)="P2P",IFERROR(INDEX(Mapping!$E$3:$E$6,MATCH($G3285,Mapping!$D$3:$D$6,0)),IFERROR(INDEX(Mapping!$B$3:$B$13,MATCH($J3285,Mapping!$A$3:$A$13,0)),"(unmapped)")),IFERROR(INDEX(Mapping!$B$17:$B$22,MATCH($F3285,Mapping!$A$17:$A$22,0)),$F3285)&amp;" "&amp;IF($G3285="Banking","Banking",IFERROR(INDEX(Mapping!$E$17:$E$28,MATCH($J3285,Mapping!$D$17:$D$28,0)),"(unmapped)")))))</f>
        <v/>
      </c>
    </row>
    <row r="3286" spans="11:11" x14ac:dyDescent="0.3">
      <c r="K3286" t="str">
        <f>IF($D3286="","",IFERROR(INDEX(Mapping!$H$3:$H$32,MATCH($B3286,Mapping!$G$3:$G$32,0)),IF(LEFT($F3286,3)="P2P",IFERROR(INDEX(Mapping!$E$3:$E$6,MATCH($G3286,Mapping!$D$3:$D$6,0)),IFERROR(INDEX(Mapping!$B$3:$B$13,MATCH($J3286,Mapping!$A$3:$A$13,0)),"(unmapped)")),IFERROR(INDEX(Mapping!$B$17:$B$22,MATCH($F3286,Mapping!$A$17:$A$22,0)),$F3286)&amp;" "&amp;IF($G3286="Banking","Banking",IFERROR(INDEX(Mapping!$E$17:$E$28,MATCH($J3286,Mapping!$D$17:$D$28,0)),"(unmapped)")))))</f>
        <v/>
      </c>
    </row>
    <row r="3287" spans="11:11" x14ac:dyDescent="0.3">
      <c r="K3287" t="str">
        <f>IF($D3287="","",IFERROR(INDEX(Mapping!$H$3:$H$32,MATCH($B3287,Mapping!$G$3:$G$32,0)),IF(LEFT($F3287,3)="P2P",IFERROR(INDEX(Mapping!$E$3:$E$6,MATCH($G3287,Mapping!$D$3:$D$6,0)),IFERROR(INDEX(Mapping!$B$3:$B$13,MATCH($J3287,Mapping!$A$3:$A$13,0)),"(unmapped)")),IFERROR(INDEX(Mapping!$B$17:$B$22,MATCH($F3287,Mapping!$A$17:$A$22,0)),$F3287)&amp;" "&amp;IF($G3287="Banking","Banking",IFERROR(INDEX(Mapping!$E$17:$E$28,MATCH($J3287,Mapping!$D$17:$D$28,0)),"(unmapped)")))))</f>
        <v/>
      </c>
    </row>
    <row r="3288" spans="11:11" x14ac:dyDescent="0.3">
      <c r="K3288" t="str">
        <f>IF($D3288="","",IFERROR(INDEX(Mapping!$H$3:$H$32,MATCH($B3288,Mapping!$G$3:$G$32,0)),IF(LEFT($F3288,3)="P2P",IFERROR(INDEX(Mapping!$E$3:$E$6,MATCH($G3288,Mapping!$D$3:$D$6,0)),IFERROR(INDEX(Mapping!$B$3:$B$13,MATCH($J3288,Mapping!$A$3:$A$13,0)),"(unmapped)")),IFERROR(INDEX(Mapping!$B$17:$B$22,MATCH($F3288,Mapping!$A$17:$A$22,0)),$F3288)&amp;" "&amp;IF($G3288="Banking","Banking",IFERROR(INDEX(Mapping!$E$17:$E$28,MATCH($J3288,Mapping!$D$17:$D$28,0)),"(unmapped)")))))</f>
        <v/>
      </c>
    </row>
    <row r="3289" spans="11:11" x14ac:dyDescent="0.3">
      <c r="K3289" t="str">
        <f>IF($D3289="","",IFERROR(INDEX(Mapping!$H$3:$H$32,MATCH($B3289,Mapping!$G$3:$G$32,0)),IF(LEFT($F3289,3)="P2P",IFERROR(INDEX(Mapping!$E$3:$E$6,MATCH($G3289,Mapping!$D$3:$D$6,0)),IFERROR(INDEX(Mapping!$B$3:$B$13,MATCH($J3289,Mapping!$A$3:$A$13,0)),"(unmapped)")),IFERROR(INDEX(Mapping!$B$17:$B$22,MATCH($F3289,Mapping!$A$17:$A$22,0)),$F3289)&amp;" "&amp;IF($G3289="Banking","Banking",IFERROR(INDEX(Mapping!$E$17:$E$28,MATCH($J3289,Mapping!$D$17:$D$28,0)),"(unmapped)")))))</f>
        <v/>
      </c>
    </row>
    <row r="3290" spans="11:11" x14ac:dyDescent="0.3">
      <c r="K3290" t="str">
        <f>IF($D3290="","",IFERROR(INDEX(Mapping!$H$3:$H$32,MATCH($B3290,Mapping!$G$3:$G$32,0)),IF(LEFT($F3290,3)="P2P",IFERROR(INDEX(Mapping!$E$3:$E$6,MATCH($G3290,Mapping!$D$3:$D$6,0)),IFERROR(INDEX(Mapping!$B$3:$B$13,MATCH($J3290,Mapping!$A$3:$A$13,0)),"(unmapped)")),IFERROR(INDEX(Mapping!$B$17:$B$22,MATCH($F3290,Mapping!$A$17:$A$22,0)),$F3290)&amp;" "&amp;IF($G3290="Banking","Banking",IFERROR(INDEX(Mapping!$E$17:$E$28,MATCH($J3290,Mapping!$D$17:$D$28,0)),"(unmapped)")))))</f>
        <v/>
      </c>
    </row>
    <row r="3291" spans="11:11" x14ac:dyDescent="0.3">
      <c r="K3291" t="str">
        <f>IF($D3291="","",IFERROR(INDEX(Mapping!$H$3:$H$32,MATCH($B3291,Mapping!$G$3:$G$32,0)),IF(LEFT($F3291,3)="P2P",IFERROR(INDEX(Mapping!$E$3:$E$6,MATCH($G3291,Mapping!$D$3:$D$6,0)),IFERROR(INDEX(Mapping!$B$3:$B$13,MATCH($J3291,Mapping!$A$3:$A$13,0)),"(unmapped)")),IFERROR(INDEX(Mapping!$B$17:$B$22,MATCH($F3291,Mapping!$A$17:$A$22,0)),$F3291)&amp;" "&amp;IF($G3291="Banking","Banking",IFERROR(INDEX(Mapping!$E$17:$E$28,MATCH($J3291,Mapping!$D$17:$D$28,0)),"(unmapped)")))))</f>
        <v/>
      </c>
    </row>
    <row r="3292" spans="11:11" x14ac:dyDescent="0.3">
      <c r="K3292" t="str">
        <f>IF($D3292="","",IFERROR(INDEX(Mapping!$H$3:$H$32,MATCH($B3292,Mapping!$G$3:$G$32,0)),IF(LEFT($F3292,3)="P2P",IFERROR(INDEX(Mapping!$E$3:$E$6,MATCH($G3292,Mapping!$D$3:$D$6,0)),IFERROR(INDEX(Mapping!$B$3:$B$13,MATCH($J3292,Mapping!$A$3:$A$13,0)),"(unmapped)")),IFERROR(INDEX(Mapping!$B$17:$B$22,MATCH($F3292,Mapping!$A$17:$A$22,0)),$F3292)&amp;" "&amp;IF($G3292="Banking","Banking",IFERROR(INDEX(Mapping!$E$17:$E$28,MATCH($J3292,Mapping!$D$17:$D$28,0)),"(unmapped)")))))</f>
        <v/>
      </c>
    </row>
    <row r="3293" spans="11:11" x14ac:dyDescent="0.3">
      <c r="K3293" t="str">
        <f>IF($D3293="","",IFERROR(INDEX(Mapping!$H$3:$H$32,MATCH($B3293,Mapping!$G$3:$G$32,0)),IF(LEFT($F3293,3)="P2P",IFERROR(INDEX(Mapping!$E$3:$E$6,MATCH($G3293,Mapping!$D$3:$D$6,0)),IFERROR(INDEX(Mapping!$B$3:$B$13,MATCH($J3293,Mapping!$A$3:$A$13,0)),"(unmapped)")),IFERROR(INDEX(Mapping!$B$17:$B$22,MATCH($F3293,Mapping!$A$17:$A$22,0)),$F3293)&amp;" "&amp;IF($G3293="Banking","Banking",IFERROR(INDEX(Mapping!$E$17:$E$28,MATCH($J3293,Mapping!$D$17:$D$28,0)),"(unmapped)")))))</f>
        <v/>
      </c>
    </row>
    <row r="3294" spans="11:11" x14ac:dyDescent="0.3">
      <c r="K3294" t="str">
        <f>IF($D3294="","",IFERROR(INDEX(Mapping!$H$3:$H$32,MATCH($B3294,Mapping!$G$3:$G$32,0)),IF(LEFT($F3294,3)="P2P",IFERROR(INDEX(Mapping!$E$3:$E$6,MATCH($G3294,Mapping!$D$3:$D$6,0)),IFERROR(INDEX(Mapping!$B$3:$B$13,MATCH($J3294,Mapping!$A$3:$A$13,0)),"(unmapped)")),IFERROR(INDEX(Mapping!$B$17:$B$22,MATCH($F3294,Mapping!$A$17:$A$22,0)),$F3294)&amp;" "&amp;IF($G3294="Banking","Banking",IFERROR(INDEX(Mapping!$E$17:$E$28,MATCH($J3294,Mapping!$D$17:$D$28,0)),"(unmapped)")))))</f>
        <v/>
      </c>
    </row>
    <row r="3295" spans="11:11" x14ac:dyDescent="0.3">
      <c r="K3295" t="str">
        <f>IF($D3295="","",IFERROR(INDEX(Mapping!$H$3:$H$32,MATCH($B3295,Mapping!$G$3:$G$32,0)),IF(LEFT($F3295,3)="P2P",IFERROR(INDEX(Mapping!$E$3:$E$6,MATCH($G3295,Mapping!$D$3:$D$6,0)),IFERROR(INDEX(Mapping!$B$3:$B$13,MATCH($J3295,Mapping!$A$3:$A$13,0)),"(unmapped)")),IFERROR(INDEX(Mapping!$B$17:$B$22,MATCH($F3295,Mapping!$A$17:$A$22,0)),$F3295)&amp;" "&amp;IF($G3295="Banking","Banking",IFERROR(INDEX(Mapping!$E$17:$E$28,MATCH($J3295,Mapping!$D$17:$D$28,0)),"(unmapped)")))))</f>
        <v/>
      </c>
    </row>
    <row r="3296" spans="11:11" x14ac:dyDescent="0.3">
      <c r="K3296" t="str">
        <f>IF($D3296="","",IFERROR(INDEX(Mapping!$H$3:$H$32,MATCH($B3296,Mapping!$G$3:$G$32,0)),IF(LEFT($F3296,3)="P2P",IFERROR(INDEX(Mapping!$E$3:$E$6,MATCH($G3296,Mapping!$D$3:$D$6,0)),IFERROR(INDEX(Mapping!$B$3:$B$13,MATCH($J3296,Mapping!$A$3:$A$13,0)),"(unmapped)")),IFERROR(INDEX(Mapping!$B$17:$B$22,MATCH($F3296,Mapping!$A$17:$A$22,0)),$F3296)&amp;" "&amp;IF($G3296="Banking","Banking",IFERROR(INDEX(Mapping!$E$17:$E$28,MATCH($J3296,Mapping!$D$17:$D$28,0)),"(unmapped)")))))</f>
        <v/>
      </c>
    </row>
    <row r="3297" spans="11:11" x14ac:dyDescent="0.3">
      <c r="K3297" t="str">
        <f>IF($D3297="","",IFERROR(INDEX(Mapping!$H$3:$H$32,MATCH($B3297,Mapping!$G$3:$G$32,0)),IF(LEFT($F3297,3)="P2P",IFERROR(INDEX(Mapping!$E$3:$E$6,MATCH($G3297,Mapping!$D$3:$D$6,0)),IFERROR(INDEX(Mapping!$B$3:$B$13,MATCH($J3297,Mapping!$A$3:$A$13,0)),"(unmapped)")),IFERROR(INDEX(Mapping!$B$17:$B$22,MATCH($F3297,Mapping!$A$17:$A$22,0)),$F3297)&amp;" "&amp;IF($G3297="Banking","Banking",IFERROR(INDEX(Mapping!$E$17:$E$28,MATCH($J3297,Mapping!$D$17:$D$28,0)),"(unmapped)")))))</f>
        <v/>
      </c>
    </row>
    <row r="3298" spans="11:11" x14ac:dyDescent="0.3">
      <c r="K3298" t="str">
        <f>IF($D3298="","",IFERROR(INDEX(Mapping!$H$3:$H$32,MATCH($B3298,Mapping!$G$3:$G$32,0)),IF(LEFT($F3298,3)="P2P",IFERROR(INDEX(Mapping!$E$3:$E$6,MATCH($G3298,Mapping!$D$3:$D$6,0)),IFERROR(INDEX(Mapping!$B$3:$B$13,MATCH($J3298,Mapping!$A$3:$A$13,0)),"(unmapped)")),IFERROR(INDEX(Mapping!$B$17:$B$22,MATCH($F3298,Mapping!$A$17:$A$22,0)),$F3298)&amp;" "&amp;IF($G3298="Banking","Banking",IFERROR(INDEX(Mapping!$E$17:$E$28,MATCH($J3298,Mapping!$D$17:$D$28,0)),"(unmapped)")))))</f>
        <v/>
      </c>
    </row>
    <row r="3299" spans="11:11" x14ac:dyDescent="0.3">
      <c r="K3299" t="str">
        <f>IF($D3299="","",IFERROR(INDEX(Mapping!$H$3:$H$32,MATCH($B3299,Mapping!$G$3:$G$32,0)),IF(LEFT($F3299,3)="P2P",IFERROR(INDEX(Mapping!$E$3:$E$6,MATCH($G3299,Mapping!$D$3:$D$6,0)),IFERROR(INDEX(Mapping!$B$3:$B$13,MATCH($J3299,Mapping!$A$3:$A$13,0)),"(unmapped)")),IFERROR(INDEX(Mapping!$B$17:$B$22,MATCH($F3299,Mapping!$A$17:$A$22,0)),$F3299)&amp;" "&amp;IF($G3299="Banking","Banking",IFERROR(INDEX(Mapping!$E$17:$E$28,MATCH($J3299,Mapping!$D$17:$D$28,0)),"(unmapped)")))))</f>
        <v/>
      </c>
    </row>
    <row r="3300" spans="11:11" x14ac:dyDescent="0.3">
      <c r="K3300" t="str">
        <f>IF($D3300="","",IFERROR(INDEX(Mapping!$H$3:$H$32,MATCH($B3300,Mapping!$G$3:$G$32,0)),IF(LEFT($F3300,3)="P2P",IFERROR(INDEX(Mapping!$E$3:$E$6,MATCH($G3300,Mapping!$D$3:$D$6,0)),IFERROR(INDEX(Mapping!$B$3:$B$13,MATCH($J3300,Mapping!$A$3:$A$13,0)),"(unmapped)")),IFERROR(INDEX(Mapping!$B$17:$B$22,MATCH($F3300,Mapping!$A$17:$A$22,0)),$F3300)&amp;" "&amp;IF($G3300="Banking","Banking",IFERROR(INDEX(Mapping!$E$17:$E$28,MATCH($J3300,Mapping!$D$17:$D$28,0)),"(unmapped)")))))</f>
        <v/>
      </c>
    </row>
    <row r="3301" spans="11:11" x14ac:dyDescent="0.3">
      <c r="K3301" t="str">
        <f>IF($D3301="","",IFERROR(INDEX(Mapping!$H$3:$H$32,MATCH($B3301,Mapping!$G$3:$G$32,0)),IF(LEFT($F3301,3)="P2P",IFERROR(INDEX(Mapping!$E$3:$E$6,MATCH($G3301,Mapping!$D$3:$D$6,0)),IFERROR(INDEX(Mapping!$B$3:$B$13,MATCH($J3301,Mapping!$A$3:$A$13,0)),"(unmapped)")),IFERROR(INDEX(Mapping!$B$17:$B$22,MATCH($F3301,Mapping!$A$17:$A$22,0)),$F3301)&amp;" "&amp;IF($G3301="Banking","Banking",IFERROR(INDEX(Mapping!$E$17:$E$28,MATCH($J3301,Mapping!$D$17:$D$28,0)),"(unmapped)")))))</f>
        <v/>
      </c>
    </row>
    <row r="3302" spans="11:11" x14ac:dyDescent="0.3">
      <c r="K3302" t="str">
        <f>IF($D3302="","",IFERROR(INDEX(Mapping!$H$3:$H$32,MATCH($B3302,Mapping!$G$3:$G$32,0)),IF(LEFT($F3302,3)="P2P",IFERROR(INDEX(Mapping!$E$3:$E$6,MATCH($G3302,Mapping!$D$3:$D$6,0)),IFERROR(INDEX(Mapping!$B$3:$B$13,MATCH($J3302,Mapping!$A$3:$A$13,0)),"(unmapped)")),IFERROR(INDEX(Mapping!$B$17:$B$22,MATCH($F3302,Mapping!$A$17:$A$22,0)),$F3302)&amp;" "&amp;IF($G3302="Banking","Banking",IFERROR(INDEX(Mapping!$E$17:$E$28,MATCH($J3302,Mapping!$D$17:$D$28,0)),"(unmapped)")))))</f>
        <v/>
      </c>
    </row>
    <row r="3303" spans="11:11" x14ac:dyDescent="0.3">
      <c r="K3303" t="str">
        <f>IF($D3303="","",IFERROR(INDEX(Mapping!$H$3:$H$32,MATCH($B3303,Mapping!$G$3:$G$32,0)),IF(LEFT($F3303,3)="P2P",IFERROR(INDEX(Mapping!$E$3:$E$6,MATCH($G3303,Mapping!$D$3:$D$6,0)),IFERROR(INDEX(Mapping!$B$3:$B$13,MATCH($J3303,Mapping!$A$3:$A$13,0)),"(unmapped)")),IFERROR(INDEX(Mapping!$B$17:$B$22,MATCH($F3303,Mapping!$A$17:$A$22,0)),$F3303)&amp;" "&amp;IF($G3303="Banking","Banking",IFERROR(INDEX(Mapping!$E$17:$E$28,MATCH($J3303,Mapping!$D$17:$D$28,0)),"(unmapped)")))))</f>
        <v/>
      </c>
    </row>
    <row r="3304" spans="11:11" x14ac:dyDescent="0.3">
      <c r="K3304" t="str">
        <f>IF($D3304="","",IFERROR(INDEX(Mapping!$H$3:$H$32,MATCH($B3304,Mapping!$G$3:$G$32,0)),IF(LEFT($F3304,3)="P2P",IFERROR(INDEX(Mapping!$E$3:$E$6,MATCH($G3304,Mapping!$D$3:$D$6,0)),IFERROR(INDEX(Mapping!$B$3:$B$13,MATCH($J3304,Mapping!$A$3:$A$13,0)),"(unmapped)")),IFERROR(INDEX(Mapping!$B$17:$B$22,MATCH($F3304,Mapping!$A$17:$A$22,0)),$F3304)&amp;" "&amp;IF($G3304="Banking","Banking",IFERROR(INDEX(Mapping!$E$17:$E$28,MATCH($J3304,Mapping!$D$17:$D$28,0)),"(unmapped)")))))</f>
        <v/>
      </c>
    </row>
    <row r="3305" spans="11:11" x14ac:dyDescent="0.3">
      <c r="K3305" t="str">
        <f>IF($D3305="","",IFERROR(INDEX(Mapping!$H$3:$H$32,MATCH($B3305,Mapping!$G$3:$G$32,0)),IF(LEFT($F3305,3)="P2P",IFERROR(INDEX(Mapping!$E$3:$E$6,MATCH($G3305,Mapping!$D$3:$D$6,0)),IFERROR(INDEX(Mapping!$B$3:$B$13,MATCH($J3305,Mapping!$A$3:$A$13,0)),"(unmapped)")),IFERROR(INDEX(Mapping!$B$17:$B$22,MATCH($F3305,Mapping!$A$17:$A$22,0)),$F3305)&amp;" "&amp;IF($G3305="Banking","Banking",IFERROR(INDEX(Mapping!$E$17:$E$28,MATCH($J3305,Mapping!$D$17:$D$28,0)),"(unmapped)")))))</f>
        <v/>
      </c>
    </row>
    <row r="3306" spans="11:11" x14ac:dyDescent="0.3">
      <c r="K3306" t="str">
        <f>IF($D3306="","",IFERROR(INDEX(Mapping!$H$3:$H$32,MATCH($B3306,Mapping!$G$3:$G$32,0)),IF(LEFT($F3306,3)="P2P",IFERROR(INDEX(Mapping!$E$3:$E$6,MATCH($G3306,Mapping!$D$3:$D$6,0)),IFERROR(INDEX(Mapping!$B$3:$B$13,MATCH($J3306,Mapping!$A$3:$A$13,0)),"(unmapped)")),IFERROR(INDEX(Mapping!$B$17:$B$22,MATCH($F3306,Mapping!$A$17:$A$22,0)),$F3306)&amp;" "&amp;IF($G3306="Banking","Banking",IFERROR(INDEX(Mapping!$E$17:$E$28,MATCH($J3306,Mapping!$D$17:$D$28,0)),"(unmapped)")))))</f>
        <v/>
      </c>
    </row>
    <row r="3307" spans="11:11" x14ac:dyDescent="0.3">
      <c r="K3307" t="str">
        <f>IF($D3307="","",IFERROR(INDEX(Mapping!$H$3:$H$32,MATCH($B3307,Mapping!$G$3:$G$32,0)),IF(LEFT($F3307,3)="P2P",IFERROR(INDEX(Mapping!$E$3:$E$6,MATCH($G3307,Mapping!$D$3:$D$6,0)),IFERROR(INDEX(Mapping!$B$3:$B$13,MATCH($J3307,Mapping!$A$3:$A$13,0)),"(unmapped)")),IFERROR(INDEX(Mapping!$B$17:$B$22,MATCH($F3307,Mapping!$A$17:$A$22,0)),$F3307)&amp;" "&amp;IF($G3307="Banking","Banking",IFERROR(INDEX(Mapping!$E$17:$E$28,MATCH($J3307,Mapping!$D$17:$D$28,0)),"(unmapped)")))))</f>
        <v/>
      </c>
    </row>
    <row r="3308" spans="11:11" x14ac:dyDescent="0.3">
      <c r="K3308" t="str">
        <f>IF($D3308="","",IFERROR(INDEX(Mapping!$H$3:$H$32,MATCH($B3308,Mapping!$G$3:$G$32,0)),IF(LEFT($F3308,3)="P2P",IFERROR(INDEX(Mapping!$E$3:$E$6,MATCH($G3308,Mapping!$D$3:$D$6,0)),IFERROR(INDEX(Mapping!$B$3:$B$13,MATCH($J3308,Mapping!$A$3:$A$13,0)),"(unmapped)")),IFERROR(INDEX(Mapping!$B$17:$B$22,MATCH($F3308,Mapping!$A$17:$A$22,0)),$F3308)&amp;" "&amp;IF($G3308="Banking","Banking",IFERROR(INDEX(Mapping!$E$17:$E$28,MATCH($J3308,Mapping!$D$17:$D$28,0)),"(unmapped)")))))</f>
        <v/>
      </c>
    </row>
    <row r="3309" spans="11:11" x14ac:dyDescent="0.3">
      <c r="K3309" t="str">
        <f>IF($D3309="","",IFERROR(INDEX(Mapping!$H$3:$H$32,MATCH($B3309,Mapping!$G$3:$G$32,0)),IF(LEFT($F3309,3)="P2P",IFERROR(INDEX(Mapping!$E$3:$E$6,MATCH($G3309,Mapping!$D$3:$D$6,0)),IFERROR(INDEX(Mapping!$B$3:$B$13,MATCH($J3309,Mapping!$A$3:$A$13,0)),"(unmapped)")),IFERROR(INDEX(Mapping!$B$17:$B$22,MATCH($F3309,Mapping!$A$17:$A$22,0)),$F3309)&amp;" "&amp;IF($G3309="Banking","Banking",IFERROR(INDEX(Mapping!$E$17:$E$28,MATCH($J3309,Mapping!$D$17:$D$28,0)),"(unmapped)")))))</f>
        <v/>
      </c>
    </row>
    <row r="3310" spans="11:11" x14ac:dyDescent="0.3">
      <c r="K3310" t="str">
        <f>IF($D3310="","",IFERROR(INDEX(Mapping!$H$3:$H$32,MATCH($B3310,Mapping!$G$3:$G$32,0)),IF(LEFT($F3310,3)="P2P",IFERROR(INDEX(Mapping!$E$3:$E$6,MATCH($G3310,Mapping!$D$3:$D$6,0)),IFERROR(INDEX(Mapping!$B$3:$B$13,MATCH($J3310,Mapping!$A$3:$A$13,0)),"(unmapped)")),IFERROR(INDEX(Mapping!$B$17:$B$22,MATCH($F3310,Mapping!$A$17:$A$22,0)),$F3310)&amp;" "&amp;IF($G3310="Banking","Banking",IFERROR(INDEX(Mapping!$E$17:$E$28,MATCH($J3310,Mapping!$D$17:$D$28,0)),"(unmapped)")))))</f>
        <v/>
      </c>
    </row>
    <row r="3311" spans="11:11" x14ac:dyDescent="0.3">
      <c r="K3311" t="str">
        <f>IF($D3311="","",IFERROR(INDEX(Mapping!$H$3:$H$32,MATCH($B3311,Mapping!$G$3:$G$32,0)),IF(LEFT($F3311,3)="P2P",IFERROR(INDEX(Mapping!$E$3:$E$6,MATCH($G3311,Mapping!$D$3:$D$6,0)),IFERROR(INDEX(Mapping!$B$3:$B$13,MATCH($J3311,Mapping!$A$3:$A$13,0)),"(unmapped)")),IFERROR(INDEX(Mapping!$B$17:$B$22,MATCH($F3311,Mapping!$A$17:$A$22,0)),$F3311)&amp;" "&amp;IF($G3311="Banking","Banking",IFERROR(INDEX(Mapping!$E$17:$E$28,MATCH($J3311,Mapping!$D$17:$D$28,0)),"(unmapped)")))))</f>
        <v/>
      </c>
    </row>
    <row r="3312" spans="11:11" x14ac:dyDescent="0.3">
      <c r="K3312" t="str">
        <f>IF($D3312="","",IFERROR(INDEX(Mapping!$H$3:$H$32,MATCH($B3312,Mapping!$G$3:$G$32,0)),IF(LEFT($F3312,3)="P2P",IFERROR(INDEX(Mapping!$E$3:$E$6,MATCH($G3312,Mapping!$D$3:$D$6,0)),IFERROR(INDEX(Mapping!$B$3:$B$13,MATCH($J3312,Mapping!$A$3:$A$13,0)),"(unmapped)")),IFERROR(INDEX(Mapping!$B$17:$B$22,MATCH($F3312,Mapping!$A$17:$A$22,0)),$F3312)&amp;" "&amp;IF($G3312="Banking","Banking",IFERROR(INDEX(Mapping!$E$17:$E$28,MATCH($J3312,Mapping!$D$17:$D$28,0)),"(unmapped)")))))</f>
        <v/>
      </c>
    </row>
    <row r="3313" spans="11:11" x14ac:dyDescent="0.3">
      <c r="K3313" t="str">
        <f>IF($D3313="","",IFERROR(INDEX(Mapping!$H$3:$H$32,MATCH($B3313,Mapping!$G$3:$G$32,0)),IF(LEFT($F3313,3)="P2P",IFERROR(INDEX(Mapping!$E$3:$E$6,MATCH($G3313,Mapping!$D$3:$D$6,0)),IFERROR(INDEX(Mapping!$B$3:$B$13,MATCH($J3313,Mapping!$A$3:$A$13,0)),"(unmapped)")),IFERROR(INDEX(Mapping!$B$17:$B$22,MATCH($F3313,Mapping!$A$17:$A$22,0)),$F3313)&amp;" "&amp;IF($G3313="Banking","Banking",IFERROR(INDEX(Mapping!$E$17:$E$28,MATCH($J3313,Mapping!$D$17:$D$28,0)),"(unmapped)")))))</f>
        <v/>
      </c>
    </row>
    <row r="3314" spans="11:11" x14ac:dyDescent="0.3">
      <c r="K3314" t="str">
        <f>IF($D3314="","",IFERROR(INDEX(Mapping!$H$3:$H$32,MATCH($B3314,Mapping!$G$3:$G$32,0)),IF(LEFT($F3314,3)="P2P",IFERROR(INDEX(Mapping!$E$3:$E$6,MATCH($G3314,Mapping!$D$3:$D$6,0)),IFERROR(INDEX(Mapping!$B$3:$B$13,MATCH($J3314,Mapping!$A$3:$A$13,0)),"(unmapped)")),IFERROR(INDEX(Mapping!$B$17:$B$22,MATCH($F3314,Mapping!$A$17:$A$22,0)),$F3314)&amp;" "&amp;IF($G3314="Banking","Banking",IFERROR(INDEX(Mapping!$E$17:$E$28,MATCH($J3314,Mapping!$D$17:$D$28,0)),"(unmapped)")))))</f>
        <v/>
      </c>
    </row>
    <row r="3315" spans="11:11" x14ac:dyDescent="0.3">
      <c r="K3315" t="str">
        <f>IF($D3315="","",IFERROR(INDEX(Mapping!$H$3:$H$32,MATCH($B3315,Mapping!$G$3:$G$32,0)),IF(LEFT($F3315,3)="P2P",IFERROR(INDEX(Mapping!$E$3:$E$6,MATCH($G3315,Mapping!$D$3:$D$6,0)),IFERROR(INDEX(Mapping!$B$3:$B$13,MATCH($J3315,Mapping!$A$3:$A$13,0)),"(unmapped)")),IFERROR(INDEX(Mapping!$B$17:$B$22,MATCH($F3315,Mapping!$A$17:$A$22,0)),$F3315)&amp;" "&amp;IF($G3315="Banking","Banking",IFERROR(INDEX(Mapping!$E$17:$E$28,MATCH($J3315,Mapping!$D$17:$D$28,0)),"(unmapped)")))))</f>
        <v/>
      </c>
    </row>
    <row r="3316" spans="11:11" x14ac:dyDescent="0.3">
      <c r="K3316" t="str">
        <f>IF($D3316="","",IFERROR(INDEX(Mapping!$H$3:$H$32,MATCH($B3316,Mapping!$G$3:$G$32,0)),IF(LEFT($F3316,3)="P2P",IFERROR(INDEX(Mapping!$E$3:$E$6,MATCH($G3316,Mapping!$D$3:$D$6,0)),IFERROR(INDEX(Mapping!$B$3:$B$13,MATCH($J3316,Mapping!$A$3:$A$13,0)),"(unmapped)")),IFERROR(INDEX(Mapping!$B$17:$B$22,MATCH($F3316,Mapping!$A$17:$A$22,0)),$F3316)&amp;" "&amp;IF($G3316="Banking","Banking",IFERROR(INDEX(Mapping!$E$17:$E$28,MATCH($J3316,Mapping!$D$17:$D$28,0)),"(unmapped)")))))</f>
        <v/>
      </c>
    </row>
    <row r="3317" spans="11:11" x14ac:dyDescent="0.3">
      <c r="K3317" t="str">
        <f>IF($D3317="","",IFERROR(INDEX(Mapping!$H$3:$H$32,MATCH($B3317,Mapping!$G$3:$G$32,0)),IF(LEFT($F3317,3)="P2P",IFERROR(INDEX(Mapping!$E$3:$E$6,MATCH($G3317,Mapping!$D$3:$D$6,0)),IFERROR(INDEX(Mapping!$B$3:$B$13,MATCH($J3317,Mapping!$A$3:$A$13,0)),"(unmapped)")),IFERROR(INDEX(Mapping!$B$17:$B$22,MATCH($F3317,Mapping!$A$17:$A$22,0)),$F3317)&amp;" "&amp;IF($G3317="Banking","Banking",IFERROR(INDEX(Mapping!$E$17:$E$28,MATCH($J3317,Mapping!$D$17:$D$28,0)),"(unmapped)")))))</f>
        <v/>
      </c>
    </row>
    <row r="3318" spans="11:11" x14ac:dyDescent="0.3">
      <c r="K3318" t="str">
        <f>IF($D3318="","",IFERROR(INDEX(Mapping!$H$3:$H$32,MATCH($B3318,Mapping!$G$3:$G$32,0)),IF(LEFT($F3318,3)="P2P",IFERROR(INDEX(Mapping!$E$3:$E$6,MATCH($G3318,Mapping!$D$3:$D$6,0)),IFERROR(INDEX(Mapping!$B$3:$B$13,MATCH($J3318,Mapping!$A$3:$A$13,0)),"(unmapped)")),IFERROR(INDEX(Mapping!$B$17:$B$22,MATCH($F3318,Mapping!$A$17:$A$22,0)),$F3318)&amp;" "&amp;IF($G3318="Banking","Banking",IFERROR(INDEX(Mapping!$E$17:$E$28,MATCH($J3318,Mapping!$D$17:$D$28,0)),"(unmapped)")))))</f>
        <v/>
      </c>
    </row>
    <row r="3319" spans="11:11" x14ac:dyDescent="0.3">
      <c r="K3319" t="str">
        <f>IF($D3319="","",IFERROR(INDEX(Mapping!$H$3:$H$32,MATCH($B3319,Mapping!$G$3:$G$32,0)),IF(LEFT($F3319,3)="P2P",IFERROR(INDEX(Mapping!$E$3:$E$6,MATCH($G3319,Mapping!$D$3:$D$6,0)),IFERROR(INDEX(Mapping!$B$3:$B$13,MATCH($J3319,Mapping!$A$3:$A$13,0)),"(unmapped)")),IFERROR(INDEX(Mapping!$B$17:$B$22,MATCH($F3319,Mapping!$A$17:$A$22,0)),$F3319)&amp;" "&amp;IF($G3319="Banking","Banking",IFERROR(INDEX(Mapping!$E$17:$E$28,MATCH($J3319,Mapping!$D$17:$D$28,0)),"(unmapped)")))))</f>
        <v/>
      </c>
    </row>
    <row r="3320" spans="11:11" x14ac:dyDescent="0.3">
      <c r="K3320" t="str">
        <f>IF($D3320="","",IFERROR(INDEX(Mapping!$H$3:$H$32,MATCH($B3320,Mapping!$G$3:$G$32,0)),IF(LEFT($F3320,3)="P2P",IFERROR(INDEX(Mapping!$E$3:$E$6,MATCH($G3320,Mapping!$D$3:$D$6,0)),IFERROR(INDEX(Mapping!$B$3:$B$13,MATCH($J3320,Mapping!$A$3:$A$13,0)),"(unmapped)")),IFERROR(INDEX(Mapping!$B$17:$B$22,MATCH($F3320,Mapping!$A$17:$A$22,0)),$F3320)&amp;" "&amp;IF($G3320="Banking","Banking",IFERROR(INDEX(Mapping!$E$17:$E$28,MATCH($J3320,Mapping!$D$17:$D$28,0)),"(unmapped)")))))</f>
        <v/>
      </c>
    </row>
    <row r="3321" spans="11:11" x14ac:dyDescent="0.3">
      <c r="K3321" t="str">
        <f>IF($D3321="","",IFERROR(INDEX(Mapping!$H$3:$H$32,MATCH($B3321,Mapping!$G$3:$G$32,0)),IF(LEFT($F3321,3)="P2P",IFERROR(INDEX(Mapping!$E$3:$E$6,MATCH($G3321,Mapping!$D$3:$D$6,0)),IFERROR(INDEX(Mapping!$B$3:$B$13,MATCH($J3321,Mapping!$A$3:$A$13,0)),"(unmapped)")),IFERROR(INDEX(Mapping!$B$17:$B$22,MATCH($F3321,Mapping!$A$17:$A$22,0)),$F3321)&amp;" "&amp;IF($G3321="Banking","Banking",IFERROR(INDEX(Mapping!$E$17:$E$28,MATCH($J3321,Mapping!$D$17:$D$28,0)),"(unmapped)")))))</f>
        <v/>
      </c>
    </row>
    <row r="3322" spans="11:11" x14ac:dyDescent="0.3">
      <c r="K3322" t="str">
        <f>IF($D3322="","",IFERROR(INDEX(Mapping!$H$3:$H$32,MATCH($B3322,Mapping!$G$3:$G$32,0)),IF(LEFT($F3322,3)="P2P",IFERROR(INDEX(Mapping!$E$3:$E$6,MATCH($G3322,Mapping!$D$3:$D$6,0)),IFERROR(INDEX(Mapping!$B$3:$B$13,MATCH($J3322,Mapping!$A$3:$A$13,0)),"(unmapped)")),IFERROR(INDEX(Mapping!$B$17:$B$22,MATCH($F3322,Mapping!$A$17:$A$22,0)),$F3322)&amp;" "&amp;IF($G3322="Banking","Banking",IFERROR(INDEX(Mapping!$E$17:$E$28,MATCH($J3322,Mapping!$D$17:$D$28,0)),"(unmapped)")))))</f>
        <v/>
      </c>
    </row>
    <row r="3323" spans="11:11" x14ac:dyDescent="0.3">
      <c r="K3323" t="str">
        <f>IF($D3323="","",IFERROR(INDEX(Mapping!$H$3:$H$32,MATCH($B3323,Mapping!$G$3:$G$32,0)),IF(LEFT($F3323,3)="P2P",IFERROR(INDEX(Mapping!$E$3:$E$6,MATCH($G3323,Mapping!$D$3:$D$6,0)),IFERROR(INDEX(Mapping!$B$3:$B$13,MATCH($J3323,Mapping!$A$3:$A$13,0)),"(unmapped)")),IFERROR(INDEX(Mapping!$B$17:$B$22,MATCH($F3323,Mapping!$A$17:$A$22,0)),$F3323)&amp;" "&amp;IF($G3323="Banking","Banking",IFERROR(INDEX(Mapping!$E$17:$E$28,MATCH($J3323,Mapping!$D$17:$D$28,0)),"(unmapped)")))))</f>
        <v/>
      </c>
    </row>
    <row r="3324" spans="11:11" x14ac:dyDescent="0.3">
      <c r="K3324" t="str">
        <f>IF($D3324="","",IFERROR(INDEX(Mapping!$H$3:$H$32,MATCH($B3324,Mapping!$G$3:$G$32,0)),IF(LEFT($F3324,3)="P2P",IFERROR(INDEX(Mapping!$E$3:$E$6,MATCH($G3324,Mapping!$D$3:$D$6,0)),IFERROR(INDEX(Mapping!$B$3:$B$13,MATCH($J3324,Mapping!$A$3:$A$13,0)),"(unmapped)")),IFERROR(INDEX(Mapping!$B$17:$B$22,MATCH($F3324,Mapping!$A$17:$A$22,0)),$F3324)&amp;" "&amp;IF($G3324="Banking","Banking",IFERROR(INDEX(Mapping!$E$17:$E$28,MATCH($J3324,Mapping!$D$17:$D$28,0)),"(unmapped)")))))</f>
        <v/>
      </c>
    </row>
    <row r="3325" spans="11:11" x14ac:dyDescent="0.3">
      <c r="K3325" t="str">
        <f>IF($D3325="","",IFERROR(INDEX(Mapping!$H$3:$H$32,MATCH($B3325,Mapping!$G$3:$G$32,0)),IF(LEFT($F3325,3)="P2P",IFERROR(INDEX(Mapping!$E$3:$E$6,MATCH($G3325,Mapping!$D$3:$D$6,0)),IFERROR(INDEX(Mapping!$B$3:$B$13,MATCH($J3325,Mapping!$A$3:$A$13,0)),"(unmapped)")),IFERROR(INDEX(Mapping!$B$17:$B$22,MATCH($F3325,Mapping!$A$17:$A$22,0)),$F3325)&amp;" "&amp;IF($G3325="Banking","Banking",IFERROR(INDEX(Mapping!$E$17:$E$28,MATCH($J3325,Mapping!$D$17:$D$28,0)),"(unmapped)")))))</f>
        <v/>
      </c>
    </row>
    <row r="3326" spans="11:11" x14ac:dyDescent="0.3">
      <c r="K3326" t="str">
        <f>IF($D3326="","",IFERROR(INDEX(Mapping!$H$3:$H$32,MATCH($B3326,Mapping!$G$3:$G$32,0)),IF(LEFT($F3326,3)="P2P",IFERROR(INDEX(Mapping!$E$3:$E$6,MATCH($G3326,Mapping!$D$3:$D$6,0)),IFERROR(INDEX(Mapping!$B$3:$B$13,MATCH($J3326,Mapping!$A$3:$A$13,0)),"(unmapped)")),IFERROR(INDEX(Mapping!$B$17:$B$22,MATCH($F3326,Mapping!$A$17:$A$22,0)),$F3326)&amp;" "&amp;IF($G3326="Banking","Banking",IFERROR(INDEX(Mapping!$E$17:$E$28,MATCH($J3326,Mapping!$D$17:$D$28,0)),"(unmapped)")))))</f>
        <v/>
      </c>
    </row>
    <row r="3327" spans="11:11" x14ac:dyDescent="0.3">
      <c r="K3327" t="str">
        <f>IF($D3327="","",IFERROR(INDEX(Mapping!$H$3:$H$32,MATCH($B3327,Mapping!$G$3:$G$32,0)),IF(LEFT($F3327,3)="P2P",IFERROR(INDEX(Mapping!$E$3:$E$6,MATCH($G3327,Mapping!$D$3:$D$6,0)),IFERROR(INDEX(Mapping!$B$3:$B$13,MATCH($J3327,Mapping!$A$3:$A$13,0)),"(unmapped)")),IFERROR(INDEX(Mapping!$B$17:$B$22,MATCH($F3327,Mapping!$A$17:$A$22,0)),$F3327)&amp;" "&amp;IF($G3327="Banking","Banking",IFERROR(INDEX(Mapping!$E$17:$E$28,MATCH($J3327,Mapping!$D$17:$D$28,0)),"(unmapped)")))))</f>
        <v/>
      </c>
    </row>
    <row r="3328" spans="11:11" x14ac:dyDescent="0.3">
      <c r="K3328" t="str">
        <f>IF($D3328="","",IFERROR(INDEX(Mapping!$H$3:$H$32,MATCH($B3328,Mapping!$G$3:$G$32,0)),IF(LEFT($F3328,3)="P2P",IFERROR(INDEX(Mapping!$E$3:$E$6,MATCH($G3328,Mapping!$D$3:$D$6,0)),IFERROR(INDEX(Mapping!$B$3:$B$13,MATCH($J3328,Mapping!$A$3:$A$13,0)),"(unmapped)")),IFERROR(INDEX(Mapping!$B$17:$B$22,MATCH($F3328,Mapping!$A$17:$A$22,0)),$F3328)&amp;" "&amp;IF($G3328="Banking","Banking",IFERROR(INDEX(Mapping!$E$17:$E$28,MATCH($J3328,Mapping!$D$17:$D$28,0)),"(unmapped)")))))</f>
        <v/>
      </c>
    </row>
    <row r="3329" spans="11:11" x14ac:dyDescent="0.3">
      <c r="K3329" t="str">
        <f>IF($D3329="","",IFERROR(INDEX(Mapping!$H$3:$H$32,MATCH($B3329,Mapping!$G$3:$G$32,0)),IF(LEFT($F3329,3)="P2P",IFERROR(INDEX(Mapping!$E$3:$E$6,MATCH($G3329,Mapping!$D$3:$D$6,0)),IFERROR(INDEX(Mapping!$B$3:$B$13,MATCH($J3329,Mapping!$A$3:$A$13,0)),"(unmapped)")),IFERROR(INDEX(Mapping!$B$17:$B$22,MATCH($F3329,Mapping!$A$17:$A$22,0)),$F3329)&amp;" "&amp;IF($G3329="Banking","Banking",IFERROR(INDEX(Mapping!$E$17:$E$28,MATCH($J3329,Mapping!$D$17:$D$28,0)),"(unmapped)")))))</f>
        <v/>
      </c>
    </row>
    <row r="3330" spans="11:11" x14ac:dyDescent="0.3">
      <c r="K3330" t="str">
        <f>IF($D3330="","",IFERROR(INDEX(Mapping!$H$3:$H$32,MATCH($B3330,Mapping!$G$3:$G$32,0)),IF(LEFT($F3330,3)="P2P",IFERROR(INDEX(Mapping!$E$3:$E$6,MATCH($G3330,Mapping!$D$3:$D$6,0)),IFERROR(INDEX(Mapping!$B$3:$B$13,MATCH($J3330,Mapping!$A$3:$A$13,0)),"(unmapped)")),IFERROR(INDEX(Mapping!$B$17:$B$22,MATCH($F3330,Mapping!$A$17:$A$22,0)),$F3330)&amp;" "&amp;IF($G3330="Banking","Banking",IFERROR(INDEX(Mapping!$E$17:$E$28,MATCH($J3330,Mapping!$D$17:$D$28,0)),"(unmapped)")))))</f>
        <v/>
      </c>
    </row>
    <row r="3331" spans="11:11" x14ac:dyDescent="0.3">
      <c r="K3331" t="str">
        <f>IF($D3331="","",IFERROR(INDEX(Mapping!$H$3:$H$32,MATCH($B3331,Mapping!$G$3:$G$32,0)),IF(LEFT($F3331,3)="P2P",IFERROR(INDEX(Mapping!$E$3:$E$6,MATCH($G3331,Mapping!$D$3:$D$6,0)),IFERROR(INDEX(Mapping!$B$3:$B$13,MATCH($J3331,Mapping!$A$3:$A$13,0)),"(unmapped)")),IFERROR(INDEX(Mapping!$B$17:$B$22,MATCH($F3331,Mapping!$A$17:$A$22,0)),$F3331)&amp;" "&amp;IF($G3331="Banking","Banking",IFERROR(INDEX(Mapping!$E$17:$E$28,MATCH($J3331,Mapping!$D$17:$D$28,0)),"(unmapped)")))))</f>
        <v/>
      </c>
    </row>
    <row r="3332" spans="11:11" x14ac:dyDescent="0.3">
      <c r="K3332" t="str">
        <f>IF($D3332="","",IFERROR(INDEX(Mapping!$H$3:$H$32,MATCH($B3332,Mapping!$G$3:$G$32,0)),IF(LEFT($F3332,3)="P2P",IFERROR(INDEX(Mapping!$E$3:$E$6,MATCH($G3332,Mapping!$D$3:$D$6,0)),IFERROR(INDEX(Mapping!$B$3:$B$13,MATCH($J3332,Mapping!$A$3:$A$13,0)),"(unmapped)")),IFERROR(INDEX(Mapping!$B$17:$B$22,MATCH($F3332,Mapping!$A$17:$A$22,0)),$F3332)&amp;" "&amp;IF($G3332="Banking","Banking",IFERROR(INDEX(Mapping!$E$17:$E$28,MATCH($J3332,Mapping!$D$17:$D$28,0)),"(unmapped)")))))</f>
        <v/>
      </c>
    </row>
    <row r="3333" spans="11:11" x14ac:dyDescent="0.3">
      <c r="K3333" t="str">
        <f>IF($D3333="","",IFERROR(INDEX(Mapping!$H$3:$H$32,MATCH($B3333,Mapping!$G$3:$G$32,0)),IF(LEFT($F3333,3)="P2P",IFERROR(INDEX(Mapping!$E$3:$E$6,MATCH($G3333,Mapping!$D$3:$D$6,0)),IFERROR(INDEX(Mapping!$B$3:$B$13,MATCH($J3333,Mapping!$A$3:$A$13,0)),"(unmapped)")),IFERROR(INDEX(Mapping!$B$17:$B$22,MATCH($F3333,Mapping!$A$17:$A$22,0)),$F3333)&amp;" "&amp;IF($G3333="Banking","Banking",IFERROR(INDEX(Mapping!$E$17:$E$28,MATCH($J3333,Mapping!$D$17:$D$28,0)),"(unmapped)")))))</f>
        <v/>
      </c>
    </row>
    <row r="3334" spans="11:11" x14ac:dyDescent="0.3">
      <c r="K3334" t="str">
        <f>IF($D3334="","",IFERROR(INDEX(Mapping!$H$3:$H$32,MATCH($B3334,Mapping!$G$3:$G$32,0)),IF(LEFT($F3334,3)="P2P",IFERROR(INDEX(Mapping!$E$3:$E$6,MATCH($G3334,Mapping!$D$3:$D$6,0)),IFERROR(INDEX(Mapping!$B$3:$B$13,MATCH($J3334,Mapping!$A$3:$A$13,0)),"(unmapped)")),IFERROR(INDEX(Mapping!$B$17:$B$22,MATCH($F3334,Mapping!$A$17:$A$22,0)),$F3334)&amp;" "&amp;IF($G3334="Banking","Banking",IFERROR(INDEX(Mapping!$E$17:$E$28,MATCH($J3334,Mapping!$D$17:$D$28,0)),"(unmapped)")))))</f>
        <v/>
      </c>
    </row>
    <row r="3335" spans="11:11" x14ac:dyDescent="0.3">
      <c r="K3335" t="str">
        <f>IF($D3335="","",IFERROR(INDEX(Mapping!$H$3:$H$32,MATCH($B3335,Mapping!$G$3:$G$32,0)),IF(LEFT($F3335,3)="P2P",IFERROR(INDEX(Mapping!$E$3:$E$6,MATCH($G3335,Mapping!$D$3:$D$6,0)),IFERROR(INDEX(Mapping!$B$3:$B$13,MATCH($J3335,Mapping!$A$3:$A$13,0)),"(unmapped)")),IFERROR(INDEX(Mapping!$B$17:$B$22,MATCH($F3335,Mapping!$A$17:$A$22,0)),$F3335)&amp;" "&amp;IF($G3335="Banking","Banking",IFERROR(INDEX(Mapping!$E$17:$E$28,MATCH($J3335,Mapping!$D$17:$D$28,0)),"(unmapped)")))))</f>
        <v/>
      </c>
    </row>
    <row r="3336" spans="11:11" x14ac:dyDescent="0.3">
      <c r="K3336" t="str">
        <f>IF($D3336="","",IFERROR(INDEX(Mapping!$H$3:$H$32,MATCH($B3336,Mapping!$G$3:$G$32,0)),IF(LEFT($F3336,3)="P2P",IFERROR(INDEX(Mapping!$E$3:$E$6,MATCH($G3336,Mapping!$D$3:$D$6,0)),IFERROR(INDEX(Mapping!$B$3:$B$13,MATCH($J3336,Mapping!$A$3:$A$13,0)),"(unmapped)")),IFERROR(INDEX(Mapping!$B$17:$B$22,MATCH($F3336,Mapping!$A$17:$A$22,0)),$F3336)&amp;" "&amp;IF($G3336="Banking","Banking",IFERROR(INDEX(Mapping!$E$17:$E$28,MATCH($J3336,Mapping!$D$17:$D$28,0)),"(unmapped)")))))</f>
        <v/>
      </c>
    </row>
    <row r="3337" spans="11:11" x14ac:dyDescent="0.3">
      <c r="K3337" t="str">
        <f>IF($D3337="","",IFERROR(INDEX(Mapping!$H$3:$H$32,MATCH($B3337,Mapping!$G$3:$G$32,0)),IF(LEFT($F3337,3)="P2P",IFERROR(INDEX(Mapping!$E$3:$E$6,MATCH($G3337,Mapping!$D$3:$D$6,0)),IFERROR(INDEX(Mapping!$B$3:$B$13,MATCH($J3337,Mapping!$A$3:$A$13,0)),"(unmapped)")),IFERROR(INDEX(Mapping!$B$17:$B$22,MATCH($F3337,Mapping!$A$17:$A$22,0)),$F3337)&amp;" "&amp;IF($G3337="Banking","Banking",IFERROR(INDEX(Mapping!$E$17:$E$28,MATCH($J3337,Mapping!$D$17:$D$28,0)),"(unmapped)")))))</f>
        <v/>
      </c>
    </row>
    <row r="3338" spans="11:11" x14ac:dyDescent="0.3">
      <c r="K3338" t="str">
        <f>IF($D3338="","",IFERROR(INDEX(Mapping!$H$3:$H$32,MATCH($B3338,Mapping!$G$3:$G$32,0)),IF(LEFT($F3338,3)="P2P",IFERROR(INDEX(Mapping!$E$3:$E$6,MATCH($G3338,Mapping!$D$3:$D$6,0)),IFERROR(INDEX(Mapping!$B$3:$B$13,MATCH($J3338,Mapping!$A$3:$A$13,0)),"(unmapped)")),IFERROR(INDEX(Mapping!$B$17:$B$22,MATCH($F3338,Mapping!$A$17:$A$22,0)),$F3338)&amp;" "&amp;IF($G3338="Banking","Banking",IFERROR(INDEX(Mapping!$E$17:$E$28,MATCH($J3338,Mapping!$D$17:$D$28,0)),"(unmapped)")))))</f>
        <v/>
      </c>
    </row>
    <row r="3339" spans="11:11" x14ac:dyDescent="0.3">
      <c r="K3339" t="str">
        <f>IF($D3339="","",IFERROR(INDEX(Mapping!$H$3:$H$32,MATCH($B3339,Mapping!$G$3:$G$32,0)),IF(LEFT($F3339,3)="P2P",IFERROR(INDEX(Mapping!$E$3:$E$6,MATCH($G3339,Mapping!$D$3:$D$6,0)),IFERROR(INDEX(Mapping!$B$3:$B$13,MATCH($J3339,Mapping!$A$3:$A$13,0)),"(unmapped)")),IFERROR(INDEX(Mapping!$B$17:$B$22,MATCH($F3339,Mapping!$A$17:$A$22,0)),$F3339)&amp;" "&amp;IF($G3339="Banking","Banking",IFERROR(INDEX(Mapping!$E$17:$E$28,MATCH($J3339,Mapping!$D$17:$D$28,0)),"(unmapped)")))))</f>
        <v/>
      </c>
    </row>
    <row r="3340" spans="11:11" x14ac:dyDescent="0.3">
      <c r="K3340" t="str">
        <f>IF($D3340="","",IFERROR(INDEX(Mapping!$H$3:$H$32,MATCH($B3340,Mapping!$G$3:$G$32,0)),IF(LEFT($F3340,3)="P2P",IFERROR(INDEX(Mapping!$E$3:$E$6,MATCH($G3340,Mapping!$D$3:$D$6,0)),IFERROR(INDEX(Mapping!$B$3:$B$13,MATCH($J3340,Mapping!$A$3:$A$13,0)),"(unmapped)")),IFERROR(INDEX(Mapping!$B$17:$B$22,MATCH($F3340,Mapping!$A$17:$A$22,0)),$F3340)&amp;" "&amp;IF($G3340="Banking","Banking",IFERROR(INDEX(Mapping!$E$17:$E$28,MATCH($J3340,Mapping!$D$17:$D$28,0)),"(unmapped)")))))</f>
        <v/>
      </c>
    </row>
    <row r="3341" spans="11:11" x14ac:dyDescent="0.3">
      <c r="K3341" t="str">
        <f>IF($D3341="","",IFERROR(INDEX(Mapping!$H$3:$H$32,MATCH($B3341,Mapping!$G$3:$G$32,0)),IF(LEFT($F3341,3)="P2P",IFERROR(INDEX(Mapping!$E$3:$E$6,MATCH($G3341,Mapping!$D$3:$D$6,0)),IFERROR(INDEX(Mapping!$B$3:$B$13,MATCH($J3341,Mapping!$A$3:$A$13,0)),"(unmapped)")),IFERROR(INDEX(Mapping!$B$17:$B$22,MATCH($F3341,Mapping!$A$17:$A$22,0)),$F3341)&amp;" "&amp;IF($G3341="Banking","Banking",IFERROR(INDEX(Mapping!$E$17:$E$28,MATCH($J3341,Mapping!$D$17:$D$28,0)),"(unmapped)")))))</f>
        <v/>
      </c>
    </row>
    <row r="3342" spans="11:11" x14ac:dyDescent="0.3">
      <c r="K3342" t="str">
        <f>IF($D3342="","",IFERROR(INDEX(Mapping!$H$3:$H$32,MATCH($B3342,Mapping!$G$3:$G$32,0)),IF(LEFT($F3342,3)="P2P",IFERROR(INDEX(Mapping!$E$3:$E$6,MATCH($G3342,Mapping!$D$3:$D$6,0)),IFERROR(INDEX(Mapping!$B$3:$B$13,MATCH($J3342,Mapping!$A$3:$A$13,0)),"(unmapped)")),IFERROR(INDEX(Mapping!$B$17:$B$22,MATCH($F3342,Mapping!$A$17:$A$22,0)),$F3342)&amp;" "&amp;IF($G3342="Banking","Banking",IFERROR(INDEX(Mapping!$E$17:$E$28,MATCH($J3342,Mapping!$D$17:$D$28,0)),"(unmapped)")))))</f>
        <v/>
      </c>
    </row>
    <row r="3343" spans="11:11" x14ac:dyDescent="0.3">
      <c r="K3343" t="str">
        <f>IF($D3343="","",IFERROR(INDEX(Mapping!$H$3:$H$32,MATCH($B3343,Mapping!$G$3:$G$32,0)),IF(LEFT($F3343,3)="P2P",IFERROR(INDEX(Mapping!$E$3:$E$6,MATCH($G3343,Mapping!$D$3:$D$6,0)),IFERROR(INDEX(Mapping!$B$3:$B$13,MATCH($J3343,Mapping!$A$3:$A$13,0)),"(unmapped)")),IFERROR(INDEX(Mapping!$B$17:$B$22,MATCH($F3343,Mapping!$A$17:$A$22,0)),$F3343)&amp;" "&amp;IF($G3343="Banking","Banking",IFERROR(INDEX(Mapping!$E$17:$E$28,MATCH($J3343,Mapping!$D$17:$D$28,0)),"(unmapped)")))))</f>
        <v/>
      </c>
    </row>
    <row r="3344" spans="11:11" x14ac:dyDescent="0.3">
      <c r="K3344" t="str">
        <f>IF($D3344="","",IFERROR(INDEX(Mapping!$H$3:$H$32,MATCH($B3344,Mapping!$G$3:$G$32,0)),IF(LEFT($F3344,3)="P2P",IFERROR(INDEX(Mapping!$E$3:$E$6,MATCH($G3344,Mapping!$D$3:$D$6,0)),IFERROR(INDEX(Mapping!$B$3:$B$13,MATCH($J3344,Mapping!$A$3:$A$13,0)),"(unmapped)")),IFERROR(INDEX(Mapping!$B$17:$B$22,MATCH($F3344,Mapping!$A$17:$A$22,0)),$F3344)&amp;" "&amp;IF($G3344="Banking","Banking",IFERROR(INDEX(Mapping!$E$17:$E$28,MATCH($J3344,Mapping!$D$17:$D$28,0)),"(unmapped)")))))</f>
        <v/>
      </c>
    </row>
    <row r="3345" spans="11:11" x14ac:dyDescent="0.3">
      <c r="K3345" t="str">
        <f>IF($D3345="","",IFERROR(INDEX(Mapping!$H$3:$H$32,MATCH($B3345,Mapping!$G$3:$G$32,0)),IF(LEFT($F3345,3)="P2P",IFERROR(INDEX(Mapping!$E$3:$E$6,MATCH($G3345,Mapping!$D$3:$D$6,0)),IFERROR(INDEX(Mapping!$B$3:$B$13,MATCH($J3345,Mapping!$A$3:$A$13,0)),"(unmapped)")),IFERROR(INDEX(Mapping!$B$17:$B$22,MATCH($F3345,Mapping!$A$17:$A$22,0)),$F3345)&amp;" "&amp;IF($G3345="Banking","Banking",IFERROR(INDEX(Mapping!$E$17:$E$28,MATCH($J3345,Mapping!$D$17:$D$28,0)),"(unmapped)")))))</f>
        <v/>
      </c>
    </row>
    <row r="3346" spans="11:11" x14ac:dyDescent="0.3">
      <c r="K3346" t="str">
        <f>IF($D3346="","",IFERROR(INDEX(Mapping!$H$3:$H$32,MATCH($B3346,Mapping!$G$3:$G$32,0)),IF(LEFT($F3346,3)="P2P",IFERROR(INDEX(Mapping!$E$3:$E$6,MATCH($G3346,Mapping!$D$3:$D$6,0)),IFERROR(INDEX(Mapping!$B$3:$B$13,MATCH($J3346,Mapping!$A$3:$A$13,0)),"(unmapped)")),IFERROR(INDEX(Mapping!$B$17:$B$22,MATCH($F3346,Mapping!$A$17:$A$22,0)),$F3346)&amp;" "&amp;IF($G3346="Banking","Banking",IFERROR(INDEX(Mapping!$E$17:$E$28,MATCH($J3346,Mapping!$D$17:$D$28,0)),"(unmapped)")))))</f>
        <v/>
      </c>
    </row>
    <row r="3347" spans="11:11" x14ac:dyDescent="0.3">
      <c r="K3347" t="str">
        <f>IF($D3347="","",IFERROR(INDEX(Mapping!$H$3:$H$32,MATCH($B3347,Mapping!$G$3:$G$32,0)),IF(LEFT($F3347,3)="P2P",IFERROR(INDEX(Mapping!$E$3:$E$6,MATCH($G3347,Mapping!$D$3:$D$6,0)),IFERROR(INDEX(Mapping!$B$3:$B$13,MATCH($J3347,Mapping!$A$3:$A$13,0)),"(unmapped)")),IFERROR(INDEX(Mapping!$B$17:$B$22,MATCH($F3347,Mapping!$A$17:$A$22,0)),$F3347)&amp;" "&amp;IF($G3347="Banking","Banking",IFERROR(INDEX(Mapping!$E$17:$E$28,MATCH($J3347,Mapping!$D$17:$D$28,0)),"(unmapped)")))))</f>
        <v/>
      </c>
    </row>
    <row r="3348" spans="11:11" x14ac:dyDescent="0.3">
      <c r="K3348" t="str">
        <f>IF($D3348="","",IFERROR(INDEX(Mapping!$H$3:$H$32,MATCH($B3348,Mapping!$G$3:$G$32,0)),IF(LEFT($F3348,3)="P2P",IFERROR(INDEX(Mapping!$E$3:$E$6,MATCH($G3348,Mapping!$D$3:$D$6,0)),IFERROR(INDEX(Mapping!$B$3:$B$13,MATCH($J3348,Mapping!$A$3:$A$13,0)),"(unmapped)")),IFERROR(INDEX(Mapping!$B$17:$B$22,MATCH($F3348,Mapping!$A$17:$A$22,0)),$F3348)&amp;" "&amp;IF($G3348="Banking","Banking",IFERROR(INDEX(Mapping!$E$17:$E$28,MATCH($J3348,Mapping!$D$17:$D$28,0)),"(unmapped)")))))</f>
        <v/>
      </c>
    </row>
    <row r="3349" spans="11:11" x14ac:dyDescent="0.3">
      <c r="K3349" t="str">
        <f>IF($D3349="","",IFERROR(INDEX(Mapping!$H$3:$H$32,MATCH($B3349,Mapping!$G$3:$G$32,0)),IF(LEFT($F3349,3)="P2P",IFERROR(INDEX(Mapping!$E$3:$E$6,MATCH($G3349,Mapping!$D$3:$D$6,0)),IFERROR(INDEX(Mapping!$B$3:$B$13,MATCH($J3349,Mapping!$A$3:$A$13,0)),"(unmapped)")),IFERROR(INDEX(Mapping!$B$17:$B$22,MATCH($F3349,Mapping!$A$17:$A$22,0)),$F3349)&amp;" "&amp;IF($G3349="Banking","Banking",IFERROR(INDEX(Mapping!$E$17:$E$28,MATCH($J3349,Mapping!$D$17:$D$28,0)),"(unmapped)")))))</f>
        <v/>
      </c>
    </row>
    <row r="3350" spans="11:11" x14ac:dyDescent="0.3">
      <c r="K3350" t="str">
        <f>IF($D3350="","",IFERROR(INDEX(Mapping!$H$3:$H$32,MATCH($B3350,Mapping!$G$3:$G$32,0)),IF(LEFT($F3350,3)="P2P",IFERROR(INDEX(Mapping!$E$3:$E$6,MATCH($G3350,Mapping!$D$3:$D$6,0)),IFERROR(INDEX(Mapping!$B$3:$B$13,MATCH($J3350,Mapping!$A$3:$A$13,0)),"(unmapped)")),IFERROR(INDEX(Mapping!$B$17:$B$22,MATCH($F3350,Mapping!$A$17:$A$22,0)),$F3350)&amp;" "&amp;IF($G3350="Banking","Banking",IFERROR(INDEX(Mapping!$E$17:$E$28,MATCH($J3350,Mapping!$D$17:$D$28,0)),"(unmapped)")))))</f>
        <v/>
      </c>
    </row>
    <row r="3351" spans="11:11" x14ac:dyDescent="0.3">
      <c r="K3351" t="str">
        <f>IF($D3351="","",IFERROR(INDEX(Mapping!$H$3:$H$32,MATCH($B3351,Mapping!$G$3:$G$32,0)),IF(LEFT($F3351,3)="P2P",IFERROR(INDEX(Mapping!$E$3:$E$6,MATCH($G3351,Mapping!$D$3:$D$6,0)),IFERROR(INDEX(Mapping!$B$3:$B$13,MATCH($J3351,Mapping!$A$3:$A$13,0)),"(unmapped)")),IFERROR(INDEX(Mapping!$B$17:$B$22,MATCH($F3351,Mapping!$A$17:$A$22,0)),$F3351)&amp;" "&amp;IF($G3351="Banking","Banking",IFERROR(INDEX(Mapping!$E$17:$E$28,MATCH($J3351,Mapping!$D$17:$D$28,0)),"(unmapped)")))))</f>
        <v/>
      </c>
    </row>
    <row r="3352" spans="11:11" x14ac:dyDescent="0.3">
      <c r="K3352" t="str">
        <f>IF($D3352="","",IFERROR(INDEX(Mapping!$H$3:$H$32,MATCH($B3352,Mapping!$G$3:$G$32,0)),IF(LEFT($F3352,3)="P2P",IFERROR(INDEX(Mapping!$E$3:$E$6,MATCH($G3352,Mapping!$D$3:$D$6,0)),IFERROR(INDEX(Mapping!$B$3:$B$13,MATCH($J3352,Mapping!$A$3:$A$13,0)),"(unmapped)")),IFERROR(INDEX(Mapping!$B$17:$B$22,MATCH($F3352,Mapping!$A$17:$A$22,0)),$F3352)&amp;" "&amp;IF($G3352="Banking","Banking",IFERROR(INDEX(Mapping!$E$17:$E$28,MATCH($J3352,Mapping!$D$17:$D$28,0)),"(unmapped)")))))</f>
        <v/>
      </c>
    </row>
    <row r="3353" spans="11:11" x14ac:dyDescent="0.3">
      <c r="K3353" t="str">
        <f>IF($D3353="","",IFERROR(INDEX(Mapping!$H$3:$H$32,MATCH($B3353,Mapping!$G$3:$G$32,0)),IF(LEFT($F3353,3)="P2P",IFERROR(INDEX(Mapping!$E$3:$E$6,MATCH($G3353,Mapping!$D$3:$D$6,0)),IFERROR(INDEX(Mapping!$B$3:$B$13,MATCH($J3353,Mapping!$A$3:$A$13,0)),"(unmapped)")),IFERROR(INDEX(Mapping!$B$17:$B$22,MATCH($F3353,Mapping!$A$17:$A$22,0)),$F3353)&amp;" "&amp;IF($G3353="Banking","Banking",IFERROR(INDEX(Mapping!$E$17:$E$28,MATCH($J3353,Mapping!$D$17:$D$28,0)),"(unmapped)")))))</f>
        <v/>
      </c>
    </row>
    <row r="3354" spans="11:11" x14ac:dyDescent="0.3">
      <c r="K3354" t="str">
        <f>IF($D3354="","",IFERROR(INDEX(Mapping!$H$3:$H$32,MATCH($B3354,Mapping!$G$3:$G$32,0)),IF(LEFT($F3354,3)="P2P",IFERROR(INDEX(Mapping!$E$3:$E$6,MATCH($G3354,Mapping!$D$3:$D$6,0)),IFERROR(INDEX(Mapping!$B$3:$B$13,MATCH($J3354,Mapping!$A$3:$A$13,0)),"(unmapped)")),IFERROR(INDEX(Mapping!$B$17:$B$22,MATCH($F3354,Mapping!$A$17:$A$22,0)),$F3354)&amp;" "&amp;IF($G3354="Banking","Banking",IFERROR(INDEX(Mapping!$E$17:$E$28,MATCH($J3354,Mapping!$D$17:$D$28,0)),"(unmapped)")))))</f>
        <v/>
      </c>
    </row>
    <row r="3355" spans="11:11" x14ac:dyDescent="0.3">
      <c r="K3355" t="str">
        <f>IF($D3355="","",IFERROR(INDEX(Mapping!$H$3:$H$32,MATCH($B3355,Mapping!$G$3:$G$32,0)),IF(LEFT($F3355,3)="P2P",IFERROR(INDEX(Mapping!$E$3:$E$6,MATCH($G3355,Mapping!$D$3:$D$6,0)),IFERROR(INDEX(Mapping!$B$3:$B$13,MATCH($J3355,Mapping!$A$3:$A$13,0)),"(unmapped)")),IFERROR(INDEX(Mapping!$B$17:$B$22,MATCH($F3355,Mapping!$A$17:$A$22,0)),$F3355)&amp;" "&amp;IF($G3355="Banking","Banking",IFERROR(INDEX(Mapping!$E$17:$E$28,MATCH($J3355,Mapping!$D$17:$D$28,0)),"(unmapped)")))))</f>
        <v/>
      </c>
    </row>
    <row r="3356" spans="11:11" x14ac:dyDescent="0.3">
      <c r="K3356" t="str">
        <f>IF($D3356="","",IFERROR(INDEX(Mapping!$H$3:$H$32,MATCH($B3356,Mapping!$G$3:$G$32,0)),IF(LEFT($F3356,3)="P2P",IFERROR(INDEX(Mapping!$E$3:$E$6,MATCH($G3356,Mapping!$D$3:$D$6,0)),IFERROR(INDEX(Mapping!$B$3:$B$13,MATCH($J3356,Mapping!$A$3:$A$13,0)),"(unmapped)")),IFERROR(INDEX(Mapping!$B$17:$B$22,MATCH($F3356,Mapping!$A$17:$A$22,0)),$F3356)&amp;" "&amp;IF($G3356="Banking","Banking",IFERROR(INDEX(Mapping!$E$17:$E$28,MATCH($J3356,Mapping!$D$17:$D$28,0)),"(unmapped)")))))</f>
        <v/>
      </c>
    </row>
    <row r="3357" spans="11:11" x14ac:dyDescent="0.3">
      <c r="K3357" t="str">
        <f>IF($D3357="","",IFERROR(INDEX(Mapping!$H$3:$H$32,MATCH($B3357,Mapping!$G$3:$G$32,0)),IF(LEFT($F3357,3)="P2P",IFERROR(INDEX(Mapping!$E$3:$E$6,MATCH($G3357,Mapping!$D$3:$D$6,0)),IFERROR(INDEX(Mapping!$B$3:$B$13,MATCH($J3357,Mapping!$A$3:$A$13,0)),"(unmapped)")),IFERROR(INDEX(Mapping!$B$17:$B$22,MATCH($F3357,Mapping!$A$17:$A$22,0)),$F3357)&amp;" "&amp;IF($G3357="Banking","Banking",IFERROR(INDEX(Mapping!$E$17:$E$28,MATCH($J3357,Mapping!$D$17:$D$28,0)),"(unmapped)")))))</f>
        <v/>
      </c>
    </row>
    <row r="3358" spans="11:11" x14ac:dyDescent="0.3">
      <c r="K3358" t="str">
        <f>IF($D3358="","",IFERROR(INDEX(Mapping!$H$3:$H$32,MATCH($B3358,Mapping!$G$3:$G$32,0)),IF(LEFT($F3358,3)="P2P",IFERROR(INDEX(Mapping!$E$3:$E$6,MATCH($G3358,Mapping!$D$3:$D$6,0)),IFERROR(INDEX(Mapping!$B$3:$B$13,MATCH($J3358,Mapping!$A$3:$A$13,0)),"(unmapped)")),IFERROR(INDEX(Mapping!$B$17:$B$22,MATCH($F3358,Mapping!$A$17:$A$22,0)),$F3358)&amp;" "&amp;IF($G3358="Banking","Banking",IFERROR(INDEX(Mapping!$E$17:$E$28,MATCH($J3358,Mapping!$D$17:$D$28,0)),"(unmapped)")))))</f>
        <v/>
      </c>
    </row>
    <row r="3359" spans="11:11" x14ac:dyDescent="0.3">
      <c r="K3359" t="str">
        <f>IF($D3359="","",IFERROR(INDEX(Mapping!$H$3:$H$32,MATCH($B3359,Mapping!$G$3:$G$32,0)),IF(LEFT($F3359,3)="P2P",IFERROR(INDEX(Mapping!$E$3:$E$6,MATCH($G3359,Mapping!$D$3:$D$6,0)),IFERROR(INDEX(Mapping!$B$3:$B$13,MATCH($J3359,Mapping!$A$3:$A$13,0)),"(unmapped)")),IFERROR(INDEX(Mapping!$B$17:$B$22,MATCH($F3359,Mapping!$A$17:$A$22,0)),$F3359)&amp;" "&amp;IF($G3359="Banking","Banking",IFERROR(INDEX(Mapping!$E$17:$E$28,MATCH($J3359,Mapping!$D$17:$D$28,0)),"(unmapped)")))))</f>
        <v/>
      </c>
    </row>
    <row r="3360" spans="11:11" x14ac:dyDescent="0.3">
      <c r="K3360" t="str">
        <f>IF($D3360="","",IFERROR(INDEX(Mapping!$H$3:$H$32,MATCH($B3360,Mapping!$G$3:$G$32,0)),IF(LEFT($F3360,3)="P2P",IFERROR(INDEX(Mapping!$E$3:$E$6,MATCH($G3360,Mapping!$D$3:$D$6,0)),IFERROR(INDEX(Mapping!$B$3:$B$13,MATCH($J3360,Mapping!$A$3:$A$13,0)),"(unmapped)")),IFERROR(INDEX(Mapping!$B$17:$B$22,MATCH($F3360,Mapping!$A$17:$A$22,0)),$F3360)&amp;" "&amp;IF($G3360="Banking","Banking",IFERROR(INDEX(Mapping!$E$17:$E$28,MATCH($J3360,Mapping!$D$17:$D$28,0)),"(unmapped)")))))</f>
        <v/>
      </c>
    </row>
    <row r="3361" spans="11:11" x14ac:dyDescent="0.3">
      <c r="K3361" t="str">
        <f>IF($D3361="","",IFERROR(INDEX(Mapping!$H$3:$H$32,MATCH($B3361,Mapping!$G$3:$G$32,0)),IF(LEFT($F3361,3)="P2P",IFERROR(INDEX(Mapping!$E$3:$E$6,MATCH($G3361,Mapping!$D$3:$D$6,0)),IFERROR(INDEX(Mapping!$B$3:$B$13,MATCH($J3361,Mapping!$A$3:$A$13,0)),"(unmapped)")),IFERROR(INDEX(Mapping!$B$17:$B$22,MATCH($F3361,Mapping!$A$17:$A$22,0)),$F3361)&amp;" "&amp;IF($G3361="Banking","Banking",IFERROR(INDEX(Mapping!$E$17:$E$28,MATCH($J3361,Mapping!$D$17:$D$28,0)),"(unmapped)")))))</f>
        <v/>
      </c>
    </row>
    <row r="3362" spans="11:11" x14ac:dyDescent="0.3">
      <c r="K3362" t="str">
        <f>IF($D3362="","",IFERROR(INDEX(Mapping!$H$3:$H$32,MATCH($B3362,Mapping!$G$3:$G$32,0)),IF(LEFT($F3362,3)="P2P",IFERROR(INDEX(Mapping!$E$3:$E$6,MATCH($G3362,Mapping!$D$3:$D$6,0)),IFERROR(INDEX(Mapping!$B$3:$B$13,MATCH($J3362,Mapping!$A$3:$A$13,0)),"(unmapped)")),IFERROR(INDEX(Mapping!$B$17:$B$22,MATCH($F3362,Mapping!$A$17:$A$22,0)),$F3362)&amp;" "&amp;IF($G3362="Banking","Banking",IFERROR(INDEX(Mapping!$E$17:$E$28,MATCH($J3362,Mapping!$D$17:$D$28,0)),"(unmapped)")))))</f>
        <v/>
      </c>
    </row>
    <row r="3363" spans="11:11" x14ac:dyDescent="0.3">
      <c r="K3363" t="str">
        <f>IF($D3363="","",IFERROR(INDEX(Mapping!$H$3:$H$32,MATCH($B3363,Mapping!$G$3:$G$32,0)),IF(LEFT($F3363,3)="P2P",IFERROR(INDEX(Mapping!$E$3:$E$6,MATCH($G3363,Mapping!$D$3:$D$6,0)),IFERROR(INDEX(Mapping!$B$3:$B$13,MATCH($J3363,Mapping!$A$3:$A$13,0)),"(unmapped)")),IFERROR(INDEX(Mapping!$B$17:$B$22,MATCH($F3363,Mapping!$A$17:$A$22,0)),$F3363)&amp;" "&amp;IF($G3363="Banking","Banking",IFERROR(INDEX(Mapping!$E$17:$E$28,MATCH($J3363,Mapping!$D$17:$D$28,0)),"(unmapped)")))))</f>
        <v/>
      </c>
    </row>
    <row r="3364" spans="11:11" x14ac:dyDescent="0.3">
      <c r="K3364" t="str">
        <f>IF($D3364="","",IFERROR(INDEX(Mapping!$H$3:$H$32,MATCH($B3364,Mapping!$G$3:$G$32,0)),IF(LEFT($F3364,3)="P2P",IFERROR(INDEX(Mapping!$E$3:$E$6,MATCH($G3364,Mapping!$D$3:$D$6,0)),IFERROR(INDEX(Mapping!$B$3:$B$13,MATCH($J3364,Mapping!$A$3:$A$13,0)),"(unmapped)")),IFERROR(INDEX(Mapping!$B$17:$B$22,MATCH($F3364,Mapping!$A$17:$A$22,0)),$F3364)&amp;" "&amp;IF($G3364="Banking","Banking",IFERROR(INDEX(Mapping!$E$17:$E$28,MATCH($J3364,Mapping!$D$17:$D$28,0)),"(unmapped)")))))</f>
        <v/>
      </c>
    </row>
    <row r="3365" spans="11:11" x14ac:dyDescent="0.3">
      <c r="K3365" t="str">
        <f>IF($D3365="","",IFERROR(INDEX(Mapping!$H$3:$H$32,MATCH($B3365,Mapping!$G$3:$G$32,0)),IF(LEFT($F3365,3)="P2P",IFERROR(INDEX(Mapping!$E$3:$E$6,MATCH($G3365,Mapping!$D$3:$D$6,0)),IFERROR(INDEX(Mapping!$B$3:$B$13,MATCH($J3365,Mapping!$A$3:$A$13,0)),"(unmapped)")),IFERROR(INDEX(Mapping!$B$17:$B$22,MATCH($F3365,Mapping!$A$17:$A$22,0)),$F3365)&amp;" "&amp;IF($G3365="Banking","Banking",IFERROR(INDEX(Mapping!$E$17:$E$28,MATCH($J3365,Mapping!$D$17:$D$28,0)),"(unmapped)")))))</f>
        <v/>
      </c>
    </row>
    <row r="3366" spans="11:11" x14ac:dyDescent="0.3">
      <c r="K3366" t="str">
        <f>IF($D3366="","",IFERROR(INDEX(Mapping!$H$3:$H$32,MATCH($B3366,Mapping!$G$3:$G$32,0)),IF(LEFT($F3366,3)="P2P",IFERROR(INDEX(Mapping!$E$3:$E$6,MATCH($G3366,Mapping!$D$3:$D$6,0)),IFERROR(INDEX(Mapping!$B$3:$B$13,MATCH($J3366,Mapping!$A$3:$A$13,0)),"(unmapped)")),IFERROR(INDEX(Mapping!$B$17:$B$22,MATCH($F3366,Mapping!$A$17:$A$22,0)),$F3366)&amp;" "&amp;IF($G3366="Banking","Banking",IFERROR(INDEX(Mapping!$E$17:$E$28,MATCH($J3366,Mapping!$D$17:$D$28,0)),"(unmapped)")))))</f>
        <v/>
      </c>
    </row>
    <row r="3367" spans="11:11" x14ac:dyDescent="0.3">
      <c r="K3367" t="str">
        <f>IF($D3367="","",IFERROR(INDEX(Mapping!$H$3:$H$32,MATCH($B3367,Mapping!$G$3:$G$32,0)),IF(LEFT($F3367,3)="P2P",IFERROR(INDEX(Mapping!$E$3:$E$6,MATCH($G3367,Mapping!$D$3:$D$6,0)),IFERROR(INDEX(Mapping!$B$3:$B$13,MATCH($J3367,Mapping!$A$3:$A$13,0)),"(unmapped)")),IFERROR(INDEX(Mapping!$B$17:$B$22,MATCH($F3367,Mapping!$A$17:$A$22,0)),$F3367)&amp;" "&amp;IF($G3367="Banking","Banking",IFERROR(INDEX(Mapping!$E$17:$E$28,MATCH($J3367,Mapping!$D$17:$D$28,0)),"(unmapped)")))))</f>
        <v/>
      </c>
    </row>
    <row r="3368" spans="11:11" x14ac:dyDescent="0.3">
      <c r="K3368" t="str">
        <f>IF($D3368="","",IFERROR(INDEX(Mapping!$H$3:$H$32,MATCH($B3368,Mapping!$G$3:$G$32,0)),IF(LEFT($F3368,3)="P2P",IFERROR(INDEX(Mapping!$E$3:$E$6,MATCH($G3368,Mapping!$D$3:$D$6,0)),IFERROR(INDEX(Mapping!$B$3:$B$13,MATCH($J3368,Mapping!$A$3:$A$13,0)),"(unmapped)")),IFERROR(INDEX(Mapping!$B$17:$B$22,MATCH($F3368,Mapping!$A$17:$A$22,0)),$F3368)&amp;" "&amp;IF($G3368="Banking","Banking",IFERROR(INDEX(Mapping!$E$17:$E$28,MATCH($J3368,Mapping!$D$17:$D$28,0)),"(unmapped)")))))</f>
        <v/>
      </c>
    </row>
    <row r="3369" spans="11:11" x14ac:dyDescent="0.3">
      <c r="K3369" t="str">
        <f>IF($D3369="","",IFERROR(INDEX(Mapping!$H$3:$H$32,MATCH($B3369,Mapping!$G$3:$G$32,0)),IF(LEFT($F3369,3)="P2P",IFERROR(INDEX(Mapping!$E$3:$E$6,MATCH($G3369,Mapping!$D$3:$D$6,0)),IFERROR(INDEX(Mapping!$B$3:$B$13,MATCH($J3369,Mapping!$A$3:$A$13,0)),"(unmapped)")),IFERROR(INDEX(Mapping!$B$17:$B$22,MATCH($F3369,Mapping!$A$17:$A$22,0)),$F3369)&amp;" "&amp;IF($G3369="Banking","Banking",IFERROR(INDEX(Mapping!$E$17:$E$28,MATCH($J3369,Mapping!$D$17:$D$28,0)),"(unmapped)")))))</f>
        <v/>
      </c>
    </row>
    <row r="3370" spans="11:11" x14ac:dyDescent="0.3">
      <c r="K3370" t="str">
        <f>IF($D3370="","",IFERROR(INDEX(Mapping!$H$3:$H$32,MATCH($B3370,Mapping!$G$3:$G$32,0)),IF(LEFT($F3370,3)="P2P",IFERROR(INDEX(Mapping!$E$3:$E$6,MATCH($G3370,Mapping!$D$3:$D$6,0)),IFERROR(INDEX(Mapping!$B$3:$B$13,MATCH($J3370,Mapping!$A$3:$A$13,0)),"(unmapped)")),IFERROR(INDEX(Mapping!$B$17:$B$22,MATCH($F3370,Mapping!$A$17:$A$22,0)),$F3370)&amp;" "&amp;IF($G3370="Banking","Banking",IFERROR(INDEX(Mapping!$E$17:$E$28,MATCH($J3370,Mapping!$D$17:$D$28,0)),"(unmapped)")))))</f>
        <v/>
      </c>
    </row>
    <row r="3371" spans="11:11" x14ac:dyDescent="0.3">
      <c r="K3371" t="str">
        <f>IF($D3371="","",IFERROR(INDEX(Mapping!$H$3:$H$32,MATCH($B3371,Mapping!$G$3:$G$32,0)),IF(LEFT($F3371,3)="P2P",IFERROR(INDEX(Mapping!$E$3:$E$6,MATCH($G3371,Mapping!$D$3:$D$6,0)),IFERROR(INDEX(Mapping!$B$3:$B$13,MATCH($J3371,Mapping!$A$3:$A$13,0)),"(unmapped)")),IFERROR(INDEX(Mapping!$B$17:$B$22,MATCH($F3371,Mapping!$A$17:$A$22,0)),$F3371)&amp;" "&amp;IF($G3371="Banking","Banking",IFERROR(INDEX(Mapping!$E$17:$E$28,MATCH($J3371,Mapping!$D$17:$D$28,0)),"(unmapped)")))))</f>
        <v/>
      </c>
    </row>
    <row r="3372" spans="11:11" x14ac:dyDescent="0.3">
      <c r="K3372" t="str">
        <f>IF($D3372="","",IFERROR(INDEX(Mapping!$H$3:$H$32,MATCH($B3372,Mapping!$G$3:$G$32,0)),IF(LEFT($F3372,3)="P2P",IFERROR(INDEX(Mapping!$E$3:$E$6,MATCH($G3372,Mapping!$D$3:$D$6,0)),IFERROR(INDEX(Mapping!$B$3:$B$13,MATCH($J3372,Mapping!$A$3:$A$13,0)),"(unmapped)")),IFERROR(INDEX(Mapping!$B$17:$B$22,MATCH($F3372,Mapping!$A$17:$A$22,0)),$F3372)&amp;" "&amp;IF($G3372="Banking","Banking",IFERROR(INDEX(Mapping!$E$17:$E$28,MATCH($J3372,Mapping!$D$17:$D$28,0)),"(unmapped)")))))</f>
        <v/>
      </c>
    </row>
    <row r="3373" spans="11:11" x14ac:dyDescent="0.3">
      <c r="K3373" t="str">
        <f>IF($D3373="","",IFERROR(INDEX(Mapping!$H$3:$H$32,MATCH($B3373,Mapping!$G$3:$G$32,0)),IF(LEFT($F3373,3)="P2P",IFERROR(INDEX(Mapping!$E$3:$E$6,MATCH($G3373,Mapping!$D$3:$D$6,0)),IFERROR(INDEX(Mapping!$B$3:$B$13,MATCH($J3373,Mapping!$A$3:$A$13,0)),"(unmapped)")),IFERROR(INDEX(Mapping!$B$17:$B$22,MATCH($F3373,Mapping!$A$17:$A$22,0)),$F3373)&amp;" "&amp;IF($G3373="Banking","Banking",IFERROR(INDEX(Mapping!$E$17:$E$28,MATCH($J3373,Mapping!$D$17:$D$28,0)),"(unmapped)")))))</f>
        <v/>
      </c>
    </row>
    <row r="3374" spans="11:11" x14ac:dyDescent="0.3">
      <c r="K3374" t="str">
        <f>IF($D3374="","",IFERROR(INDEX(Mapping!$H$3:$H$32,MATCH($B3374,Mapping!$G$3:$G$32,0)),IF(LEFT($F3374,3)="P2P",IFERROR(INDEX(Mapping!$E$3:$E$6,MATCH($G3374,Mapping!$D$3:$D$6,0)),IFERROR(INDEX(Mapping!$B$3:$B$13,MATCH($J3374,Mapping!$A$3:$A$13,0)),"(unmapped)")),IFERROR(INDEX(Mapping!$B$17:$B$22,MATCH($F3374,Mapping!$A$17:$A$22,0)),$F3374)&amp;" "&amp;IF($G3374="Banking","Banking",IFERROR(INDEX(Mapping!$E$17:$E$28,MATCH($J3374,Mapping!$D$17:$D$28,0)),"(unmapped)")))))</f>
        <v/>
      </c>
    </row>
    <row r="3375" spans="11:11" x14ac:dyDescent="0.3">
      <c r="K3375" t="str">
        <f>IF($D3375="","",IFERROR(INDEX(Mapping!$H$3:$H$32,MATCH($B3375,Mapping!$G$3:$G$32,0)),IF(LEFT($F3375,3)="P2P",IFERROR(INDEX(Mapping!$E$3:$E$6,MATCH($G3375,Mapping!$D$3:$D$6,0)),IFERROR(INDEX(Mapping!$B$3:$B$13,MATCH($J3375,Mapping!$A$3:$A$13,0)),"(unmapped)")),IFERROR(INDEX(Mapping!$B$17:$B$22,MATCH($F3375,Mapping!$A$17:$A$22,0)),$F3375)&amp;" "&amp;IF($G3375="Banking","Banking",IFERROR(INDEX(Mapping!$E$17:$E$28,MATCH($J3375,Mapping!$D$17:$D$28,0)),"(unmapped)")))))</f>
        <v/>
      </c>
    </row>
    <row r="3376" spans="11:11" x14ac:dyDescent="0.3">
      <c r="K3376" t="str">
        <f>IF($D3376="","",IFERROR(INDEX(Mapping!$H$3:$H$32,MATCH($B3376,Mapping!$G$3:$G$32,0)),IF(LEFT($F3376,3)="P2P",IFERROR(INDEX(Mapping!$E$3:$E$6,MATCH($G3376,Mapping!$D$3:$D$6,0)),IFERROR(INDEX(Mapping!$B$3:$B$13,MATCH($J3376,Mapping!$A$3:$A$13,0)),"(unmapped)")),IFERROR(INDEX(Mapping!$B$17:$B$22,MATCH($F3376,Mapping!$A$17:$A$22,0)),$F3376)&amp;" "&amp;IF($G3376="Banking","Banking",IFERROR(INDEX(Mapping!$E$17:$E$28,MATCH($J3376,Mapping!$D$17:$D$28,0)),"(unmapped)")))))</f>
        <v/>
      </c>
    </row>
    <row r="3377" spans="11:11" x14ac:dyDescent="0.3">
      <c r="K3377" t="str">
        <f>IF($D3377="","",IFERROR(INDEX(Mapping!$H$3:$H$32,MATCH($B3377,Mapping!$G$3:$G$32,0)),IF(LEFT($F3377,3)="P2P",IFERROR(INDEX(Mapping!$E$3:$E$6,MATCH($G3377,Mapping!$D$3:$D$6,0)),IFERROR(INDEX(Mapping!$B$3:$B$13,MATCH($J3377,Mapping!$A$3:$A$13,0)),"(unmapped)")),IFERROR(INDEX(Mapping!$B$17:$B$22,MATCH($F3377,Mapping!$A$17:$A$22,0)),$F3377)&amp;" "&amp;IF($G3377="Banking","Banking",IFERROR(INDEX(Mapping!$E$17:$E$28,MATCH($J3377,Mapping!$D$17:$D$28,0)),"(unmapped)")))))</f>
        <v/>
      </c>
    </row>
    <row r="3378" spans="11:11" x14ac:dyDescent="0.3">
      <c r="K3378" t="str">
        <f>IF($D3378="","",IFERROR(INDEX(Mapping!$H$3:$H$32,MATCH($B3378,Mapping!$G$3:$G$32,0)),IF(LEFT($F3378,3)="P2P",IFERROR(INDEX(Mapping!$E$3:$E$6,MATCH($G3378,Mapping!$D$3:$D$6,0)),IFERROR(INDEX(Mapping!$B$3:$B$13,MATCH($J3378,Mapping!$A$3:$A$13,0)),"(unmapped)")),IFERROR(INDEX(Mapping!$B$17:$B$22,MATCH($F3378,Mapping!$A$17:$A$22,0)),$F3378)&amp;" "&amp;IF($G3378="Banking","Banking",IFERROR(INDEX(Mapping!$E$17:$E$28,MATCH($J3378,Mapping!$D$17:$D$28,0)),"(unmapped)")))))</f>
        <v/>
      </c>
    </row>
    <row r="3379" spans="11:11" x14ac:dyDescent="0.3">
      <c r="K3379" t="str">
        <f>IF($D3379="","",IFERROR(INDEX(Mapping!$H$3:$H$32,MATCH($B3379,Mapping!$G$3:$G$32,0)),IF(LEFT($F3379,3)="P2P",IFERROR(INDEX(Mapping!$E$3:$E$6,MATCH($G3379,Mapping!$D$3:$D$6,0)),IFERROR(INDEX(Mapping!$B$3:$B$13,MATCH($J3379,Mapping!$A$3:$A$13,0)),"(unmapped)")),IFERROR(INDEX(Mapping!$B$17:$B$22,MATCH($F3379,Mapping!$A$17:$A$22,0)),$F3379)&amp;" "&amp;IF($G3379="Banking","Banking",IFERROR(INDEX(Mapping!$E$17:$E$28,MATCH($J3379,Mapping!$D$17:$D$28,0)),"(unmapped)")))))</f>
        <v/>
      </c>
    </row>
    <row r="3380" spans="11:11" x14ac:dyDescent="0.3">
      <c r="K3380" t="str">
        <f>IF($D3380="","",IFERROR(INDEX(Mapping!$H$3:$H$32,MATCH($B3380,Mapping!$G$3:$G$32,0)),IF(LEFT($F3380,3)="P2P",IFERROR(INDEX(Mapping!$E$3:$E$6,MATCH($G3380,Mapping!$D$3:$D$6,0)),IFERROR(INDEX(Mapping!$B$3:$B$13,MATCH($J3380,Mapping!$A$3:$A$13,0)),"(unmapped)")),IFERROR(INDEX(Mapping!$B$17:$B$22,MATCH($F3380,Mapping!$A$17:$A$22,0)),$F3380)&amp;" "&amp;IF($G3380="Banking","Banking",IFERROR(INDEX(Mapping!$E$17:$E$28,MATCH($J3380,Mapping!$D$17:$D$28,0)),"(unmapped)")))))</f>
        <v/>
      </c>
    </row>
    <row r="3381" spans="11:11" x14ac:dyDescent="0.3">
      <c r="K3381" t="str">
        <f>IF($D3381="","",IFERROR(INDEX(Mapping!$H$3:$H$32,MATCH($B3381,Mapping!$G$3:$G$32,0)),IF(LEFT($F3381,3)="P2P",IFERROR(INDEX(Mapping!$E$3:$E$6,MATCH($G3381,Mapping!$D$3:$D$6,0)),IFERROR(INDEX(Mapping!$B$3:$B$13,MATCH($J3381,Mapping!$A$3:$A$13,0)),"(unmapped)")),IFERROR(INDEX(Mapping!$B$17:$B$22,MATCH($F3381,Mapping!$A$17:$A$22,0)),$F3381)&amp;" "&amp;IF($G3381="Banking","Banking",IFERROR(INDEX(Mapping!$E$17:$E$28,MATCH($J3381,Mapping!$D$17:$D$28,0)),"(unmapped)")))))</f>
        <v/>
      </c>
    </row>
    <row r="3382" spans="11:11" x14ac:dyDescent="0.3">
      <c r="K3382" t="str">
        <f>IF($D3382="","",IFERROR(INDEX(Mapping!$H$3:$H$32,MATCH($B3382,Mapping!$G$3:$G$32,0)),IF(LEFT($F3382,3)="P2P",IFERROR(INDEX(Mapping!$E$3:$E$6,MATCH($G3382,Mapping!$D$3:$D$6,0)),IFERROR(INDEX(Mapping!$B$3:$B$13,MATCH($J3382,Mapping!$A$3:$A$13,0)),"(unmapped)")),IFERROR(INDEX(Mapping!$B$17:$B$22,MATCH($F3382,Mapping!$A$17:$A$22,0)),$F3382)&amp;" "&amp;IF($G3382="Banking","Banking",IFERROR(INDEX(Mapping!$E$17:$E$28,MATCH($J3382,Mapping!$D$17:$D$28,0)),"(unmapped)")))))</f>
        <v/>
      </c>
    </row>
    <row r="3383" spans="11:11" x14ac:dyDescent="0.3">
      <c r="K3383" t="str">
        <f>IF($D3383="","",IFERROR(INDEX(Mapping!$H$3:$H$32,MATCH($B3383,Mapping!$G$3:$G$32,0)),IF(LEFT($F3383,3)="P2P",IFERROR(INDEX(Mapping!$E$3:$E$6,MATCH($G3383,Mapping!$D$3:$D$6,0)),IFERROR(INDEX(Mapping!$B$3:$B$13,MATCH($J3383,Mapping!$A$3:$A$13,0)),"(unmapped)")),IFERROR(INDEX(Mapping!$B$17:$B$22,MATCH($F3383,Mapping!$A$17:$A$22,0)),$F3383)&amp;" "&amp;IF($G3383="Banking","Banking",IFERROR(INDEX(Mapping!$E$17:$E$28,MATCH($J3383,Mapping!$D$17:$D$28,0)),"(unmapped)")))))</f>
        <v/>
      </c>
    </row>
    <row r="3384" spans="11:11" x14ac:dyDescent="0.3">
      <c r="K3384" t="str">
        <f>IF($D3384="","",IFERROR(INDEX(Mapping!$H$3:$H$32,MATCH($B3384,Mapping!$G$3:$G$32,0)),IF(LEFT($F3384,3)="P2P",IFERROR(INDEX(Mapping!$E$3:$E$6,MATCH($G3384,Mapping!$D$3:$D$6,0)),IFERROR(INDEX(Mapping!$B$3:$B$13,MATCH($J3384,Mapping!$A$3:$A$13,0)),"(unmapped)")),IFERROR(INDEX(Mapping!$B$17:$B$22,MATCH($F3384,Mapping!$A$17:$A$22,0)),$F3384)&amp;" "&amp;IF($G3384="Banking","Banking",IFERROR(INDEX(Mapping!$E$17:$E$28,MATCH($J3384,Mapping!$D$17:$D$28,0)),"(unmapped)")))))</f>
        <v/>
      </c>
    </row>
    <row r="3385" spans="11:11" x14ac:dyDescent="0.3">
      <c r="K3385" t="str">
        <f>IF($D3385="","",IFERROR(INDEX(Mapping!$H$3:$H$32,MATCH($B3385,Mapping!$G$3:$G$32,0)),IF(LEFT($F3385,3)="P2P",IFERROR(INDEX(Mapping!$E$3:$E$6,MATCH($G3385,Mapping!$D$3:$D$6,0)),IFERROR(INDEX(Mapping!$B$3:$B$13,MATCH($J3385,Mapping!$A$3:$A$13,0)),"(unmapped)")),IFERROR(INDEX(Mapping!$B$17:$B$22,MATCH($F3385,Mapping!$A$17:$A$22,0)),$F3385)&amp;" "&amp;IF($G3385="Banking","Banking",IFERROR(INDEX(Mapping!$E$17:$E$28,MATCH($J3385,Mapping!$D$17:$D$28,0)),"(unmapped)")))))</f>
        <v/>
      </c>
    </row>
    <row r="3386" spans="11:11" x14ac:dyDescent="0.3">
      <c r="K3386" t="str">
        <f>IF($D3386="","",IFERROR(INDEX(Mapping!$H$3:$H$32,MATCH($B3386,Mapping!$G$3:$G$32,0)),IF(LEFT($F3386,3)="P2P",IFERROR(INDEX(Mapping!$E$3:$E$6,MATCH($G3386,Mapping!$D$3:$D$6,0)),IFERROR(INDEX(Mapping!$B$3:$B$13,MATCH($J3386,Mapping!$A$3:$A$13,0)),"(unmapped)")),IFERROR(INDEX(Mapping!$B$17:$B$22,MATCH($F3386,Mapping!$A$17:$A$22,0)),$F3386)&amp;" "&amp;IF($G3386="Banking","Banking",IFERROR(INDEX(Mapping!$E$17:$E$28,MATCH($J3386,Mapping!$D$17:$D$28,0)),"(unmapped)")))))</f>
        <v/>
      </c>
    </row>
    <row r="3387" spans="11:11" x14ac:dyDescent="0.3">
      <c r="K3387" t="str">
        <f>IF($D3387="","",IFERROR(INDEX(Mapping!$H$3:$H$32,MATCH($B3387,Mapping!$G$3:$G$32,0)),IF(LEFT($F3387,3)="P2P",IFERROR(INDEX(Mapping!$E$3:$E$6,MATCH($G3387,Mapping!$D$3:$D$6,0)),IFERROR(INDEX(Mapping!$B$3:$B$13,MATCH($J3387,Mapping!$A$3:$A$13,0)),"(unmapped)")),IFERROR(INDEX(Mapping!$B$17:$B$22,MATCH($F3387,Mapping!$A$17:$A$22,0)),$F3387)&amp;" "&amp;IF($G3387="Banking","Banking",IFERROR(INDEX(Mapping!$E$17:$E$28,MATCH($J3387,Mapping!$D$17:$D$28,0)),"(unmapped)")))))</f>
        <v/>
      </c>
    </row>
    <row r="3388" spans="11:11" x14ac:dyDescent="0.3">
      <c r="K3388" t="str">
        <f>IF($D3388="","",IFERROR(INDEX(Mapping!$H$3:$H$32,MATCH($B3388,Mapping!$G$3:$G$32,0)),IF(LEFT($F3388,3)="P2P",IFERROR(INDEX(Mapping!$E$3:$E$6,MATCH($G3388,Mapping!$D$3:$D$6,0)),IFERROR(INDEX(Mapping!$B$3:$B$13,MATCH($J3388,Mapping!$A$3:$A$13,0)),"(unmapped)")),IFERROR(INDEX(Mapping!$B$17:$B$22,MATCH($F3388,Mapping!$A$17:$A$22,0)),$F3388)&amp;" "&amp;IF($G3388="Banking","Banking",IFERROR(INDEX(Mapping!$E$17:$E$28,MATCH($J3388,Mapping!$D$17:$D$28,0)),"(unmapped)")))))</f>
        <v/>
      </c>
    </row>
    <row r="3389" spans="11:11" x14ac:dyDescent="0.3">
      <c r="K3389" t="str">
        <f>IF($D3389="","",IFERROR(INDEX(Mapping!$H$3:$H$32,MATCH($B3389,Mapping!$G$3:$G$32,0)),IF(LEFT($F3389,3)="P2P",IFERROR(INDEX(Mapping!$E$3:$E$6,MATCH($G3389,Mapping!$D$3:$D$6,0)),IFERROR(INDEX(Mapping!$B$3:$B$13,MATCH($J3389,Mapping!$A$3:$A$13,0)),"(unmapped)")),IFERROR(INDEX(Mapping!$B$17:$B$22,MATCH($F3389,Mapping!$A$17:$A$22,0)),$F3389)&amp;" "&amp;IF($G3389="Banking","Banking",IFERROR(INDEX(Mapping!$E$17:$E$28,MATCH($J3389,Mapping!$D$17:$D$28,0)),"(unmapped)")))))</f>
        <v/>
      </c>
    </row>
    <row r="3390" spans="11:11" x14ac:dyDescent="0.3">
      <c r="K3390" t="str">
        <f>IF($D3390="","",IFERROR(INDEX(Mapping!$H$3:$H$32,MATCH($B3390,Mapping!$G$3:$G$32,0)),IF(LEFT($F3390,3)="P2P",IFERROR(INDEX(Mapping!$E$3:$E$6,MATCH($G3390,Mapping!$D$3:$D$6,0)),IFERROR(INDEX(Mapping!$B$3:$B$13,MATCH($J3390,Mapping!$A$3:$A$13,0)),"(unmapped)")),IFERROR(INDEX(Mapping!$B$17:$B$22,MATCH($F3390,Mapping!$A$17:$A$22,0)),$F3390)&amp;" "&amp;IF($G3390="Banking","Banking",IFERROR(INDEX(Mapping!$E$17:$E$28,MATCH($J3390,Mapping!$D$17:$D$28,0)),"(unmapped)")))))</f>
        <v/>
      </c>
    </row>
    <row r="3391" spans="11:11" x14ac:dyDescent="0.3">
      <c r="K3391" t="str">
        <f>IF($D3391="","",IFERROR(INDEX(Mapping!$H$3:$H$32,MATCH($B3391,Mapping!$G$3:$G$32,0)),IF(LEFT($F3391,3)="P2P",IFERROR(INDEX(Mapping!$E$3:$E$6,MATCH($G3391,Mapping!$D$3:$D$6,0)),IFERROR(INDEX(Mapping!$B$3:$B$13,MATCH($J3391,Mapping!$A$3:$A$13,0)),"(unmapped)")),IFERROR(INDEX(Mapping!$B$17:$B$22,MATCH($F3391,Mapping!$A$17:$A$22,0)),$F3391)&amp;" "&amp;IF($G3391="Banking","Banking",IFERROR(INDEX(Mapping!$E$17:$E$28,MATCH($J3391,Mapping!$D$17:$D$28,0)),"(unmapped)")))))</f>
        <v/>
      </c>
    </row>
    <row r="3392" spans="11:11" x14ac:dyDescent="0.3">
      <c r="K3392" t="str">
        <f>IF($D3392="","",IFERROR(INDEX(Mapping!$H$3:$H$32,MATCH($B3392,Mapping!$G$3:$G$32,0)),IF(LEFT($F3392,3)="P2P",IFERROR(INDEX(Mapping!$E$3:$E$6,MATCH($G3392,Mapping!$D$3:$D$6,0)),IFERROR(INDEX(Mapping!$B$3:$B$13,MATCH($J3392,Mapping!$A$3:$A$13,0)),"(unmapped)")),IFERROR(INDEX(Mapping!$B$17:$B$22,MATCH($F3392,Mapping!$A$17:$A$22,0)),$F3392)&amp;" "&amp;IF($G3392="Banking","Banking",IFERROR(INDEX(Mapping!$E$17:$E$28,MATCH($J3392,Mapping!$D$17:$D$28,0)),"(unmapped)")))))</f>
        <v/>
      </c>
    </row>
    <row r="3393" spans="11:11" x14ac:dyDescent="0.3">
      <c r="K3393" t="str">
        <f>IF($D3393="","",IFERROR(INDEX(Mapping!$H$3:$H$32,MATCH($B3393,Mapping!$G$3:$G$32,0)),IF(LEFT($F3393,3)="P2P",IFERROR(INDEX(Mapping!$E$3:$E$6,MATCH($G3393,Mapping!$D$3:$D$6,0)),IFERROR(INDEX(Mapping!$B$3:$B$13,MATCH($J3393,Mapping!$A$3:$A$13,0)),"(unmapped)")),IFERROR(INDEX(Mapping!$B$17:$B$22,MATCH($F3393,Mapping!$A$17:$A$22,0)),$F3393)&amp;" "&amp;IF($G3393="Banking","Banking",IFERROR(INDEX(Mapping!$E$17:$E$28,MATCH($J3393,Mapping!$D$17:$D$28,0)),"(unmapped)")))))</f>
        <v/>
      </c>
    </row>
    <row r="3394" spans="11:11" x14ac:dyDescent="0.3">
      <c r="K3394" t="str">
        <f>IF($D3394="","",IFERROR(INDEX(Mapping!$H$3:$H$32,MATCH($B3394,Mapping!$G$3:$G$32,0)),IF(LEFT($F3394,3)="P2P",IFERROR(INDEX(Mapping!$E$3:$E$6,MATCH($G3394,Mapping!$D$3:$D$6,0)),IFERROR(INDEX(Mapping!$B$3:$B$13,MATCH($J3394,Mapping!$A$3:$A$13,0)),"(unmapped)")),IFERROR(INDEX(Mapping!$B$17:$B$22,MATCH($F3394,Mapping!$A$17:$A$22,0)),$F3394)&amp;" "&amp;IF($G3394="Banking","Banking",IFERROR(INDEX(Mapping!$E$17:$E$28,MATCH($J3394,Mapping!$D$17:$D$28,0)),"(unmapped)")))))</f>
        <v/>
      </c>
    </row>
    <row r="3395" spans="11:11" x14ac:dyDescent="0.3">
      <c r="K3395" t="str">
        <f>IF($D3395="","",IFERROR(INDEX(Mapping!$H$3:$H$32,MATCH($B3395,Mapping!$G$3:$G$32,0)),IF(LEFT($F3395,3)="P2P",IFERROR(INDEX(Mapping!$E$3:$E$6,MATCH($G3395,Mapping!$D$3:$D$6,0)),IFERROR(INDEX(Mapping!$B$3:$B$13,MATCH($J3395,Mapping!$A$3:$A$13,0)),"(unmapped)")),IFERROR(INDEX(Mapping!$B$17:$B$22,MATCH($F3395,Mapping!$A$17:$A$22,0)),$F3395)&amp;" "&amp;IF($G3395="Banking","Banking",IFERROR(INDEX(Mapping!$E$17:$E$28,MATCH($J3395,Mapping!$D$17:$D$28,0)),"(unmapped)")))))</f>
        <v/>
      </c>
    </row>
    <row r="3396" spans="11:11" x14ac:dyDescent="0.3">
      <c r="K3396" t="str">
        <f>IF($D3396="","",IFERROR(INDEX(Mapping!$H$3:$H$32,MATCH($B3396,Mapping!$G$3:$G$32,0)),IF(LEFT($F3396,3)="P2P",IFERROR(INDEX(Mapping!$E$3:$E$6,MATCH($G3396,Mapping!$D$3:$D$6,0)),IFERROR(INDEX(Mapping!$B$3:$B$13,MATCH($J3396,Mapping!$A$3:$A$13,0)),"(unmapped)")),IFERROR(INDEX(Mapping!$B$17:$B$22,MATCH($F3396,Mapping!$A$17:$A$22,0)),$F3396)&amp;" "&amp;IF($G3396="Banking","Banking",IFERROR(INDEX(Mapping!$E$17:$E$28,MATCH($J3396,Mapping!$D$17:$D$28,0)),"(unmapped)")))))</f>
        <v/>
      </c>
    </row>
    <row r="3397" spans="11:11" x14ac:dyDescent="0.3">
      <c r="K3397" t="str">
        <f>IF($D3397="","",IFERROR(INDEX(Mapping!$H$3:$H$32,MATCH($B3397,Mapping!$G$3:$G$32,0)),IF(LEFT($F3397,3)="P2P",IFERROR(INDEX(Mapping!$E$3:$E$6,MATCH($G3397,Mapping!$D$3:$D$6,0)),IFERROR(INDEX(Mapping!$B$3:$B$13,MATCH($J3397,Mapping!$A$3:$A$13,0)),"(unmapped)")),IFERROR(INDEX(Mapping!$B$17:$B$22,MATCH($F3397,Mapping!$A$17:$A$22,0)),$F3397)&amp;" "&amp;IF($G3397="Banking","Banking",IFERROR(INDEX(Mapping!$E$17:$E$28,MATCH($J3397,Mapping!$D$17:$D$28,0)),"(unmapped)")))))</f>
        <v/>
      </c>
    </row>
    <row r="3398" spans="11:11" x14ac:dyDescent="0.3">
      <c r="K3398" t="str">
        <f>IF($D3398="","",IFERROR(INDEX(Mapping!$H$3:$H$32,MATCH($B3398,Mapping!$G$3:$G$32,0)),IF(LEFT($F3398,3)="P2P",IFERROR(INDEX(Mapping!$E$3:$E$6,MATCH($G3398,Mapping!$D$3:$D$6,0)),IFERROR(INDEX(Mapping!$B$3:$B$13,MATCH($J3398,Mapping!$A$3:$A$13,0)),"(unmapped)")),IFERROR(INDEX(Mapping!$B$17:$B$22,MATCH($F3398,Mapping!$A$17:$A$22,0)),$F3398)&amp;" "&amp;IF($G3398="Banking","Banking",IFERROR(INDEX(Mapping!$E$17:$E$28,MATCH($J3398,Mapping!$D$17:$D$28,0)),"(unmapped)")))))</f>
        <v/>
      </c>
    </row>
    <row r="3399" spans="11:11" x14ac:dyDescent="0.3">
      <c r="K3399" t="str">
        <f>IF($D3399="","",IFERROR(INDEX(Mapping!$H$3:$H$32,MATCH($B3399,Mapping!$G$3:$G$32,0)),IF(LEFT($F3399,3)="P2P",IFERROR(INDEX(Mapping!$E$3:$E$6,MATCH($G3399,Mapping!$D$3:$D$6,0)),IFERROR(INDEX(Mapping!$B$3:$B$13,MATCH($J3399,Mapping!$A$3:$A$13,0)),"(unmapped)")),IFERROR(INDEX(Mapping!$B$17:$B$22,MATCH($F3399,Mapping!$A$17:$A$22,0)),$F3399)&amp;" "&amp;IF($G3399="Banking","Banking",IFERROR(INDEX(Mapping!$E$17:$E$28,MATCH($J3399,Mapping!$D$17:$D$28,0)),"(unmapped)")))))</f>
        <v/>
      </c>
    </row>
    <row r="3400" spans="11:11" x14ac:dyDescent="0.3">
      <c r="K3400" t="str">
        <f>IF($D3400="","",IFERROR(INDEX(Mapping!$H$3:$H$32,MATCH($B3400,Mapping!$G$3:$G$32,0)),IF(LEFT($F3400,3)="P2P",IFERROR(INDEX(Mapping!$E$3:$E$6,MATCH($G3400,Mapping!$D$3:$D$6,0)),IFERROR(INDEX(Mapping!$B$3:$B$13,MATCH($J3400,Mapping!$A$3:$A$13,0)),"(unmapped)")),IFERROR(INDEX(Mapping!$B$17:$B$22,MATCH($F3400,Mapping!$A$17:$A$22,0)),$F3400)&amp;" "&amp;IF($G3400="Banking","Banking",IFERROR(INDEX(Mapping!$E$17:$E$28,MATCH($J3400,Mapping!$D$17:$D$28,0)),"(unmapped)")))))</f>
        <v/>
      </c>
    </row>
    <row r="3401" spans="11:11" x14ac:dyDescent="0.3">
      <c r="K3401" t="str">
        <f>IF($D3401="","",IFERROR(INDEX(Mapping!$H$3:$H$32,MATCH($B3401,Mapping!$G$3:$G$32,0)),IF(LEFT($F3401,3)="P2P",IFERROR(INDEX(Mapping!$E$3:$E$6,MATCH($G3401,Mapping!$D$3:$D$6,0)),IFERROR(INDEX(Mapping!$B$3:$B$13,MATCH($J3401,Mapping!$A$3:$A$13,0)),"(unmapped)")),IFERROR(INDEX(Mapping!$B$17:$B$22,MATCH($F3401,Mapping!$A$17:$A$22,0)),$F3401)&amp;" "&amp;IF($G3401="Banking","Banking",IFERROR(INDEX(Mapping!$E$17:$E$28,MATCH($J3401,Mapping!$D$17:$D$28,0)),"(unmapped)")))))</f>
        <v/>
      </c>
    </row>
    <row r="3402" spans="11:11" x14ac:dyDescent="0.3">
      <c r="K3402" t="str">
        <f>IF($D3402="","",IFERROR(INDEX(Mapping!$H$3:$H$32,MATCH($B3402,Mapping!$G$3:$G$32,0)),IF(LEFT($F3402,3)="P2P",IFERROR(INDEX(Mapping!$E$3:$E$6,MATCH($G3402,Mapping!$D$3:$D$6,0)),IFERROR(INDEX(Mapping!$B$3:$B$13,MATCH($J3402,Mapping!$A$3:$A$13,0)),"(unmapped)")),IFERROR(INDEX(Mapping!$B$17:$B$22,MATCH($F3402,Mapping!$A$17:$A$22,0)),$F3402)&amp;" "&amp;IF($G3402="Banking","Banking",IFERROR(INDEX(Mapping!$E$17:$E$28,MATCH($J3402,Mapping!$D$17:$D$28,0)),"(unmapped)")))))</f>
        <v/>
      </c>
    </row>
    <row r="3403" spans="11:11" x14ac:dyDescent="0.3">
      <c r="K3403" t="str">
        <f>IF($D3403="","",IFERROR(INDEX(Mapping!$H$3:$H$32,MATCH($B3403,Mapping!$G$3:$G$32,0)),IF(LEFT($F3403,3)="P2P",IFERROR(INDEX(Mapping!$E$3:$E$6,MATCH($G3403,Mapping!$D$3:$D$6,0)),IFERROR(INDEX(Mapping!$B$3:$B$13,MATCH($J3403,Mapping!$A$3:$A$13,0)),"(unmapped)")),IFERROR(INDEX(Mapping!$B$17:$B$22,MATCH($F3403,Mapping!$A$17:$A$22,0)),$F3403)&amp;" "&amp;IF($G3403="Banking","Banking",IFERROR(INDEX(Mapping!$E$17:$E$28,MATCH($J3403,Mapping!$D$17:$D$28,0)),"(unmapped)")))))</f>
        <v/>
      </c>
    </row>
    <row r="3404" spans="11:11" x14ac:dyDescent="0.3">
      <c r="K3404" t="str">
        <f>IF($D3404="","",IFERROR(INDEX(Mapping!$H$3:$H$32,MATCH($B3404,Mapping!$G$3:$G$32,0)),IF(LEFT($F3404,3)="P2P",IFERROR(INDEX(Mapping!$E$3:$E$6,MATCH($G3404,Mapping!$D$3:$D$6,0)),IFERROR(INDEX(Mapping!$B$3:$B$13,MATCH($J3404,Mapping!$A$3:$A$13,0)),"(unmapped)")),IFERROR(INDEX(Mapping!$B$17:$B$22,MATCH($F3404,Mapping!$A$17:$A$22,0)),$F3404)&amp;" "&amp;IF($G3404="Banking","Banking",IFERROR(INDEX(Mapping!$E$17:$E$28,MATCH($J3404,Mapping!$D$17:$D$28,0)),"(unmapped)")))))</f>
        <v/>
      </c>
    </row>
    <row r="3405" spans="11:11" x14ac:dyDescent="0.3">
      <c r="K3405" t="str">
        <f>IF($D3405="","",IFERROR(INDEX(Mapping!$H$3:$H$32,MATCH($B3405,Mapping!$G$3:$G$32,0)),IF(LEFT($F3405,3)="P2P",IFERROR(INDEX(Mapping!$E$3:$E$6,MATCH($G3405,Mapping!$D$3:$D$6,0)),IFERROR(INDEX(Mapping!$B$3:$B$13,MATCH($J3405,Mapping!$A$3:$A$13,0)),"(unmapped)")),IFERROR(INDEX(Mapping!$B$17:$B$22,MATCH($F3405,Mapping!$A$17:$A$22,0)),$F3405)&amp;" "&amp;IF($G3405="Banking","Banking",IFERROR(INDEX(Mapping!$E$17:$E$28,MATCH($J3405,Mapping!$D$17:$D$28,0)),"(unmapped)")))))</f>
        <v/>
      </c>
    </row>
    <row r="3406" spans="11:11" x14ac:dyDescent="0.3">
      <c r="K3406" t="str">
        <f>IF($D3406="","",IFERROR(INDEX(Mapping!$H$3:$H$32,MATCH($B3406,Mapping!$G$3:$G$32,0)),IF(LEFT($F3406,3)="P2P",IFERROR(INDEX(Mapping!$E$3:$E$6,MATCH($G3406,Mapping!$D$3:$D$6,0)),IFERROR(INDEX(Mapping!$B$3:$B$13,MATCH($J3406,Mapping!$A$3:$A$13,0)),"(unmapped)")),IFERROR(INDEX(Mapping!$B$17:$B$22,MATCH($F3406,Mapping!$A$17:$A$22,0)),$F3406)&amp;" "&amp;IF($G3406="Banking","Banking",IFERROR(INDEX(Mapping!$E$17:$E$28,MATCH($J3406,Mapping!$D$17:$D$28,0)),"(unmapped)")))))</f>
        <v/>
      </c>
    </row>
    <row r="3407" spans="11:11" x14ac:dyDescent="0.3">
      <c r="K3407" t="str">
        <f>IF($D3407="","",IFERROR(INDEX(Mapping!$H$3:$H$32,MATCH($B3407,Mapping!$G$3:$G$32,0)),IF(LEFT($F3407,3)="P2P",IFERROR(INDEX(Mapping!$E$3:$E$6,MATCH($G3407,Mapping!$D$3:$D$6,0)),IFERROR(INDEX(Mapping!$B$3:$B$13,MATCH($J3407,Mapping!$A$3:$A$13,0)),"(unmapped)")),IFERROR(INDEX(Mapping!$B$17:$B$22,MATCH($F3407,Mapping!$A$17:$A$22,0)),$F3407)&amp;" "&amp;IF($G3407="Banking","Banking",IFERROR(INDEX(Mapping!$E$17:$E$28,MATCH($J3407,Mapping!$D$17:$D$28,0)),"(unmapped)")))))</f>
        <v/>
      </c>
    </row>
    <row r="3408" spans="11:11" x14ac:dyDescent="0.3">
      <c r="K3408" t="str">
        <f>IF($D3408="","",IFERROR(INDEX(Mapping!$H$3:$H$32,MATCH($B3408,Mapping!$G$3:$G$32,0)),IF(LEFT($F3408,3)="P2P",IFERROR(INDEX(Mapping!$E$3:$E$6,MATCH($G3408,Mapping!$D$3:$D$6,0)),IFERROR(INDEX(Mapping!$B$3:$B$13,MATCH($J3408,Mapping!$A$3:$A$13,0)),"(unmapped)")),IFERROR(INDEX(Mapping!$B$17:$B$22,MATCH($F3408,Mapping!$A$17:$A$22,0)),$F3408)&amp;" "&amp;IF($G3408="Banking","Banking",IFERROR(INDEX(Mapping!$E$17:$E$28,MATCH($J3408,Mapping!$D$17:$D$28,0)),"(unmapped)")))))</f>
        <v/>
      </c>
    </row>
    <row r="3409" spans="11:11" x14ac:dyDescent="0.3">
      <c r="K3409" t="str">
        <f>IF($D3409="","",IFERROR(INDEX(Mapping!$H$3:$H$32,MATCH($B3409,Mapping!$G$3:$G$32,0)),IF(LEFT($F3409,3)="P2P",IFERROR(INDEX(Mapping!$E$3:$E$6,MATCH($G3409,Mapping!$D$3:$D$6,0)),IFERROR(INDEX(Mapping!$B$3:$B$13,MATCH($J3409,Mapping!$A$3:$A$13,0)),"(unmapped)")),IFERROR(INDEX(Mapping!$B$17:$B$22,MATCH($F3409,Mapping!$A$17:$A$22,0)),$F3409)&amp;" "&amp;IF($G3409="Banking","Banking",IFERROR(INDEX(Mapping!$E$17:$E$28,MATCH($J3409,Mapping!$D$17:$D$28,0)),"(unmapped)")))))</f>
        <v/>
      </c>
    </row>
    <row r="3410" spans="11:11" x14ac:dyDescent="0.3">
      <c r="K3410" t="str">
        <f>IF($D3410="","",IFERROR(INDEX(Mapping!$H$3:$H$32,MATCH($B3410,Mapping!$G$3:$G$32,0)),IF(LEFT($F3410,3)="P2P",IFERROR(INDEX(Mapping!$E$3:$E$6,MATCH($G3410,Mapping!$D$3:$D$6,0)),IFERROR(INDEX(Mapping!$B$3:$B$13,MATCH($J3410,Mapping!$A$3:$A$13,0)),"(unmapped)")),IFERROR(INDEX(Mapping!$B$17:$B$22,MATCH($F3410,Mapping!$A$17:$A$22,0)),$F3410)&amp;" "&amp;IF($G3410="Banking","Banking",IFERROR(INDEX(Mapping!$E$17:$E$28,MATCH($J3410,Mapping!$D$17:$D$28,0)),"(unmapped)")))))</f>
        <v/>
      </c>
    </row>
    <row r="3411" spans="11:11" x14ac:dyDescent="0.3">
      <c r="K3411" t="str">
        <f>IF($D3411="","",IFERROR(INDEX(Mapping!$H$3:$H$32,MATCH($B3411,Mapping!$G$3:$G$32,0)),IF(LEFT($F3411,3)="P2P",IFERROR(INDEX(Mapping!$E$3:$E$6,MATCH($G3411,Mapping!$D$3:$D$6,0)),IFERROR(INDEX(Mapping!$B$3:$B$13,MATCH($J3411,Mapping!$A$3:$A$13,0)),"(unmapped)")),IFERROR(INDEX(Mapping!$B$17:$B$22,MATCH($F3411,Mapping!$A$17:$A$22,0)),$F3411)&amp;" "&amp;IF($G3411="Banking","Banking",IFERROR(INDEX(Mapping!$E$17:$E$28,MATCH($J3411,Mapping!$D$17:$D$28,0)),"(unmapped)")))))</f>
        <v/>
      </c>
    </row>
    <row r="3412" spans="11:11" x14ac:dyDescent="0.3">
      <c r="K3412" t="str">
        <f>IF($D3412="","",IFERROR(INDEX(Mapping!$H$3:$H$32,MATCH($B3412,Mapping!$G$3:$G$32,0)),IF(LEFT($F3412,3)="P2P",IFERROR(INDEX(Mapping!$E$3:$E$6,MATCH($G3412,Mapping!$D$3:$D$6,0)),IFERROR(INDEX(Mapping!$B$3:$B$13,MATCH($J3412,Mapping!$A$3:$A$13,0)),"(unmapped)")),IFERROR(INDEX(Mapping!$B$17:$B$22,MATCH($F3412,Mapping!$A$17:$A$22,0)),$F3412)&amp;" "&amp;IF($G3412="Banking","Banking",IFERROR(INDEX(Mapping!$E$17:$E$28,MATCH($J3412,Mapping!$D$17:$D$28,0)),"(unmapped)")))))</f>
        <v/>
      </c>
    </row>
    <row r="3413" spans="11:11" x14ac:dyDescent="0.3">
      <c r="K3413" t="str">
        <f>IF($D3413="","",IFERROR(INDEX(Mapping!$H$3:$H$32,MATCH($B3413,Mapping!$G$3:$G$32,0)),IF(LEFT($F3413,3)="P2P",IFERROR(INDEX(Mapping!$E$3:$E$6,MATCH($G3413,Mapping!$D$3:$D$6,0)),IFERROR(INDEX(Mapping!$B$3:$B$13,MATCH($J3413,Mapping!$A$3:$A$13,0)),"(unmapped)")),IFERROR(INDEX(Mapping!$B$17:$B$22,MATCH($F3413,Mapping!$A$17:$A$22,0)),$F3413)&amp;" "&amp;IF($G3413="Banking","Banking",IFERROR(INDEX(Mapping!$E$17:$E$28,MATCH($J3413,Mapping!$D$17:$D$28,0)),"(unmapped)")))))</f>
        <v/>
      </c>
    </row>
    <row r="3414" spans="11:11" x14ac:dyDescent="0.3">
      <c r="K3414" t="str">
        <f>IF($D3414="","",IFERROR(INDEX(Mapping!$H$3:$H$32,MATCH($B3414,Mapping!$G$3:$G$32,0)),IF(LEFT($F3414,3)="P2P",IFERROR(INDEX(Mapping!$E$3:$E$6,MATCH($G3414,Mapping!$D$3:$D$6,0)),IFERROR(INDEX(Mapping!$B$3:$B$13,MATCH($J3414,Mapping!$A$3:$A$13,0)),"(unmapped)")),IFERROR(INDEX(Mapping!$B$17:$B$22,MATCH($F3414,Mapping!$A$17:$A$22,0)),$F3414)&amp;" "&amp;IF($G3414="Banking","Banking",IFERROR(INDEX(Mapping!$E$17:$E$28,MATCH($J3414,Mapping!$D$17:$D$28,0)),"(unmapped)")))))</f>
        <v/>
      </c>
    </row>
    <row r="3415" spans="11:11" x14ac:dyDescent="0.3">
      <c r="K3415" t="str">
        <f>IF($D3415="","",IFERROR(INDEX(Mapping!$H$3:$H$32,MATCH($B3415,Mapping!$G$3:$G$32,0)),IF(LEFT($F3415,3)="P2P",IFERROR(INDEX(Mapping!$E$3:$E$6,MATCH($G3415,Mapping!$D$3:$D$6,0)),IFERROR(INDEX(Mapping!$B$3:$B$13,MATCH($J3415,Mapping!$A$3:$A$13,0)),"(unmapped)")),IFERROR(INDEX(Mapping!$B$17:$B$22,MATCH($F3415,Mapping!$A$17:$A$22,0)),$F3415)&amp;" "&amp;IF($G3415="Banking","Banking",IFERROR(INDEX(Mapping!$E$17:$E$28,MATCH($J3415,Mapping!$D$17:$D$28,0)),"(unmapped)")))))</f>
        <v/>
      </c>
    </row>
    <row r="3416" spans="11:11" x14ac:dyDescent="0.3">
      <c r="K3416" t="str">
        <f>IF($D3416="","",IFERROR(INDEX(Mapping!$H$3:$H$32,MATCH($B3416,Mapping!$G$3:$G$32,0)),IF(LEFT($F3416,3)="P2P",IFERROR(INDEX(Mapping!$E$3:$E$6,MATCH($G3416,Mapping!$D$3:$D$6,0)),IFERROR(INDEX(Mapping!$B$3:$B$13,MATCH($J3416,Mapping!$A$3:$A$13,0)),"(unmapped)")),IFERROR(INDEX(Mapping!$B$17:$B$22,MATCH($F3416,Mapping!$A$17:$A$22,0)),$F3416)&amp;" "&amp;IF($G3416="Banking","Banking",IFERROR(INDEX(Mapping!$E$17:$E$28,MATCH($J3416,Mapping!$D$17:$D$28,0)),"(unmapped)")))))</f>
        <v/>
      </c>
    </row>
    <row r="3417" spans="11:11" x14ac:dyDescent="0.3">
      <c r="K3417" t="str">
        <f>IF($D3417="","",IFERROR(INDEX(Mapping!$H$3:$H$32,MATCH($B3417,Mapping!$G$3:$G$32,0)),IF(LEFT($F3417,3)="P2P",IFERROR(INDEX(Mapping!$E$3:$E$6,MATCH($G3417,Mapping!$D$3:$D$6,0)),IFERROR(INDEX(Mapping!$B$3:$B$13,MATCH($J3417,Mapping!$A$3:$A$13,0)),"(unmapped)")),IFERROR(INDEX(Mapping!$B$17:$B$22,MATCH($F3417,Mapping!$A$17:$A$22,0)),$F3417)&amp;" "&amp;IF($G3417="Banking","Banking",IFERROR(INDEX(Mapping!$E$17:$E$28,MATCH($J3417,Mapping!$D$17:$D$28,0)),"(unmapped)")))))</f>
        <v/>
      </c>
    </row>
    <row r="3418" spans="11:11" x14ac:dyDescent="0.3">
      <c r="K3418" t="str">
        <f>IF($D3418="","",IFERROR(INDEX(Mapping!$H$3:$H$32,MATCH($B3418,Mapping!$G$3:$G$32,0)),IF(LEFT($F3418,3)="P2P",IFERROR(INDEX(Mapping!$E$3:$E$6,MATCH($G3418,Mapping!$D$3:$D$6,0)),IFERROR(INDEX(Mapping!$B$3:$B$13,MATCH($J3418,Mapping!$A$3:$A$13,0)),"(unmapped)")),IFERROR(INDEX(Mapping!$B$17:$B$22,MATCH($F3418,Mapping!$A$17:$A$22,0)),$F3418)&amp;" "&amp;IF($G3418="Banking","Banking",IFERROR(INDEX(Mapping!$E$17:$E$28,MATCH($J3418,Mapping!$D$17:$D$28,0)),"(unmapped)")))))</f>
        <v/>
      </c>
    </row>
    <row r="3419" spans="11:11" x14ac:dyDescent="0.3">
      <c r="K3419" t="str">
        <f>IF($D3419="","",IFERROR(INDEX(Mapping!$H$3:$H$32,MATCH($B3419,Mapping!$G$3:$G$32,0)),IF(LEFT($F3419,3)="P2P",IFERROR(INDEX(Mapping!$E$3:$E$6,MATCH($G3419,Mapping!$D$3:$D$6,0)),IFERROR(INDEX(Mapping!$B$3:$B$13,MATCH($J3419,Mapping!$A$3:$A$13,0)),"(unmapped)")),IFERROR(INDEX(Mapping!$B$17:$B$22,MATCH($F3419,Mapping!$A$17:$A$22,0)),$F3419)&amp;" "&amp;IF($G3419="Banking","Banking",IFERROR(INDEX(Mapping!$E$17:$E$28,MATCH($J3419,Mapping!$D$17:$D$28,0)),"(unmapped)")))))</f>
        <v/>
      </c>
    </row>
    <row r="3420" spans="11:11" x14ac:dyDescent="0.3">
      <c r="K3420" t="str">
        <f>IF($D3420="","",IFERROR(INDEX(Mapping!$H$3:$H$32,MATCH($B3420,Mapping!$G$3:$G$32,0)),IF(LEFT($F3420,3)="P2P",IFERROR(INDEX(Mapping!$E$3:$E$6,MATCH($G3420,Mapping!$D$3:$D$6,0)),IFERROR(INDEX(Mapping!$B$3:$B$13,MATCH($J3420,Mapping!$A$3:$A$13,0)),"(unmapped)")),IFERROR(INDEX(Mapping!$B$17:$B$22,MATCH($F3420,Mapping!$A$17:$A$22,0)),$F3420)&amp;" "&amp;IF($G3420="Banking","Banking",IFERROR(INDEX(Mapping!$E$17:$E$28,MATCH($J3420,Mapping!$D$17:$D$28,0)),"(unmapped)")))))</f>
        <v/>
      </c>
    </row>
    <row r="3421" spans="11:11" x14ac:dyDescent="0.3">
      <c r="K3421" t="str">
        <f>IF($D3421="","",IFERROR(INDEX(Mapping!$H$3:$H$32,MATCH($B3421,Mapping!$G$3:$G$32,0)),IF(LEFT($F3421,3)="P2P",IFERROR(INDEX(Mapping!$E$3:$E$6,MATCH($G3421,Mapping!$D$3:$D$6,0)),IFERROR(INDEX(Mapping!$B$3:$B$13,MATCH($J3421,Mapping!$A$3:$A$13,0)),"(unmapped)")),IFERROR(INDEX(Mapping!$B$17:$B$22,MATCH($F3421,Mapping!$A$17:$A$22,0)),$F3421)&amp;" "&amp;IF($G3421="Banking","Banking",IFERROR(INDEX(Mapping!$E$17:$E$28,MATCH($J3421,Mapping!$D$17:$D$28,0)),"(unmapped)")))))</f>
        <v/>
      </c>
    </row>
    <row r="3422" spans="11:11" x14ac:dyDescent="0.3">
      <c r="K3422" t="str">
        <f>IF($D3422="","",IFERROR(INDEX(Mapping!$H$3:$H$32,MATCH($B3422,Mapping!$G$3:$G$32,0)),IF(LEFT($F3422,3)="P2P",IFERROR(INDEX(Mapping!$E$3:$E$6,MATCH($G3422,Mapping!$D$3:$D$6,0)),IFERROR(INDEX(Mapping!$B$3:$B$13,MATCH($J3422,Mapping!$A$3:$A$13,0)),"(unmapped)")),IFERROR(INDEX(Mapping!$B$17:$B$22,MATCH($F3422,Mapping!$A$17:$A$22,0)),$F3422)&amp;" "&amp;IF($G3422="Banking","Banking",IFERROR(INDEX(Mapping!$E$17:$E$28,MATCH($J3422,Mapping!$D$17:$D$28,0)),"(unmapped)")))))</f>
        <v/>
      </c>
    </row>
    <row r="3423" spans="11:11" x14ac:dyDescent="0.3">
      <c r="K3423" t="str">
        <f>IF($D3423="","",IFERROR(INDEX(Mapping!$H$3:$H$32,MATCH($B3423,Mapping!$G$3:$G$32,0)),IF(LEFT($F3423,3)="P2P",IFERROR(INDEX(Mapping!$E$3:$E$6,MATCH($G3423,Mapping!$D$3:$D$6,0)),IFERROR(INDEX(Mapping!$B$3:$B$13,MATCH($J3423,Mapping!$A$3:$A$13,0)),"(unmapped)")),IFERROR(INDEX(Mapping!$B$17:$B$22,MATCH($F3423,Mapping!$A$17:$A$22,0)),$F3423)&amp;" "&amp;IF($G3423="Banking","Banking",IFERROR(INDEX(Mapping!$E$17:$E$28,MATCH($J3423,Mapping!$D$17:$D$28,0)),"(unmapped)")))))</f>
        <v/>
      </c>
    </row>
    <row r="3424" spans="11:11" x14ac:dyDescent="0.3">
      <c r="K3424" t="str">
        <f>IF($D3424="","",IFERROR(INDEX(Mapping!$H$3:$H$32,MATCH($B3424,Mapping!$G$3:$G$32,0)),IF(LEFT($F3424,3)="P2P",IFERROR(INDEX(Mapping!$E$3:$E$6,MATCH($G3424,Mapping!$D$3:$D$6,0)),IFERROR(INDEX(Mapping!$B$3:$B$13,MATCH($J3424,Mapping!$A$3:$A$13,0)),"(unmapped)")),IFERROR(INDEX(Mapping!$B$17:$B$22,MATCH($F3424,Mapping!$A$17:$A$22,0)),$F3424)&amp;" "&amp;IF($G3424="Banking","Banking",IFERROR(INDEX(Mapping!$E$17:$E$28,MATCH($J3424,Mapping!$D$17:$D$28,0)),"(unmapped)")))))</f>
        <v/>
      </c>
    </row>
    <row r="3425" spans="11:11" x14ac:dyDescent="0.3">
      <c r="K3425" t="str">
        <f>IF($D3425="","",IFERROR(INDEX(Mapping!$H$3:$H$32,MATCH($B3425,Mapping!$G$3:$G$32,0)),IF(LEFT($F3425,3)="P2P",IFERROR(INDEX(Mapping!$E$3:$E$6,MATCH($G3425,Mapping!$D$3:$D$6,0)),IFERROR(INDEX(Mapping!$B$3:$B$13,MATCH($J3425,Mapping!$A$3:$A$13,0)),"(unmapped)")),IFERROR(INDEX(Mapping!$B$17:$B$22,MATCH($F3425,Mapping!$A$17:$A$22,0)),$F3425)&amp;" "&amp;IF($G3425="Banking","Banking",IFERROR(INDEX(Mapping!$E$17:$E$28,MATCH($J3425,Mapping!$D$17:$D$28,0)),"(unmapped)")))))</f>
        <v/>
      </c>
    </row>
    <row r="3426" spans="11:11" x14ac:dyDescent="0.3">
      <c r="K3426" t="str">
        <f>IF($D3426="","",IFERROR(INDEX(Mapping!$H$3:$H$32,MATCH($B3426,Mapping!$G$3:$G$32,0)),IF(LEFT($F3426,3)="P2P",IFERROR(INDEX(Mapping!$E$3:$E$6,MATCH($G3426,Mapping!$D$3:$D$6,0)),IFERROR(INDEX(Mapping!$B$3:$B$13,MATCH($J3426,Mapping!$A$3:$A$13,0)),"(unmapped)")),IFERROR(INDEX(Mapping!$B$17:$B$22,MATCH($F3426,Mapping!$A$17:$A$22,0)),$F3426)&amp;" "&amp;IF($G3426="Banking","Banking",IFERROR(INDEX(Mapping!$E$17:$E$28,MATCH($J3426,Mapping!$D$17:$D$28,0)),"(unmapped)")))))</f>
        <v/>
      </c>
    </row>
    <row r="3427" spans="11:11" x14ac:dyDescent="0.3">
      <c r="K3427" t="str">
        <f>IF($D3427="","",IFERROR(INDEX(Mapping!$H$3:$H$32,MATCH($B3427,Mapping!$G$3:$G$32,0)),IF(LEFT($F3427,3)="P2P",IFERROR(INDEX(Mapping!$E$3:$E$6,MATCH($G3427,Mapping!$D$3:$D$6,0)),IFERROR(INDEX(Mapping!$B$3:$B$13,MATCH($J3427,Mapping!$A$3:$A$13,0)),"(unmapped)")),IFERROR(INDEX(Mapping!$B$17:$B$22,MATCH($F3427,Mapping!$A$17:$A$22,0)),$F3427)&amp;" "&amp;IF($G3427="Banking","Banking",IFERROR(INDEX(Mapping!$E$17:$E$28,MATCH($J3427,Mapping!$D$17:$D$28,0)),"(unmapped)")))))</f>
        <v/>
      </c>
    </row>
    <row r="3428" spans="11:11" x14ac:dyDescent="0.3">
      <c r="K3428" t="str">
        <f>IF($D3428="","",IFERROR(INDEX(Mapping!$H$3:$H$32,MATCH($B3428,Mapping!$G$3:$G$32,0)),IF(LEFT($F3428,3)="P2P",IFERROR(INDEX(Mapping!$E$3:$E$6,MATCH($G3428,Mapping!$D$3:$D$6,0)),IFERROR(INDEX(Mapping!$B$3:$B$13,MATCH($J3428,Mapping!$A$3:$A$13,0)),"(unmapped)")),IFERROR(INDEX(Mapping!$B$17:$B$22,MATCH($F3428,Mapping!$A$17:$A$22,0)),$F3428)&amp;" "&amp;IF($G3428="Banking","Banking",IFERROR(INDEX(Mapping!$E$17:$E$28,MATCH($J3428,Mapping!$D$17:$D$28,0)),"(unmapped)")))))</f>
        <v/>
      </c>
    </row>
    <row r="3429" spans="11:11" x14ac:dyDescent="0.3">
      <c r="K3429" t="str">
        <f>IF($D3429="","",IFERROR(INDEX(Mapping!$H$3:$H$32,MATCH($B3429,Mapping!$G$3:$G$32,0)),IF(LEFT($F3429,3)="P2P",IFERROR(INDEX(Mapping!$E$3:$E$6,MATCH($G3429,Mapping!$D$3:$D$6,0)),IFERROR(INDEX(Mapping!$B$3:$B$13,MATCH($J3429,Mapping!$A$3:$A$13,0)),"(unmapped)")),IFERROR(INDEX(Mapping!$B$17:$B$22,MATCH($F3429,Mapping!$A$17:$A$22,0)),$F3429)&amp;" "&amp;IF($G3429="Banking","Banking",IFERROR(INDEX(Mapping!$E$17:$E$28,MATCH($J3429,Mapping!$D$17:$D$28,0)),"(unmapped)")))))</f>
        <v/>
      </c>
    </row>
    <row r="3430" spans="11:11" x14ac:dyDescent="0.3">
      <c r="K3430" t="str">
        <f>IF($D3430="","",IFERROR(INDEX(Mapping!$H$3:$H$32,MATCH($B3430,Mapping!$G$3:$G$32,0)),IF(LEFT($F3430,3)="P2P",IFERROR(INDEX(Mapping!$E$3:$E$6,MATCH($G3430,Mapping!$D$3:$D$6,0)),IFERROR(INDEX(Mapping!$B$3:$B$13,MATCH($J3430,Mapping!$A$3:$A$13,0)),"(unmapped)")),IFERROR(INDEX(Mapping!$B$17:$B$22,MATCH($F3430,Mapping!$A$17:$A$22,0)),$F3430)&amp;" "&amp;IF($G3430="Banking","Banking",IFERROR(INDEX(Mapping!$E$17:$E$28,MATCH($J3430,Mapping!$D$17:$D$28,0)),"(unmapped)")))))</f>
        <v/>
      </c>
    </row>
    <row r="3431" spans="11:11" x14ac:dyDescent="0.3">
      <c r="K3431" t="str">
        <f>IF($D3431="","",IFERROR(INDEX(Mapping!$H$3:$H$32,MATCH($B3431,Mapping!$G$3:$G$32,0)),IF(LEFT($F3431,3)="P2P",IFERROR(INDEX(Mapping!$E$3:$E$6,MATCH($G3431,Mapping!$D$3:$D$6,0)),IFERROR(INDEX(Mapping!$B$3:$B$13,MATCH($J3431,Mapping!$A$3:$A$13,0)),"(unmapped)")),IFERROR(INDEX(Mapping!$B$17:$B$22,MATCH($F3431,Mapping!$A$17:$A$22,0)),$F3431)&amp;" "&amp;IF($G3431="Banking","Banking",IFERROR(INDEX(Mapping!$E$17:$E$28,MATCH($J3431,Mapping!$D$17:$D$28,0)),"(unmapped)")))))</f>
        <v/>
      </c>
    </row>
    <row r="3432" spans="11:11" x14ac:dyDescent="0.3">
      <c r="K3432" t="str">
        <f>IF($D3432="","",IFERROR(INDEX(Mapping!$H$3:$H$32,MATCH($B3432,Mapping!$G$3:$G$32,0)),IF(LEFT($F3432,3)="P2P",IFERROR(INDEX(Mapping!$E$3:$E$6,MATCH($G3432,Mapping!$D$3:$D$6,0)),IFERROR(INDEX(Mapping!$B$3:$B$13,MATCH($J3432,Mapping!$A$3:$A$13,0)),"(unmapped)")),IFERROR(INDEX(Mapping!$B$17:$B$22,MATCH($F3432,Mapping!$A$17:$A$22,0)),$F3432)&amp;" "&amp;IF($G3432="Banking","Banking",IFERROR(INDEX(Mapping!$E$17:$E$28,MATCH($J3432,Mapping!$D$17:$D$28,0)),"(unmapped)")))))</f>
        <v/>
      </c>
    </row>
    <row r="3433" spans="11:11" x14ac:dyDescent="0.3">
      <c r="K3433" t="str">
        <f>IF($D3433="","",IFERROR(INDEX(Mapping!$H$3:$H$32,MATCH($B3433,Mapping!$G$3:$G$32,0)),IF(LEFT($F3433,3)="P2P",IFERROR(INDEX(Mapping!$E$3:$E$6,MATCH($G3433,Mapping!$D$3:$D$6,0)),IFERROR(INDEX(Mapping!$B$3:$B$13,MATCH($J3433,Mapping!$A$3:$A$13,0)),"(unmapped)")),IFERROR(INDEX(Mapping!$B$17:$B$22,MATCH($F3433,Mapping!$A$17:$A$22,0)),$F3433)&amp;" "&amp;IF($G3433="Banking","Banking",IFERROR(INDEX(Mapping!$E$17:$E$28,MATCH($J3433,Mapping!$D$17:$D$28,0)),"(unmapped)")))))</f>
        <v/>
      </c>
    </row>
    <row r="3434" spans="11:11" x14ac:dyDescent="0.3">
      <c r="K3434" t="str">
        <f>IF($D3434="","",IFERROR(INDEX(Mapping!$H$3:$H$32,MATCH($B3434,Mapping!$G$3:$G$32,0)),IF(LEFT($F3434,3)="P2P",IFERROR(INDEX(Mapping!$E$3:$E$6,MATCH($G3434,Mapping!$D$3:$D$6,0)),IFERROR(INDEX(Mapping!$B$3:$B$13,MATCH($J3434,Mapping!$A$3:$A$13,0)),"(unmapped)")),IFERROR(INDEX(Mapping!$B$17:$B$22,MATCH($F3434,Mapping!$A$17:$A$22,0)),$F3434)&amp;" "&amp;IF($G3434="Banking","Banking",IFERROR(INDEX(Mapping!$E$17:$E$28,MATCH($J3434,Mapping!$D$17:$D$28,0)),"(unmapped)")))))</f>
        <v/>
      </c>
    </row>
    <row r="3435" spans="11:11" x14ac:dyDescent="0.3">
      <c r="K3435" t="str">
        <f>IF($D3435="","",IFERROR(INDEX(Mapping!$H$3:$H$32,MATCH($B3435,Mapping!$G$3:$G$32,0)),IF(LEFT($F3435,3)="P2P",IFERROR(INDEX(Mapping!$E$3:$E$6,MATCH($G3435,Mapping!$D$3:$D$6,0)),IFERROR(INDEX(Mapping!$B$3:$B$13,MATCH($J3435,Mapping!$A$3:$A$13,0)),"(unmapped)")),IFERROR(INDEX(Mapping!$B$17:$B$22,MATCH($F3435,Mapping!$A$17:$A$22,0)),$F3435)&amp;" "&amp;IF($G3435="Banking","Banking",IFERROR(INDEX(Mapping!$E$17:$E$28,MATCH($J3435,Mapping!$D$17:$D$28,0)),"(unmapped)")))))</f>
        <v/>
      </c>
    </row>
    <row r="3436" spans="11:11" x14ac:dyDescent="0.3">
      <c r="K3436" t="str">
        <f>IF($D3436="","",IFERROR(INDEX(Mapping!$H$3:$H$32,MATCH($B3436,Mapping!$G$3:$G$32,0)),IF(LEFT($F3436,3)="P2P",IFERROR(INDEX(Mapping!$E$3:$E$6,MATCH($G3436,Mapping!$D$3:$D$6,0)),IFERROR(INDEX(Mapping!$B$3:$B$13,MATCH($J3436,Mapping!$A$3:$A$13,0)),"(unmapped)")),IFERROR(INDEX(Mapping!$B$17:$B$22,MATCH($F3436,Mapping!$A$17:$A$22,0)),$F3436)&amp;" "&amp;IF($G3436="Banking","Banking",IFERROR(INDEX(Mapping!$E$17:$E$28,MATCH($J3436,Mapping!$D$17:$D$28,0)),"(unmapped)")))))</f>
        <v/>
      </c>
    </row>
    <row r="3437" spans="11:11" x14ac:dyDescent="0.3">
      <c r="K3437" t="str">
        <f>IF($D3437="","",IFERROR(INDEX(Mapping!$H$3:$H$32,MATCH($B3437,Mapping!$G$3:$G$32,0)),IF(LEFT($F3437,3)="P2P",IFERROR(INDEX(Mapping!$E$3:$E$6,MATCH($G3437,Mapping!$D$3:$D$6,0)),IFERROR(INDEX(Mapping!$B$3:$B$13,MATCH($J3437,Mapping!$A$3:$A$13,0)),"(unmapped)")),IFERROR(INDEX(Mapping!$B$17:$B$22,MATCH($F3437,Mapping!$A$17:$A$22,0)),$F3437)&amp;" "&amp;IF($G3437="Banking","Banking",IFERROR(INDEX(Mapping!$E$17:$E$28,MATCH($J3437,Mapping!$D$17:$D$28,0)),"(unmapped)")))))</f>
        <v/>
      </c>
    </row>
    <row r="3438" spans="11:11" x14ac:dyDescent="0.3">
      <c r="K3438" t="str">
        <f>IF($D3438="","",IFERROR(INDEX(Mapping!$H$3:$H$32,MATCH($B3438,Mapping!$G$3:$G$32,0)),IF(LEFT($F3438,3)="P2P",IFERROR(INDEX(Mapping!$E$3:$E$6,MATCH($G3438,Mapping!$D$3:$D$6,0)),IFERROR(INDEX(Mapping!$B$3:$B$13,MATCH($J3438,Mapping!$A$3:$A$13,0)),"(unmapped)")),IFERROR(INDEX(Mapping!$B$17:$B$22,MATCH($F3438,Mapping!$A$17:$A$22,0)),$F3438)&amp;" "&amp;IF($G3438="Banking","Banking",IFERROR(INDEX(Mapping!$E$17:$E$28,MATCH($J3438,Mapping!$D$17:$D$28,0)),"(unmapped)")))))</f>
        <v/>
      </c>
    </row>
    <row r="3439" spans="11:11" x14ac:dyDescent="0.3">
      <c r="K3439" t="str">
        <f>IF($D3439="","",IFERROR(INDEX(Mapping!$H$3:$H$32,MATCH($B3439,Mapping!$G$3:$G$32,0)),IF(LEFT($F3439,3)="P2P",IFERROR(INDEX(Mapping!$E$3:$E$6,MATCH($G3439,Mapping!$D$3:$D$6,0)),IFERROR(INDEX(Mapping!$B$3:$B$13,MATCH($J3439,Mapping!$A$3:$A$13,0)),"(unmapped)")),IFERROR(INDEX(Mapping!$B$17:$B$22,MATCH($F3439,Mapping!$A$17:$A$22,0)),$F3439)&amp;" "&amp;IF($G3439="Banking","Banking",IFERROR(INDEX(Mapping!$E$17:$E$28,MATCH($J3439,Mapping!$D$17:$D$28,0)),"(unmapped)")))))</f>
        <v/>
      </c>
    </row>
    <row r="3440" spans="11:11" x14ac:dyDescent="0.3">
      <c r="K3440" t="str">
        <f>IF($D3440="","",IFERROR(INDEX(Mapping!$H$3:$H$32,MATCH($B3440,Mapping!$G$3:$G$32,0)),IF(LEFT($F3440,3)="P2P",IFERROR(INDEX(Mapping!$E$3:$E$6,MATCH($G3440,Mapping!$D$3:$D$6,0)),IFERROR(INDEX(Mapping!$B$3:$B$13,MATCH($J3440,Mapping!$A$3:$A$13,0)),"(unmapped)")),IFERROR(INDEX(Mapping!$B$17:$B$22,MATCH($F3440,Mapping!$A$17:$A$22,0)),$F3440)&amp;" "&amp;IF($G3440="Banking","Banking",IFERROR(INDEX(Mapping!$E$17:$E$28,MATCH($J3440,Mapping!$D$17:$D$28,0)),"(unmapped)")))))</f>
        <v/>
      </c>
    </row>
    <row r="3441" spans="11:11" x14ac:dyDescent="0.3">
      <c r="K3441" t="str">
        <f>IF($D3441="","",IFERROR(INDEX(Mapping!$H$3:$H$32,MATCH($B3441,Mapping!$G$3:$G$32,0)),IF(LEFT($F3441,3)="P2P",IFERROR(INDEX(Mapping!$E$3:$E$6,MATCH($G3441,Mapping!$D$3:$D$6,0)),IFERROR(INDEX(Mapping!$B$3:$B$13,MATCH($J3441,Mapping!$A$3:$A$13,0)),"(unmapped)")),IFERROR(INDEX(Mapping!$B$17:$B$22,MATCH($F3441,Mapping!$A$17:$A$22,0)),$F3441)&amp;" "&amp;IF($G3441="Banking","Banking",IFERROR(INDEX(Mapping!$E$17:$E$28,MATCH($J3441,Mapping!$D$17:$D$28,0)),"(unmapped)")))))</f>
        <v/>
      </c>
    </row>
    <row r="3442" spans="11:11" x14ac:dyDescent="0.3">
      <c r="K3442" t="str">
        <f>IF($D3442="","",IFERROR(INDEX(Mapping!$H$3:$H$32,MATCH($B3442,Mapping!$G$3:$G$32,0)),IF(LEFT($F3442,3)="P2P",IFERROR(INDEX(Mapping!$E$3:$E$6,MATCH($G3442,Mapping!$D$3:$D$6,0)),IFERROR(INDEX(Mapping!$B$3:$B$13,MATCH($J3442,Mapping!$A$3:$A$13,0)),"(unmapped)")),IFERROR(INDEX(Mapping!$B$17:$B$22,MATCH($F3442,Mapping!$A$17:$A$22,0)),$F3442)&amp;" "&amp;IF($G3442="Banking","Banking",IFERROR(INDEX(Mapping!$E$17:$E$28,MATCH($J3442,Mapping!$D$17:$D$28,0)),"(unmapped)")))))</f>
        <v/>
      </c>
    </row>
    <row r="3443" spans="11:11" x14ac:dyDescent="0.3">
      <c r="K3443" t="str">
        <f>IF($D3443="","",IFERROR(INDEX(Mapping!$H$3:$H$32,MATCH($B3443,Mapping!$G$3:$G$32,0)),IF(LEFT($F3443,3)="P2P",IFERROR(INDEX(Mapping!$E$3:$E$6,MATCH($G3443,Mapping!$D$3:$D$6,0)),IFERROR(INDEX(Mapping!$B$3:$B$13,MATCH($J3443,Mapping!$A$3:$A$13,0)),"(unmapped)")),IFERROR(INDEX(Mapping!$B$17:$B$22,MATCH($F3443,Mapping!$A$17:$A$22,0)),$F3443)&amp;" "&amp;IF($G3443="Banking","Banking",IFERROR(INDEX(Mapping!$E$17:$E$28,MATCH($J3443,Mapping!$D$17:$D$28,0)),"(unmapped)")))))</f>
        <v/>
      </c>
    </row>
    <row r="3444" spans="11:11" x14ac:dyDescent="0.3">
      <c r="K3444" t="str">
        <f>IF($D3444="","",IFERROR(INDEX(Mapping!$H$3:$H$32,MATCH($B3444,Mapping!$G$3:$G$32,0)),IF(LEFT($F3444,3)="P2P",IFERROR(INDEX(Mapping!$E$3:$E$6,MATCH($G3444,Mapping!$D$3:$D$6,0)),IFERROR(INDEX(Mapping!$B$3:$B$13,MATCH($J3444,Mapping!$A$3:$A$13,0)),"(unmapped)")),IFERROR(INDEX(Mapping!$B$17:$B$22,MATCH($F3444,Mapping!$A$17:$A$22,0)),$F3444)&amp;" "&amp;IF($G3444="Banking","Banking",IFERROR(INDEX(Mapping!$E$17:$E$28,MATCH($J3444,Mapping!$D$17:$D$28,0)),"(unmapped)")))))</f>
        <v/>
      </c>
    </row>
    <row r="3445" spans="11:11" x14ac:dyDescent="0.3">
      <c r="K3445" t="str">
        <f>IF($D3445="","",IFERROR(INDEX(Mapping!$H$3:$H$32,MATCH($B3445,Mapping!$G$3:$G$32,0)),IF(LEFT($F3445,3)="P2P",IFERROR(INDEX(Mapping!$E$3:$E$6,MATCH($G3445,Mapping!$D$3:$D$6,0)),IFERROR(INDEX(Mapping!$B$3:$B$13,MATCH($J3445,Mapping!$A$3:$A$13,0)),"(unmapped)")),IFERROR(INDEX(Mapping!$B$17:$B$22,MATCH($F3445,Mapping!$A$17:$A$22,0)),$F3445)&amp;" "&amp;IF($G3445="Banking","Banking",IFERROR(INDEX(Mapping!$E$17:$E$28,MATCH($J3445,Mapping!$D$17:$D$28,0)),"(unmapped)")))))</f>
        <v/>
      </c>
    </row>
    <row r="3446" spans="11:11" x14ac:dyDescent="0.3">
      <c r="K3446" t="str">
        <f>IF($D3446="","",IFERROR(INDEX(Mapping!$H$3:$H$32,MATCH($B3446,Mapping!$G$3:$G$32,0)),IF(LEFT($F3446,3)="P2P",IFERROR(INDEX(Mapping!$E$3:$E$6,MATCH($G3446,Mapping!$D$3:$D$6,0)),IFERROR(INDEX(Mapping!$B$3:$B$13,MATCH($J3446,Mapping!$A$3:$A$13,0)),"(unmapped)")),IFERROR(INDEX(Mapping!$B$17:$B$22,MATCH($F3446,Mapping!$A$17:$A$22,0)),$F3446)&amp;" "&amp;IF($G3446="Banking","Banking",IFERROR(INDEX(Mapping!$E$17:$E$28,MATCH($J3446,Mapping!$D$17:$D$28,0)),"(unmapped)")))))</f>
        <v/>
      </c>
    </row>
    <row r="3447" spans="11:11" x14ac:dyDescent="0.3">
      <c r="K3447" t="str">
        <f>IF($D3447="","",IFERROR(INDEX(Mapping!$H$3:$H$32,MATCH($B3447,Mapping!$G$3:$G$32,0)),IF(LEFT($F3447,3)="P2P",IFERROR(INDEX(Mapping!$E$3:$E$6,MATCH($G3447,Mapping!$D$3:$D$6,0)),IFERROR(INDEX(Mapping!$B$3:$B$13,MATCH($J3447,Mapping!$A$3:$A$13,0)),"(unmapped)")),IFERROR(INDEX(Mapping!$B$17:$B$22,MATCH($F3447,Mapping!$A$17:$A$22,0)),$F3447)&amp;" "&amp;IF($G3447="Banking","Banking",IFERROR(INDEX(Mapping!$E$17:$E$28,MATCH($J3447,Mapping!$D$17:$D$28,0)),"(unmapped)")))))</f>
        <v/>
      </c>
    </row>
    <row r="3448" spans="11:11" x14ac:dyDescent="0.3">
      <c r="K3448" t="str">
        <f>IF($D3448="","",IFERROR(INDEX(Mapping!$H$3:$H$32,MATCH($B3448,Mapping!$G$3:$G$32,0)),IF(LEFT($F3448,3)="P2P",IFERROR(INDEX(Mapping!$E$3:$E$6,MATCH($G3448,Mapping!$D$3:$D$6,0)),IFERROR(INDEX(Mapping!$B$3:$B$13,MATCH($J3448,Mapping!$A$3:$A$13,0)),"(unmapped)")),IFERROR(INDEX(Mapping!$B$17:$B$22,MATCH($F3448,Mapping!$A$17:$A$22,0)),$F3448)&amp;" "&amp;IF($G3448="Banking","Banking",IFERROR(INDEX(Mapping!$E$17:$E$28,MATCH($J3448,Mapping!$D$17:$D$28,0)),"(unmapped)")))))</f>
        <v/>
      </c>
    </row>
    <row r="3449" spans="11:11" x14ac:dyDescent="0.3">
      <c r="K3449" t="str">
        <f>IF($D3449="","",IFERROR(INDEX(Mapping!$H$3:$H$32,MATCH($B3449,Mapping!$G$3:$G$32,0)),IF(LEFT($F3449,3)="P2P",IFERROR(INDEX(Mapping!$E$3:$E$6,MATCH($G3449,Mapping!$D$3:$D$6,0)),IFERROR(INDEX(Mapping!$B$3:$B$13,MATCH($J3449,Mapping!$A$3:$A$13,0)),"(unmapped)")),IFERROR(INDEX(Mapping!$B$17:$B$22,MATCH($F3449,Mapping!$A$17:$A$22,0)),$F3449)&amp;" "&amp;IF($G3449="Banking","Banking",IFERROR(INDEX(Mapping!$E$17:$E$28,MATCH($J3449,Mapping!$D$17:$D$28,0)),"(unmapped)")))))</f>
        <v/>
      </c>
    </row>
    <row r="3450" spans="11:11" x14ac:dyDescent="0.3">
      <c r="K3450" t="str">
        <f>IF($D3450="","",IFERROR(INDEX(Mapping!$H$3:$H$32,MATCH($B3450,Mapping!$G$3:$G$32,0)),IF(LEFT($F3450,3)="P2P",IFERROR(INDEX(Mapping!$E$3:$E$6,MATCH($G3450,Mapping!$D$3:$D$6,0)),IFERROR(INDEX(Mapping!$B$3:$B$13,MATCH($J3450,Mapping!$A$3:$A$13,0)),"(unmapped)")),IFERROR(INDEX(Mapping!$B$17:$B$22,MATCH($F3450,Mapping!$A$17:$A$22,0)),$F3450)&amp;" "&amp;IF($G3450="Banking","Banking",IFERROR(INDEX(Mapping!$E$17:$E$28,MATCH($J3450,Mapping!$D$17:$D$28,0)),"(unmapped)")))))</f>
        <v/>
      </c>
    </row>
    <row r="3451" spans="11:11" x14ac:dyDescent="0.3">
      <c r="K3451" t="str">
        <f>IF($D3451="","",IFERROR(INDEX(Mapping!$H$3:$H$32,MATCH($B3451,Mapping!$G$3:$G$32,0)),IF(LEFT($F3451,3)="P2P",IFERROR(INDEX(Mapping!$E$3:$E$6,MATCH($G3451,Mapping!$D$3:$D$6,0)),IFERROR(INDEX(Mapping!$B$3:$B$13,MATCH($J3451,Mapping!$A$3:$A$13,0)),"(unmapped)")),IFERROR(INDEX(Mapping!$B$17:$B$22,MATCH($F3451,Mapping!$A$17:$A$22,0)),$F3451)&amp;" "&amp;IF($G3451="Banking","Banking",IFERROR(INDEX(Mapping!$E$17:$E$28,MATCH($J3451,Mapping!$D$17:$D$28,0)),"(unmapped)")))))</f>
        <v/>
      </c>
    </row>
    <row r="3452" spans="11:11" x14ac:dyDescent="0.3">
      <c r="K3452" t="str">
        <f>IF($D3452="","",IFERROR(INDEX(Mapping!$H$3:$H$32,MATCH($B3452,Mapping!$G$3:$G$32,0)),IF(LEFT($F3452,3)="P2P",IFERROR(INDEX(Mapping!$E$3:$E$6,MATCH($G3452,Mapping!$D$3:$D$6,0)),IFERROR(INDEX(Mapping!$B$3:$B$13,MATCH($J3452,Mapping!$A$3:$A$13,0)),"(unmapped)")),IFERROR(INDEX(Mapping!$B$17:$B$22,MATCH($F3452,Mapping!$A$17:$A$22,0)),$F3452)&amp;" "&amp;IF($G3452="Banking","Banking",IFERROR(INDEX(Mapping!$E$17:$E$28,MATCH($J3452,Mapping!$D$17:$D$28,0)),"(unmapped)")))))</f>
        <v/>
      </c>
    </row>
    <row r="3453" spans="11:11" x14ac:dyDescent="0.3">
      <c r="K3453" t="str">
        <f>IF($D3453="","",IFERROR(INDEX(Mapping!$H$3:$H$32,MATCH($B3453,Mapping!$G$3:$G$32,0)),IF(LEFT($F3453,3)="P2P",IFERROR(INDEX(Mapping!$E$3:$E$6,MATCH($G3453,Mapping!$D$3:$D$6,0)),IFERROR(INDEX(Mapping!$B$3:$B$13,MATCH($J3453,Mapping!$A$3:$A$13,0)),"(unmapped)")),IFERROR(INDEX(Mapping!$B$17:$B$22,MATCH($F3453,Mapping!$A$17:$A$22,0)),$F3453)&amp;" "&amp;IF($G3453="Banking","Banking",IFERROR(INDEX(Mapping!$E$17:$E$28,MATCH($J3453,Mapping!$D$17:$D$28,0)),"(unmapped)")))))</f>
        <v/>
      </c>
    </row>
    <row r="3454" spans="11:11" x14ac:dyDescent="0.3">
      <c r="K3454" t="str">
        <f>IF($D3454="","",IFERROR(INDEX(Mapping!$H$3:$H$32,MATCH($B3454,Mapping!$G$3:$G$32,0)),IF(LEFT($F3454,3)="P2P",IFERROR(INDEX(Mapping!$E$3:$E$6,MATCH($G3454,Mapping!$D$3:$D$6,0)),IFERROR(INDEX(Mapping!$B$3:$B$13,MATCH($J3454,Mapping!$A$3:$A$13,0)),"(unmapped)")),IFERROR(INDEX(Mapping!$B$17:$B$22,MATCH($F3454,Mapping!$A$17:$A$22,0)),$F3454)&amp;" "&amp;IF($G3454="Banking","Banking",IFERROR(INDEX(Mapping!$E$17:$E$28,MATCH($J3454,Mapping!$D$17:$D$28,0)),"(unmapped)")))))</f>
        <v/>
      </c>
    </row>
    <row r="3455" spans="11:11" x14ac:dyDescent="0.3">
      <c r="K3455" t="str">
        <f>IF($D3455="","",IFERROR(INDEX(Mapping!$H$3:$H$32,MATCH($B3455,Mapping!$G$3:$G$32,0)),IF(LEFT($F3455,3)="P2P",IFERROR(INDEX(Mapping!$E$3:$E$6,MATCH($G3455,Mapping!$D$3:$D$6,0)),IFERROR(INDEX(Mapping!$B$3:$B$13,MATCH($J3455,Mapping!$A$3:$A$13,0)),"(unmapped)")),IFERROR(INDEX(Mapping!$B$17:$B$22,MATCH($F3455,Mapping!$A$17:$A$22,0)),$F3455)&amp;" "&amp;IF($G3455="Banking","Banking",IFERROR(INDEX(Mapping!$E$17:$E$28,MATCH($J3455,Mapping!$D$17:$D$28,0)),"(unmapped)")))))</f>
        <v/>
      </c>
    </row>
    <row r="3456" spans="11:11" x14ac:dyDescent="0.3">
      <c r="K3456" t="str">
        <f>IF($D3456="","",IFERROR(INDEX(Mapping!$H$3:$H$32,MATCH($B3456,Mapping!$G$3:$G$32,0)),IF(LEFT($F3456,3)="P2P",IFERROR(INDEX(Mapping!$E$3:$E$6,MATCH($G3456,Mapping!$D$3:$D$6,0)),IFERROR(INDEX(Mapping!$B$3:$B$13,MATCH($J3456,Mapping!$A$3:$A$13,0)),"(unmapped)")),IFERROR(INDEX(Mapping!$B$17:$B$22,MATCH($F3456,Mapping!$A$17:$A$22,0)),$F3456)&amp;" "&amp;IF($G3456="Banking","Banking",IFERROR(INDEX(Mapping!$E$17:$E$28,MATCH($J3456,Mapping!$D$17:$D$28,0)),"(unmapped)")))))</f>
        <v/>
      </c>
    </row>
    <row r="3457" spans="11:11" x14ac:dyDescent="0.3">
      <c r="K3457" t="str">
        <f>IF($D3457="","",IFERROR(INDEX(Mapping!$H$3:$H$32,MATCH($B3457,Mapping!$G$3:$G$32,0)),IF(LEFT($F3457,3)="P2P",IFERROR(INDEX(Mapping!$E$3:$E$6,MATCH($G3457,Mapping!$D$3:$D$6,0)),IFERROR(INDEX(Mapping!$B$3:$B$13,MATCH($J3457,Mapping!$A$3:$A$13,0)),"(unmapped)")),IFERROR(INDEX(Mapping!$B$17:$B$22,MATCH($F3457,Mapping!$A$17:$A$22,0)),$F3457)&amp;" "&amp;IF($G3457="Banking","Banking",IFERROR(INDEX(Mapping!$E$17:$E$28,MATCH($J3457,Mapping!$D$17:$D$28,0)),"(unmapped)")))))</f>
        <v/>
      </c>
    </row>
    <row r="3458" spans="11:11" x14ac:dyDescent="0.3">
      <c r="K3458" t="str">
        <f>IF($D3458="","",IFERROR(INDEX(Mapping!$H$3:$H$32,MATCH($B3458,Mapping!$G$3:$G$32,0)),IF(LEFT($F3458,3)="P2P",IFERROR(INDEX(Mapping!$E$3:$E$6,MATCH($G3458,Mapping!$D$3:$D$6,0)),IFERROR(INDEX(Mapping!$B$3:$B$13,MATCH($J3458,Mapping!$A$3:$A$13,0)),"(unmapped)")),IFERROR(INDEX(Mapping!$B$17:$B$22,MATCH($F3458,Mapping!$A$17:$A$22,0)),$F3458)&amp;" "&amp;IF($G3458="Banking","Banking",IFERROR(INDEX(Mapping!$E$17:$E$28,MATCH($J3458,Mapping!$D$17:$D$28,0)),"(unmapped)")))))</f>
        <v/>
      </c>
    </row>
    <row r="3459" spans="11:11" x14ac:dyDescent="0.3">
      <c r="K3459" t="str">
        <f>IF($D3459="","",IFERROR(INDEX(Mapping!$H$3:$H$32,MATCH($B3459,Mapping!$G$3:$G$32,0)),IF(LEFT($F3459,3)="P2P",IFERROR(INDEX(Mapping!$E$3:$E$6,MATCH($G3459,Mapping!$D$3:$D$6,0)),IFERROR(INDEX(Mapping!$B$3:$B$13,MATCH($J3459,Mapping!$A$3:$A$13,0)),"(unmapped)")),IFERROR(INDEX(Mapping!$B$17:$B$22,MATCH($F3459,Mapping!$A$17:$A$22,0)),$F3459)&amp;" "&amp;IF($G3459="Banking","Banking",IFERROR(INDEX(Mapping!$E$17:$E$28,MATCH($J3459,Mapping!$D$17:$D$28,0)),"(unmapped)")))))</f>
        <v/>
      </c>
    </row>
    <row r="3460" spans="11:11" x14ac:dyDescent="0.3">
      <c r="K3460" t="str">
        <f>IF($D3460="","",IFERROR(INDEX(Mapping!$H$3:$H$32,MATCH($B3460,Mapping!$G$3:$G$32,0)),IF(LEFT($F3460,3)="P2P",IFERROR(INDEX(Mapping!$E$3:$E$6,MATCH($G3460,Mapping!$D$3:$D$6,0)),IFERROR(INDEX(Mapping!$B$3:$B$13,MATCH($J3460,Mapping!$A$3:$A$13,0)),"(unmapped)")),IFERROR(INDEX(Mapping!$B$17:$B$22,MATCH($F3460,Mapping!$A$17:$A$22,0)),$F3460)&amp;" "&amp;IF($G3460="Banking","Banking",IFERROR(INDEX(Mapping!$E$17:$E$28,MATCH($J3460,Mapping!$D$17:$D$28,0)),"(unmapped)")))))</f>
        <v/>
      </c>
    </row>
    <row r="3461" spans="11:11" x14ac:dyDescent="0.3">
      <c r="K3461" t="str">
        <f>IF($D3461="","",IFERROR(INDEX(Mapping!$H$3:$H$32,MATCH($B3461,Mapping!$G$3:$G$32,0)),IF(LEFT($F3461,3)="P2P",IFERROR(INDEX(Mapping!$E$3:$E$6,MATCH($G3461,Mapping!$D$3:$D$6,0)),IFERROR(INDEX(Mapping!$B$3:$B$13,MATCH($J3461,Mapping!$A$3:$A$13,0)),"(unmapped)")),IFERROR(INDEX(Mapping!$B$17:$B$22,MATCH($F3461,Mapping!$A$17:$A$22,0)),$F3461)&amp;" "&amp;IF($G3461="Banking","Banking",IFERROR(INDEX(Mapping!$E$17:$E$28,MATCH($J3461,Mapping!$D$17:$D$28,0)),"(unmapped)")))))</f>
        <v/>
      </c>
    </row>
    <row r="3462" spans="11:11" x14ac:dyDescent="0.3">
      <c r="K3462" t="str">
        <f>IF($D3462="","",IFERROR(INDEX(Mapping!$H$3:$H$32,MATCH($B3462,Mapping!$G$3:$G$32,0)),IF(LEFT($F3462,3)="P2P",IFERROR(INDEX(Mapping!$E$3:$E$6,MATCH($G3462,Mapping!$D$3:$D$6,0)),IFERROR(INDEX(Mapping!$B$3:$B$13,MATCH($J3462,Mapping!$A$3:$A$13,0)),"(unmapped)")),IFERROR(INDEX(Mapping!$B$17:$B$22,MATCH($F3462,Mapping!$A$17:$A$22,0)),$F3462)&amp;" "&amp;IF($G3462="Banking","Banking",IFERROR(INDEX(Mapping!$E$17:$E$28,MATCH($J3462,Mapping!$D$17:$D$28,0)),"(unmapped)")))))</f>
        <v/>
      </c>
    </row>
    <row r="3463" spans="11:11" x14ac:dyDescent="0.3">
      <c r="K3463" t="str">
        <f>IF($D3463="","",IFERROR(INDEX(Mapping!$H$3:$H$32,MATCH($B3463,Mapping!$G$3:$G$32,0)),IF(LEFT($F3463,3)="P2P",IFERROR(INDEX(Mapping!$E$3:$E$6,MATCH($G3463,Mapping!$D$3:$D$6,0)),IFERROR(INDEX(Mapping!$B$3:$B$13,MATCH($J3463,Mapping!$A$3:$A$13,0)),"(unmapped)")),IFERROR(INDEX(Mapping!$B$17:$B$22,MATCH($F3463,Mapping!$A$17:$A$22,0)),$F3463)&amp;" "&amp;IF($G3463="Banking","Banking",IFERROR(INDEX(Mapping!$E$17:$E$28,MATCH($J3463,Mapping!$D$17:$D$28,0)),"(unmapped)")))))</f>
        <v/>
      </c>
    </row>
    <row r="3464" spans="11:11" x14ac:dyDescent="0.3">
      <c r="K3464" t="str">
        <f>IF($D3464="","",IFERROR(INDEX(Mapping!$H$3:$H$32,MATCH($B3464,Mapping!$G$3:$G$32,0)),IF(LEFT($F3464,3)="P2P",IFERROR(INDEX(Mapping!$E$3:$E$6,MATCH($G3464,Mapping!$D$3:$D$6,0)),IFERROR(INDEX(Mapping!$B$3:$B$13,MATCH($J3464,Mapping!$A$3:$A$13,0)),"(unmapped)")),IFERROR(INDEX(Mapping!$B$17:$B$22,MATCH($F3464,Mapping!$A$17:$A$22,0)),$F3464)&amp;" "&amp;IF($G3464="Banking","Banking",IFERROR(INDEX(Mapping!$E$17:$E$28,MATCH($J3464,Mapping!$D$17:$D$28,0)),"(unmapped)")))))</f>
        <v/>
      </c>
    </row>
    <row r="3465" spans="11:11" x14ac:dyDescent="0.3">
      <c r="K3465" t="str">
        <f>IF($D3465="","",IFERROR(INDEX(Mapping!$H$3:$H$32,MATCH($B3465,Mapping!$G$3:$G$32,0)),IF(LEFT($F3465,3)="P2P",IFERROR(INDEX(Mapping!$E$3:$E$6,MATCH($G3465,Mapping!$D$3:$D$6,0)),IFERROR(INDEX(Mapping!$B$3:$B$13,MATCH($J3465,Mapping!$A$3:$A$13,0)),"(unmapped)")),IFERROR(INDEX(Mapping!$B$17:$B$22,MATCH($F3465,Mapping!$A$17:$A$22,0)),$F3465)&amp;" "&amp;IF($G3465="Banking","Banking",IFERROR(INDEX(Mapping!$E$17:$E$28,MATCH($J3465,Mapping!$D$17:$D$28,0)),"(unmapped)")))))</f>
        <v/>
      </c>
    </row>
    <row r="3466" spans="11:11" x14ac:dyDescent="0.3">
      <c r="K3466" t="str">
        <f>IF($D3466="","",IFERROR(INDEX(Mapping!$H$3:$H$32,MATCH($B3466,Mapping!$G$3:$G$32,0)),IF(LEFT($F3466,3)="P2P",IFERROR(INDEX(Mapping!$E$3:$E$6,MATCH($G3466,Mapping!$D$3:$D$6,0)),IFERROR(INDEX(Mapping!$B$3:$B$13,MATCH($J3466,Mapping!$A$3:$A$13,0)),"(unmapped)")),IFERROR(INDEX(Mapping!$B$17:$B$22,MATCH($F3466,Mapping!$A$17:$A$22,0)),$F3466)&amp;" "&amp;IF($G3466="Banking","Banking",IFERROR(INDEX(Mapping!$E$17:$E$28,MATCH($J3466,Mapping!$D$17:$D$28,0)),"(unmapped)")))))</f>
        <v/>
      </c>
    </row>
    <row r="3467" spans="11:11" x14ac:dyDescent="0.3">
      <c r="K3467" t="str">
        <f>IF($D3467="","",IFERROR(INDEX(Mapping!$H$3:$H$32,MATCH($B3467,Mapping!$G$3:$G$32,0)),IF(LEFT($F3467,3)="P2P",IFERROR(INDEX(Mapping!$E$3:$E$6,MATCH($G3467,Mapping!$D$3:$D$6,0)),IFERROR(INDEX(Mapping!$B$3:$B$13,MATCH($J3467,Mapping!$A$3:$A$13,0)),"(unmapped)")),IFERROR(INDEX(Mapping!$B$17:$B$22,MATCH($F3467,Mapping!$A$17:$A$22,0)),$F3467)&amp;" "&amp;IF($G3467="Banking","Banking",IFERROR(INDEX(Mapping!$E$17:$E$28,MATCH($J3467,Mapping!$D$17:$D$28,0)),"(unmapped)")))))</f>
        <v/>
      </c>
    </row>
    <row r="3468" spans="11:11" x14ac:dyDescent="0.3">
      <c r="K3468" t="str">
        <f>IF($D3468="","",IFERROR(INDEX(Mapping!$H$3:$H$32,MATCH($B3468,Mapping!$G$3:$G$32,0)),IF(LEFT($F3468,3)="P2P",IFERROR(INDEX(Mapping!$E$3:$E$6,MATCH($G3468,Mapping!$D$3:$D$6,0)),IFERROR(INDEX(Mapping!$B$3:$B$13,MATCH($J3468,Mapping!$A$3:$A$13,0)),"(unmapped)")),IFERROR(INDEX(Mapping!$B$17:$B$22,MATCH($F3468,Mapping!$A$17:$A$22,0)),$F3468)&amp;" "&amp;IF($G3468="Banking","Banking",IFERROR(INDEX(Mapping!$E$17:$E$28,MATCH($J3468,Mapping!$D$17:$D$28,0)),"(unmapped)")))))</f>
        <v/>
      </c>
    </row>
    <row r="3469" spans="11:11" x14ac:dyDescent="0.3">
      <c r="K3469" t="str">
        <f>IF($D3469="","",IFERROR(INDEX(Mapping!$H$3:$H$32,MATCH($B3469,Mapping!$G$3:$G$32,0)),IF(LEFT($F3469,3)="P2P",IFERROR(INDEX(Mapping!$E$3:$E$6,MATCH($G3469,Mapping!$D$3:$D$6,0)),IFERROR(INDEX(Mapping!$B$3:$B$13,MATCH($J3469,Mapping!$A$3:$A$13,0)),"(unmapped)")),IFERROR(INDEX(Mapping!$B$17:$B$22,MATCH($F3469,Mapping!$A$17:$A$22,0)),$F3469)&amp;" "&amp;IF($G3469="Banking","Banking",IFERROR(INDEX(Mapping!$E$17:$E$28,MATCH($J3469,Mapping!$D$17:$D$28,0)),"(unmapped)")))))</f>
        <v/>
      </c>
    </row>
    <row r="3470" spans="11:11" x14ac:dyDescent="0.3">
      <c r="K3470" t="str">
        <f>IF($D3470="","",IFERROR(INDEX(Mapping!$H$3:$H$32,MATCH($B3470,Mapping!$G$3:$G$32,0)),IF(LEFT($F3470,3)="P2P",IFERROR(INDEX(Mapping!$E$3:$E$6,MATCH($G3470,Mapping!$D$3:$D$6,0)),IFERROR(INDEX(Mapping!$B$3:$B$13,MATCH($J3470,Mapping!$A$3:$A$13,0)),"(unmapped)")),IFERROR(INDEX(Mapping!$B$17:$B$22,MATCH($F3470,Mapping!$A$17:$A$22,0)),$F3470)&amp;" "&amp;IF($G3470="Banking","Banking",IFERROR(INDEX(Mapping!$E$17:$E$28,MATCH($J3470,Mapping!$D$17:$D$28,0)),"(unmapped)")))))</f>
        <v/>
      </c>
    </row>
    <row r="3471" spans="11:11" x14ac:dyDescent="0.3">
      <c r="K3471" t="str">
        <f>IF($D3471="","",IFERROR(INDEX(Mapping!$H$3:$H$32,MATCH($B3471,Mapping!$G$3:$G$32,0)),IF(LEFT($F3471,3)="P2P",IFERROR(INDEX(Mapping!$E$3:$E$6,MATCH($G3471,Mapping!$D$3:$D$6,0)),IFERROR(INDEX(Mapping!$B$3:$B$13,MATCH($J3471,Mapping!$A$3:$A$13,0)),"(unmapped)")),IFERROR(INDEX(Mapping!$B$17:$B$22,MATCH($F3471,Mapping!$A$17:$A$22,0)),$F3471)&amp;" "&amp;IF($G3471="Banking","Banking",IFERROR(INDEX(Mapping!$E$17:$E$28,MATCH($J3471,Mapping!$D$17:$D$28,0)),"(unmapped)")))))</f>
        <v/>
      </c>
    </row>
    <row r="3472" spans="11:11" x14ac:dyDescent="0.3">
      <c r="K3472" t="str">
        <f>IF($D3472="","",IFERROR(INDEX(Mapping!$H$3:$H$32,MATCH($B3472,Mapping!$G$3:$G$32,0)),IF(LEFT($F3472,3)="P2P",IFERROR(INDEX(Mapping!$E$3:$E$6,MATCH($G3472,Mapping!$D$3:$D$6,0)),IFERROR(INDEX(Mapping!$B$3:$B$13,MATCH($J3472,Mapping!$A$3:$A$13,0)),"(unmapped)")),IFERROR(INDEX(Mapping!$B$17:$B$22,MATCH($F3472,Mapping!$A$17:$A$22,0)),$F3472)&amp;" "&amp;IF($G3472="Banking","Banking",IFERROR(INDEX(Mapping!$E$17:$E$28,MATCH($J3472,Mapping!$D$17:$D$28,0)),"(unmapped)")))))</f>
        <v/>
      </c>
    </row>
    <row r="3473" spans="11:11" x14ac:dyDescent="0.3">
      <c r="K3473" t="str">
        <f>IF($D3473="","",IFERROR(INDEX(Mapping!$H$3:$H$32,MATCH($B3473,Mapping!$G$3:$G$32,0)),IF(LEFT($F3473,3)="P2P",IFERROR(INDEX(Mapping!$E$3:$E$6,MATCH($G3473,Mapping!$D$3:$D$6,0)),IFERROR(INDEX(Mapping!$B$3:$B$13,MATCH($J3473,Mapping!$A$3:$A$13,0)),"(unmapped)")),IFERROR(INDEX(Mapping!$B$17:$B$22,MATCH($F3473,Mapping!$A$17:$A$22,0)),$F3473)&amp;" "&amp;IF($G3473="Banking","Banking",IFERROR(INDEX(Mapping!$E$17:$E$28,MATCH($J3473,Mapping!$D$17:$D$28,0)),"(unmapped)")))))</f>
        <v/>
      </c>
    </row>
    <row r="3474" spans="11:11" x14ac:dyDescent="0.3">
      <c r="K3474" t="str">
        <f>IF($D3474="","",IFERROR(INDEX(Mapping!$H$3:$H$32,MATCH($B3474,Mapping!$G$3:$G$32,0)),IF(LEFT($F3474,3)="P2P",IFERROR(INDEX(Mapping!$E$3:$E$6,MATCH($G3474,Mapping!$D$3:$D$6,0)),IFERROR(INDEX(Mapping!$B$3:$B$13,MATCH($J3474,Mapping!$A$3:$A$13,0)),"(unmapped)")),IFERROR(INDEX(Mapping!$B$17:$B$22,MATCH($F3474,Mapping!$A$17:$A$22,0)),$F3474)&amp;" "&amp;IF($G3474="Banking","Banking",IFERROR(INDEX(Mapping!$E$17:$E$28,MATCH($J3474,Mapping!$D$17:$D$28,0)),"(unmapped)")))))</f>
        <v/>
      </c>
    </row>
    <row r="3475" spans="11:11" x14ac:dyDescent="0.3">
      <c r="K3475" t="str">
        <f>IF($D3475="","",IFERROR(INDEX(Mapping!$H$3:$H$32,MATCH($B3475,Mapping!$G$3:$G$32,0)),IF(LEFT($F3475,3)="P2P",IFERROR(INDEX(Mapping!$E$3:$E$6,MATCH($G3475,Mapping!$D$3:$D$6,0)),IFERROR(INDEX(Mapping!$B$3:$B$13,MATCH($J3475,Mapping!$A$3:$A$13,0)),"(unmapped)")),IFERROR(INDEX(Mapping!$B$17:$B$22,MATCH($F3475,Mapping!$A$17:$A$22,0)),$F3475)&amp;" "&amp;IF($G3475="Banking","Banking",IFERROR(INDEX(Mapping!$E$17:$E$28,MATCH($J3475,Mapping!$D$17:$D$28,0)),"(unmapped)")))))</f>
        <v/>
      </c>
    </row>
    <row r="3476" spans="11:11" x14ac:dyDescent="0.3">
      <c r="K3476" t="str">
        <f>IF($D3476="","",IFERROR(INDEX(Mapping!$H$3:$H$32,MATCH($B3476,Mapping!$G$3:$G$32,0)),IF(LEFT($F3476,3)="P2P",IFERROR(INDEX(Mapping!$E$3:$E$6,MATCH($G3476,Mapping!$D$3:$D$6,0)),IFERROR(INDEX(Mapping!$B$3:$B$13,MATCH($J3476,Mapping!$A$3:$A$13,0)),"(unmapped)")),IFERROR(INDEX(Mapping!$B$17:$B$22,MATCH($F3476,Mapping!$A$17:$A$22,0)),$F3476)&amp;" "&amp;IF($G3476="Banking","Banking",IFERROR(INDEX(Mapping!$E$17:$E$28,MATCH($J3476,Mapping!$D$17:$D$28,0)),"(unmapped)")))))</f>
        <v/>
      </c>
    </row>
    <row r="3477" spans="11:11" x14ac:dyDescent="0.3">
      <c r="K3477" t="str">
        <f>IF($D3477="","",IFERROR(INDEX(Mapping!$H$3:$H$32,MATCH($B3477,Mapping!$G$3:$G$32,0)),IF(LEFT($F3477,3)="P2P",IFERROR(INDEX(Mapping!$E$3:$E$6,MATCH($G3477,Mapping!$D$3:$D$6,0)),IFERROR(INDEX(Mapping!$B$3:$B$13,MATCH($J3477,Mapping!$A$3:$A$13,0)),"(unmapped)")),IFERROR(INDEX(Mapping!$B$17:$B$22,MATCH($F3477,Mapping!$A$17:$A$22,0)),$F3477)&amp;" "&amp;IF($G3477="Banking","Banking",IFERROR(INDEX(Mapping!$E$17:$E$28,MATCH($J3477,Mapping!$D$17:$D$28,0)),"(unmapped)")))))</f>
        <v/>
      </c>
    </row>
    <row r="3478" spans="11:11" x14ac:dyDescent="0.3">
      <c r="K3478" t="str">
        <f>IF($D3478="","",IFERROR(INDEX(Mapping!$H$3:$H$32,MATCH($B3478,Mapping!$G$3:$G$32,0)),IF(LEFT($F3478,3)="P2P",IFERROR(INDEX(Mapping!$E$3:$E$6,MATCH($G3478,Mapping!$D$3:$D$6,0)),IFERROR(INDEX(Mapping!$B$3:$B$13,MATCH($J3478,Mapping!$A$3:$A$13,0)),"(unmapped)")),IFERROR(INDEX(Mapping!$B$17:$B$22,MATCH($F3478,Mapping!$A$17:$A$22,0)),$F3478)&amp;" "&amp;IF($G3478="Banking","Banking",IFERROR(INDEX(Mapping!$E$17:$E$28,MATCH($J3478,Mapping!$D$17:$D$28,0)),"(unmapped)")))))</f>
        <v/>
      </c>
    </row>
    <row r="3479" spans="11:11" x14ac:dyDescent="0.3">
      <c r="K3479" t="str">
        <f>IF($D3479="","",IFERROR(INDEX(Mapping!$H$3:$H$32,MATCH($B3479,Mapping!$G$3:$G$32,0)),IF(LEFT($F3479,3)="P2P",IFERROR(INDEX(Mapping!$E$3:$E$6,MATCH($G3479,Mapping!$D$3:$D$6,0)),IFERROR(INDEX(Mapping!$B$3:$B$13,MATCH($J3479,Mapping!$A$3:$A$13,0)),"(unmapped)")),IFERROR(INDEX(Mapping!$B$17:$B$22,MATCH($F3479,Mapping!$A$17:$A$22,0)),$F3479)&amp;" "&amp;IF($G3479="Banking","Banking",IFERROR(INDEX(Mapping!$E$17:$E$28,MATCH($J3479,Mapping!$D$17:$D$28,0)),"(unmapped)")))))</f>
        <v/>
      </c>
    </row>
    <row r="3480" spans="11:11" x14ac:dyDescent="0.3">
      <c r="K3480" t="str">
        <f>IF($D3480="","",IFERROR(INDEX(Mapping!$H$3:$H$32,MATCH($B3480,Mapping!$G$3:$G$32,0)),IF(LEFT($F3480,3)="P2P",IFERROR(INDEX(Mapping!$E$3:$E$6,MATCH($G3480,Mapping!$D$3:$D$6,0)),IFERROR(INDEX(Mapping!$B$3:$B$13,MATCH($J3480,Mapping!$A$3:$A$13,0)),"(unmapped)")),IFERROR(INDEX(Mapping!$B$17:$B$22,MATCH($F3480,Mapping!$A$17:$A$22,0)),$F3480)&amp;" "&amp;IF($G3480="Banking","Banking",IFERROR(INDEX(Mapping!$E$17:$E$28,MATCH($J3480,Mapping!$D$17:$D$28,0)),"(unmapped)")))))</f>
        <v/>
      </c>
    </row>
    <row r="3481" spans="11:11" x14ac:dyDescent="0.3">
      <c r="K3481" t="str">
        <f>IF($D3481="","",IFERROR(INDEX(Mapping!$H$3:$H$32,MATCH($B3481,Mapping!$G$3:$G$32,0)),IF(LEFT($F3481,3)="P2P",IFERROR(INDEX(Mapping!$E$3:$E$6,MATCH($G3481,Mapping!$D$3:$D$6,0)),IFERROR(INDEX(Mapping!$B$3:$B$13,MATCH($J3481,Mapping!$A$3:$A$13,0)),"(unmapped)")),IFERROR(INDEX(Mapping!$B$17:$B$22,MATCH($F3481,Mapping!$A$17:$A$22,0)),$F3481)&amp;" "&amp;IF($G3481="Banking","Banking",IFERROR(INDEX(Mapping!$E$17:$E$28,MATCH($J3481,Mapping!$D$17:$D$28,0)),"(unmapped)")))))</f>
        <v/>
      </c>
    </row>
    <row r="3482" spans="11:11" x14ac:dyDescent="0.3">
      <c r="K3482" t="str">
        <f>IF($D3482="","",IFERROR(INDEX(Mapping!$H$3:$H$32,MATCH($B3482,Mapping!$G$3:$G$32,0)),IF(LEFT($F3482,3)="P2P",IFERROR(INDEX(Mapping!$E$3:$E$6,MATCH($G3482,Mapping!$D$3:$D$6,0)),IFERROR(INDEX(Mapping!$B$3:$B$13,MATCH($J3482,Mapping!$A$3:$A$13,0)),"(unmapped)")),IFERROR(INDEX(Mapping!$B$17:$B$22,MATCH($F3482,Mapping!$A$17:$A$22,0)),$F3482)&amp;" "&amp;IF($G3482="Banking","Banking",IFERROR(INDEX(Mapping!$E$17:$E$28,MATCH($J3482,Mapping!$D$17:$D$28,0)),"(unmapped)")))))</f>
        <v/>
      </c>
    </row>
    <row r="3483" spans="11:11" x14ac:dyDescent="0.3">
      <c r="K3483" t="str">
        <f>IF($D3483="","",IFERROR(INDEX(Mapping!$H$3:$H$32,MATCH($B3483,Mapping!$G$3:$G$32,0)),IF(LEFT($F3483,3)="P2P",IFERROR(INDEX(Mapping!$E$3:$E$6,MATCH($G3483,Mapping!$D$3:$D$6,0)),IFERROR(INDEX(Mapping!$B$3:$B$13,MATCH($J3483,Mapping!$A$3:$A$13,0)),"(unmapped)")),IFERROR(INDEX(Mapping!$B$17:$B$22,MATCH($F3483,Mapping!$A$17:$A$22,0)),$F3483)&amp;" "&amp;IF($G3483="Banking","Banking",IFERROR(INDEX(Mapping!$E$17:$E$28,MATCH($J3483,Mapping!$D$17:$D$28,0)),"(unmapped)")))))</f>
        <v/>
      </c>
    </row>
    <row r="3484" spans="11:11" x14ac:dyDescent="0.3">
      <c r="K3484" t="str">
        <f>IF($D3484="","",IFERROR(INDEX(Mapping!$H$3:$H$32,MATCH($B3484,Mapping!$G$3:$G$32,0)),IF(LEFT($F3484,3)="P2P",IFERROR(INDEX(Mapping!$E$3:$E$6,MATCH($G3484,Mapping!$D$3:$D$6,0)),IFERROR(INDEX(Mapping!$B$3:$B$13,MATCH($J3484,Mapping!$A$3:$A$13,0)),"(unmapped)")),IFERROR(INDEX(Mapping!$B$17:$B$22,MATCH($F3484,Mapping!$A$17:$A$22,0)),$F3484)&amp;" "&amp;IF($G3484="Banking","Banking",IFERROR(INDEX(Mapping!$E$17:$E$28,MATCH($J3484,Mapping!$D$17:$D$28,0)),"(unmapped)")))))</f>
        <v/>
      </c>
    </row>
    <row r="3485" spans="11:11" x14ac:dyDescent="0.3">
      <c r="K3485" t="str">
        <f>IF($D3485="","",IFERROR(INDEX(Mapping!$H$3:$H$32,MATCH($B3485,Mapping!$G$3:$G$32,0)),IF(LEFT($F3485,3)="P2P",IFERROR(INDEX(Mapping!$E$3:$E$6,MATCH($G3485,Mapping!$D$3:$D$6,0)),IFERROR(INDEX(Mapping!$B$3:$B$13,MATCH($J3485,Mapping!$A$3:$A$13,0)),"(unmapped)")),IFERROR(INDEX(Mapping!$B$17:$B$22,MATCH($F3485,Mapping!$A$17:$A$22,0)),$F3485)&amp;" "&amp;IF($G3485="Banking","Banking",IFERROR(INDEX(Mapping!$E$17:$E$28,MATCH($J3485,Mapping!$D$17:$D$28,0)),"(unmapped)")))))</f>
        <v/>
      </c>
    </row>
    <row r="3486" spans="11:11" x14ac:dyDescent="0.3">
      <c r="K3486" t="str">
        <f>IF($D3486="","",IFERROR(INDEX(Mapping!$H$3:$H$32,MATCH($B3486,Mapping!$G$3:$G$32,0)),IF(LEFT($F3486,3)="P2P",IFERROR(INDEX(Mapping!$E$3:$E$6,MATCH($G3486,Mapping!$D$3:$D$6,0)),IFERROR(INDEX(Mapping!$B$3:$B$13,MATCH($J3486,Mapping!$A$3:$A$13,0)),"(unmapped)")),IFERROR(INDEX(Mapping!$B$17:$B$22,MATCH($F3486,Mapping!$A$17:$A$22,0)),$F3486)&amp;" "&amp;IF($G3486="Banking","Banking",IFERROR(INDEX(Mapping!$E$17:$E$28,MATCH($J3486,Mapping!$D$17:$D$28,0)),"(unmapped)")))))</f>
        <v/>
      </c>
    </row>
    <row r="3487" spans="11:11" x14ac:dyDescent="0.3">
      <c r="K3487" t="str">
        <f>IF($D3487="","",IFERROR(INDEX(Mapping!$H$3:$H$32,MATCH($B3487,Mapping!$G$3:$G$32,0)),IF(LEFT($F3487,3)="P2P",IFERROR(INDEX(Mapping!$E$3:$E$6,MATCH($G3487,Mapping!$D$3:$D$6,0)),IFERROR(INDEX(Mapping!$B$3:$B$13,MATCH($J3487,Mapping!$A$3:$A$13,0)),"(unmapped)")),IFERROR(INDEX(Mapping!$B$17:$B$22,MATCH($F3487,Mapping!$A$17:$A$22,0)),$F3487)&amp;" "&amp;IF($G3487="Banking","Banking",IFERROR(INDEX(Mapping!$E$17:$E$28,MATCH($J3487,Mapping!$D$17:$D$28,0)),"(unmapped)")))))</f>
        <v/>
      </c>
    </row>
    <row r="3488" spans="11:11" x14ac:dyDescent="0.3">
      <c r="K3488" t="str">
        <f>IF($D3488="","",IFERROR(INDEX(Mapping!$H$3:$H$32,MATCH($B3488,Mapping!$G$3:$G$32,0)),IF(LEFT($F3488,3)="P2P",IFERROR(INDEX(Mapping!$E$3:$E$6,MATCH($G3488,Mapping!$D$3:$D$6,0)),IFERROR(INDEX(Mapping!$B$3:$B$13,MATCH($J3488,Mapping!$A$3:$A$13,0)),"(unmapped)")),IFERROR(INDEX(Mapping!$B$17:$B$22,MATCH($F3488,Mapping!$A$17:$A$22,0)),$F3488)&amp;" "&amp;IF($G3488="Banking","Banking",IFERROR(INDEX(Mapping!$E$17:$E$28,MATCH($J3488,Mapping!$D$17:$D$28,0)),"(unmapped)")))))</f>
        <v/>
      </c>
    </row>
    <row r="3489" spans="11:11" x14ac:dyDescent="0.3">
      <c r="K3489" t="str">
        <f>IF($D3489="","",IFERROR(INDEX(Mapping!$H$3:$H$32,MATCH($B3489,Mapping!$G$3:$G$32,0)),IF(LEFT($F3489,3)="P2P",IFERROR(INDEX(Mapping!$E$3:$E$6,MATCH($G3489,Mapping!$D$3:$D$6,0)),IFERROR(INDEX(Mapping!$B$3:$B$13,MATCH($J3489,Mapping!$A$3:$A$13,0)),"(unmapped)")),IFERROR(INDEX(Mapping!$B$17:$B$22,MATCH($F3489,Mapping!$A$17:$A$22,0)),$F3489)&amp;" "&amp;IF($G3489="Banking","Banking",IFERROR(INDEX(Mapping!$E$17:$E$28,MATCH($J3489,Mapping!$D$17:$D$28,0)),"(unmapped)")))))</f>
        <v/>
      </c>
    </row>
    <row r="3490" spans="11:11" x14ac:dyDescent="0.3">
      <c r="K3490" t="str">
        <f>IF($D3490="","",IFERROR(INDEX(Mapping!$H$3:$H$32,MATCH($B3490,Mapping!$G$3:$G$32,0)),IF(LEFT($F3490,3)="P2P",IFERROR(INDEX(Mapping!$E$3:$E$6,MATCH($G3490,Mapping!$D$3:$D$6,0)),IFERROR(INDEX(Mapping!$B$3:$B$13,MATCH($J3490,Mapping!$A$3:$A$13,0)),"(unmapped)")),IFERROR(INDEX(Mapping!$B$17:$B$22,MATCH($F3490,Mapping!$A$17:$A$22,0)),$F3490)&amp;" "&amp;IF($G3490="Banking","Banking",IFERROR(INDEX(Mapping!$E$17:$E$28,MATCH($J3490,Mapping!$D$17:$D$28,0)),"(unmapped)")))))</f>
        <v/>
      </c>
    </row>
    <row r="3491" spans="11:11" x14ac:dyDescent="0.3">
      <c r="K3491" t="str">
        <f>IF($D3491="","",IFERROR(INDEX(Mapping!$H$3:$H$32,MATCH($B3491,Mapping!$G$3:$G$32,0)),IF(LEFT($F3491,3)="P2P",IFERROR(INDEX(Mapping!$E$3:$E$6,MATCH($G3491,Mapping!$D$3:$D$6,0)),IFERROR(INDEX(Mapping!$B$3:$B$13,MATCH($J3491,Mapping!$A$3:$A$13,0)),"(unmapped)")),IFERROR(INDEX(Mapping!$B$17:$B$22,MATCH($F3491,Mapping!$A$17:$A$22,0)),$F3491)&amp;" "&amp;IF($G3491="Banking","Banking",IFERROR(INDEX(Mapping!$E$17:$E$28,MATCH($J3491,Mapping!$D$17:$D$28,0)),"(unmapped)")))))</f>
        <v/>
      </c>
    </row>
    <row r="3492" spans="11:11" x14ac:dyDescent="0.3">
      <c r="K3492" t="str">
        <f>IF($D3492="","",IFERROR(INDEX(Mapping!$H$3:$H$32,MATCH($B3492,Mapping!$G$3:$G$32,0)),IF(LEFT($F3492,3)="P2P",IFERROR(INDEX(Mapping!$E$3:$E$6,MATCH($G3492,Mapping!$D$3:$D$6,0)),IFERROR(INDEX(Mapping!$B$3:$B$13,MATCH($J3492,Mapping!$A$3:$A$13,0)),"(unmapped)")),IFERROR(INDEX(Mapping!$B$17:$B$22,MATCH($F3492,Mapping!$A$17:$A$22,0)),$F3492)&amp;" "&amp;IF($G3492="Banking","Banking",IFERROR(INDEX(Mapping!$E$17:$E$28,MATCH($J3492,Mapping!$D$17:$D$28,0)),"(unmapped)")))))</f>
        <v/>
      </c>
    </row>
    <row r="3493" spans="11:11" x14ac:dyDescent="0.3">
      <c r="K3493" t="str">
        <f>IF($D3493="","",IFERROR(INDEX(Mapping!$H$3:$H$32,MATCH($B3493,Mapping!$G$3:$G$32,0)),IF(LEFT($F3493,3)="P2P",IFERROR(INDEX(Mapping!$E$3:$E$6,MATCH($G3493,Mapping!$D$3:$D$6,0)),IFERROR(INDEX(Mapping!$B$3:$B$13,MATCH($J3493,Mapping!$A$3:$A$13,0)),"(unmapped)")),IFERROR(INDEX(Mapping!$B$17:$B$22,MATCH($F3493,Mapping!$A$17:$A$22,0)),$F3493)&amp;" "&amp;IF($G3493="Banking","Banking",IFERROR(INDEX(Mapping!$E$17:$E$28,MATCH($J3493,Mapping!$D$17:$D$28,0)),"(unmapped)")))))</f>
        <v/>
      </c>
    </row>
    <row r="3494" spans="11:11" x14ac:dyDescent="0.3">
      <c r="K3494" t="str">
        <f>IF($D3494="","",IFERROR(INDEX(Mapping!$H$3:$H$32,MATCH($B3494,Mapping!$G$3:$G$32,0)),IF(LEFT($F3494,3)="P2P",IFERROR(INDEX(Mapping!$E$3:$E$6,MATCH($G3494,Mapping!$D$3:$D$6,0)),IFERROR(INDEX(Mapping!$B$3:$B$13,MATCH($J3494,Mapping!$A$3:$A$13,0)),"(unmapped)")),IFERROR(INDEX(Mapping!$B$17:$B$22,MATCH($F3494,Mapping!$A$17:$A$22,0)),$F3494)&amp;" "&amp;IF($G3494="Banking","Banking",IFERROR(INDEX(Mapping!$E$17:$E$28,MATCH($J3494,Mapping!$D$17:$D$28,0)),"(unmapped)")))))</f>
        <v/>
      </c>
    </row>
    <row r="3495" spans="11:11" x14ac:dyDescent="0.3">
      <c r="K3495" t="str">
        <f>IF($D3495="","",IFERROR(INDEX(Mapping!$H$3:$H$32,MATCH($B3495,Mapping!$G$3:$G$32,0)),IF(LEFT($F3495,3)="P2P",IFERROR(INDEX(Mapping!$E$3:$E$6,MATCH($G3495,Mapping!$D$3:$D$6,0)),IFERROR(INDEX(Mapping!$B$3:$B$13,MATCH($J3495,Mapping!$A$3:$A$13,0)),"(unmapped)")),IFERROR(INDEX(Mapping!$B$17:$B$22,MATCH($F3495,Mapping!$A$17:$A$22,0)),$F3495)&amp;" "&amp;IF($G3495="Banking","Banking",IFERROR(INDEX(Mapping!$E$17:$E$28,MATCH($J3495,Mapping!$D$17:$D$28,0)),"(unmapped)")))))</f>
        <v/>
      </c>
    </row>
    <row r="3496" spans="11:11" x14ac:dyDescent="0.3">
      <c r="K3496" t="str">
        <f>IF($D3496="","",IFERROR(INDEX(Mapping!$H$3:$H$32,MATCH($B3496,Mapping!$G$3:$G$32,0)),IF(LEFT($F3496,3)="P2P",IFERROR(INDEX(Mapping!$E$3:$E$6,MATCH($G3496,Mapping!$D$3:$D$6,0)),IFERROR(INDEX(Mapping!$B$3:$B$13,MATCH($J3496,Mapping!$A$3:$A$13,0)),"(unmapped)")),IFERROR(INDEX(Mapping!$B$17:$B$22,MATCH($F3496,Mapping!$A$17:$A$22,0)),$F3496)&amp;" "&amp;IF($G3496="Banking","Banking",IFERROR(INDEX(Mapping!$E$17:$E$28,MATCH($J3496,Mapping!$D$17:$D$28,0)),"(unmapped)")))))</f>
        <v/>
      </c>
    </row>
    <row r="3497" spans="11:11" x14ac:dyDescent="0.3">
      <c r="K3497" t="str">
        <f>IF($D3497="","",IFERROR(INDEX(Mapping!$H$3:$H$32,MATCH($B3497,Mapping!$G$3:$G$32,0)),IF(LEFT($F3497,3)="P2P",IFERROR(INDEX(Mapping!$E$3:$E$6,MATCH($G3497,Mapping!$D$3:$D$6,0)),IFERROR(INDEX(Mapping!$B$3:$B$13,MATCH($J3497,Mapping!$A$3:$A$13,0)),"(unmapped)")),IFERROR(INDEX(Mapping!$B$17:$B$22,MATCH($F3497,Mapping!$A$17:$A$22,0)),$F3497)&amp;" "&amp;IF($G3497="Banking","Banking",IFERROR(INDEX(Mapping!$E$17:$E$28,MATCH($J3497,Mapping!$D$17:$D$28,0)),"(unmapped)")))))</f>
        <v/>
      </c>
    </row>
    <row r="3498" spans="11:11" x14ac:dyDescent="0.3">
      <c r="K3498" t="str">
        <f>IF($D3498="","",IFERROR(INDEX(Mapping!$H$3:$H$32,MATCH($B3498,Mapping!$G$3:$G$32,0)),IF(LEFT($F3498,3)="P2P",IFERROR(INDEX(Mapping!$E$3:$E$6,MATCH($G3498,Mapping!$D$3:$D$6,0)),IFERROR(INDEX(Mapping!$B$3:$B$13,MATCH($J3498,Mapping!$A$3:$A$13,0)),"(unmapped)")),IFERROR(INDEX(Mapping!$B$17:$B$22,MATCH($F3498,Mapping!$A$17:$A$22,0)),$F3498)&amp;" "&amp;IF($G3498="Banking","Banking",IFERROR(INDEX(Mapping!$E$17:$E$28,MATCH($J3498,Mapping!$D$17:$D$28,0)),"(unmapped)")))))</f>
        <v/>
      </c>
    </row>
    <row r="3499" spans="11:11" x14ac:dyDescent="0.3">
      <c r="K3499" t="str">
        <f>IF($D3499="","",IFERROR(INDEX(Mapping!$H$3:$H$32,MATCH($B3499,Mapping!$G$3:$G$32,0)),IF(LEFT($F3499,3)="P2P",IFERROR(INDEX(Mapping!$E$3:$E$6,MATCH($G3499,Mapping!$D$3:$D$6,0)),IFERROR(INDEX(Mapping!$B$3:$B$13,MATCH($J3499,Mapping!$A$3:$A$13,0)),"(unmapped)")),IFERROR(INDEX(Mapping!$B$17:$B$22,MATCH($F3499,Mapping!$A$17:$A$22,0)),$F3499)&amp;" "&amp;IF($G3499="Banking","Banking",IFERROR(INDEX(Mapping!$E$17:$E$28,MATCH($J3499,Mapping!$D$17:$D$28,0)),"(unmapped)")))))</f>
        <v/>
      </c>
    </row>
    <row r="3500" spans="11:11" x14ac:dyDescent="0.3">
      <c r="K3500" t="str">
        <f>IF($D3500="","",IFERROR(INDEX(Mapping!$H$3:$H$32,MATCH($B3500,Mapping!$G$3:$G$32,0)),IF(LEFT($F3500,3)="P2P",IFERROR(INDEX(Mapping!$E$3:$E$6,MATCH($G3500,Mapping!$D$3:$D$6,0)),IFERROR(INDEX(Mapping!$B$3:$B$13,MATCH($J3500,Mapping!$A$3:$A$13,0)),"(unmapped)")),IFERROR(INDEX(Mapping!$B$17:$B$22,MATCH($F3500,Mapping!$A$17:$A$22,0)),$F3500)&amp;" "&amp;IF($G3500="Banking","Banking",IFERROR(INDEX(Mapping!$E$17:$E$28,MATCH($J3500,Mapping!$D$17:$D$28,0)),"(unmapped)")))))</f>
        <v/>
      </c>
    </row>
    <row r="3501" spans="11:11" x14ac:dyDescent="0.3">
      <c r="K3501" t="str">
        <f>IF($D3501="","",IFERROR(INDEX(Mapping!$H$3:$H$32,MATCH($B3501,Mapping!$G$3:$G$32,0)),IF(LEFT($F3501,3)="P2P",IFERROR(INDEX(Mapping!$E$3:$E$6,MATCH($G3501,Mapping!$D$3:$D$6,0)),IFERROR(INDEX(Mapping!$B$3:$B$13,MATCH($J3501,Mapping!$A$3:$A$13,0)),"(unmapped)")),IFERROR(INDEX(Mapping!$B$17:$B$22,MATCH($F3501,Mapping!$A$17:$A$22,0)),$F3501)&amp;" "&amp;IF($G3501="Banking","Banking",IFERROR(INDEX(Mapping!$E$17:$E$28,MATCH($J3501,Mapping!$D$17:$D$28,0)),"(unmapped)")))))</f>
        <v/>
      </c>
    </row>
    <row r="3502" spans="11:11" x14ac:dyDescent="0.3">
      <c r="K3502" t="str">
        <f>IF($D3502="","",IFERROR(INDEX(Mapping!$H$3:$H$32,MATCH($B3502,Mapping!$G$3:$G$32,0)),IF(LEFT($F3502,3)="P2P",IFERROR(INDEX(Mapping!$E$3:$E$6,MATCH($G3502,Mapping!$D$3:$D$6,0)),IFERROR(INDEX(Mapping!$B$3:$B$13,MATCH($J3502,Mapping!$A$3:$A$13,0)),"(unmapped)")),IFERROR(INDEX(Mapping!$B$17:$B$22,MATCH($F3502,Mapping!$A$17:$A$22,0)),$F3502)&amp;" "&amp;IF($G3502="Banking","Banking",IFERROR(INDEX(Mapping!$E$17:$E$28,MATCH($J3502,Mapping!$D$17:$D$28,0)),"(unmapped)")))))</f>
        <v/>
      </c>
    </row>
    <row r="3503" spans="11:11" x14ac:dyDescent="0.3">
      <c r="K3503" t="str">
        <f>IF($D3503="","",IFERROR(INDEX(Mapping!$H$3:$H$32,MATCH($B3503,Mapping!$G$3:$G$32,0)),IF(LEFT($F3503,3)="P2P",IFERROR(INDEX(Mapping!$E$3:$E$6,MATCH($G3503,Mapping!$D$3:$D$6,0)),IFERROR(INDEX(Mapping!$B$3:$B$13,MATCH($J3503,Mapping!$A$3:$A$13,0)),"(unmapped)")),IFERROR(INDEX(Mapping!$B$17:$B$22,MATCH($F3503,Mapping!$A$17:$A$22,0)),$F3503)&amp;" "&amp;IF($G3503="Banking","Banking",IFERROR(INDEX(Mapping!$E$17:$E$28,MATCH($J3503,Mapping!$D$17:$D$28,0)),"(unmapped)")))))</f>
        <v/>
      </c>
    </row>
    <row r="3504" spans="11:11" x14ac:dyDescent="0.3">
      <c r="K3504" t="str">
        <f>IF($D3504="","",IFERROR(INDEX(Mapping!$H$3:$H$32,MATCH($B3504,Mapping!$G$3:$G$32,0)),IF(LEFT($F3504,3)="P2P",IFERROR(INDEX(Mapping!$E$3:$E$6,MATCH($G3504,Mapping!$D$3:$D$6,0)),IFERROR(INDEX(Mapping!$B$3:$B$13,MATCH($J3504,Mapping!$A$3:$A$13,0)),"(unmapped)")),IFERROR(INDEX(Mapping!$B$17:$B$22,MATCH($F3504,Mapping!$A$17:$A$22,0)),$F3504)&amp;" "&amp;IF($G3504="Banking","Banking",IFERROR(INDEX(Mapping!$E$17:$E$28,MATCH($J3504,Mapping!$D$17:$D$28,0)),"(unmapped)")))))</f>
        <v/>
      </c>
    </row>
    <row r="3505" spans="11:11" x14ac:dyDescent="0.3">
      <c r="K3505" t="str">
        <f>IF($D3505="","",IFERROR(INDEX(Mapping!$H$3:$H$32,MATCH($B3505,Mapping!$G$3:$G$32,0)),IF(LEFT($F3505,3)="P2P",IFERROR(INDEX(Mapping!$E$3:$E$6,MATCH($G3505,Mapping!$D$3:$D$6,0)),IFERROR(INDEX(Mapping!$B$3:$B$13,MATCH($J3505,Mapping!$A$3:$A$13,0)),"(unmapped)")),IFERROR(INDEX(Mapping!$B$17:$B$22,MATCH($F3505,Mapping!$A$17:$A$22,0)),$F3505)&amp;" "&amp;IF($G3505="Banking","Banking",IFERROR(INDEX(Mapping!$E$17:$E$28,MATCH($J3505,Mapping!$D$17:$D$28,0)),"(unmapped)")))))</f>
        <v/>
      </c>
    </row>
    <row r="3506" spans="11:11" x14ac:dyDescent="0.3">
      <c r="K3506" t="str">
        <f>IF($D3506="","",IFERROR(INDEX(Mapping!$H$3:$H$32,MATCH($B3506,Mapping!$G$3:$G$32,0)),IF(LEFT($F3506,3)="P2P",IFERROR(INDEX(Mapping!$E$3:$E$6,MATCH($G3506,Mapping!$D$3:$D$6,0)),IFERROR(INDEX(Mapping!$B$3:$B$13,MATCH($J3506,Mapping!$A$3:$A$13,0)),"(unmapped)")),IFERROR(INDEX(Mapping!$B$17:$B$22,MATCH($F3506,Mapping!$A$17:$A$22,0)),$F3506)&amp;" "&amp;IF($G3506="Banking","Banking",IFERROR(INDEX(Mapping!$E$17:$E$28,MATCH($J3506,Mapping!$D$17:$D$28,0)),"(unmapped)")))))</f>
        <v/>
      </c>
    </row>
    <row r="3507" spans="11:11" x14ac:dyDescent="0.3">
      <c r="K3507" t="str">
        <f>IF($D3507="","",IFERROR(INDEX(Mapping!$H$3:$H$32,MATCH($B3507,Mapping!$G$3:$G$32,0)),IF(LEFT($F3507,3)="P2P",IFERROR(INDEX(Mapping!$E$3:$E$6,MATCH($G3507,Mapping!$D$3:$D$6,0)),IFERROR(INDEX(Mapping!$B$3:$B$13,MATCH($J3507,Mapping!$A$3:$A$13,0)),"(unmapped)")),IFERROR(INDEX(Mapping!$B$17:$B$22,MATCH($F3507,Mapping!$A$17:$A$22,0)),$F3507)&amp;" "&amp;IF($G3507="Banking","Banking",IFERROR(INDEX(Mapping!$E$17:$E$28,MATCH($J3507,Mapping!$D$17:$D$28,0)),"(unmapped)")))))</f>
        <v/>
      </c>
    </row>
    <row r="3508" spans="11:11" x14ac:dyDescent="0.3">
      <c r="K3508" t="str">
        <f>IF($D3508="","",IFERROR(INDEX(Mapping!$H$3:$H$32,MATCH($B3508,Mapping!$G$3:$G$32,0)),IF(LEFT($F3508,3)="P2P",IFERROR(INDEX(Mapping!$E$3:$E$6,MATCH($G3508,Mapping!$D$3:$D$6,0)),IFERROR(INDEX(Mapping!$B$3:$B$13,MATCH($J3508,Mapping!$A$3:$A$13,0)),"(unmapped)")),IFERROR(INDEX(Mapping!$B$17:$B$22,MATCH($F3508,Mapping!$A$17:$A$22,0)),$F3508)&amp;" "&amp;IF($G3508="Banking","Banking",IFERROR(INDEX(Mapping!$E$17:$E$28,MATCH($J3508,Mapping!$D$17:$D$28,0)),"(unmapped)")))))</f>
        <v/>
      </c>
    </row>
    <row r="3509" spans="11:11" x14ac:dyDescent="0.3">
      <c r="K3509" t="str">
        <f>IF($D3509="","",IFERROR(INDEX(Mapping!$H$3:$H$32,MATCH($B3509,Mapping!$G$3:$G$32,0)),IF(LEFT($F3509,3)="P2P",IFERROR(INDEX(Mapping!$E$3:$E$6,MATCH($G3509,Mapping!$D$3:$D$6,0)),IFERROR(INDEX(Mapping!$B$3:$B$13,MATCH($J3509,Mapping!$A$3:$A$13,0)),"(unmapped)")),IFERROR(INDEX(Mapping!$B$17:$B$22,MATCH($F3509,Mapping!$A$17:$A$22,0)),$F3509)&amp;" "&amp;IF($G3509="Banking","Banking",IFERROR(INDEX(Mapping!$E$17:$E$28,MATCH($J3509,Mapping!$D$17:$D$28,0)),"(unmapped)")))))</f>
        <v/>
      </c>
    </row>
    <row r="3510" spans="11:11" x14ac:dyDescent="0.3">
      <c r="K3510" t="str">
        <f>IF($D3510="","",IFERROR(INDEX(Mapping!$H$3:$H$32,MATCH($B3510,Mapping!$G$3:$G$32,0)),IF(LEFT($F3510,3)="P2P",IFERROR(INDEX(Mapping!$E$3:$E$6,MATCH($G3510,Mapping!$D$3:$D$6,0)),IFERROR(INDEX(Mapping!$B$3:$B$13,MATCH($J3510,Mapping!$A$3:$A$13,0)),"(unmapped)")),IFERROR(INDEX(Mapping!$B$17:$B$22,MATCH($F3510,Mapping!$A$17:$A$22,0)),$F3510)&amp;" "&amp;IF($G3510="Banking","Banking",IFERROR(INDEX(Mapping!$E$17:$E$28,MATCH($J3510,Mapping!$D$17:$D$28,0)),"(unmapped)")))))</f>
        <v/>
      </c>
    </row>
    <row r="3511" spans="11:11" x14ac:dyDescent="0.3">
      <c r="K3511" t="str">
        <f>IF($D3511="","",IFERROR(INDEX(Mapping!$H$3:$H$32,MATCH($B3511,Mapping!$G$3:$G$32,0)),IF(LEFT($F3511,3)="P2P",IFERROR(INDEX(Mapping!$E$3:$E$6,MATCH($G3511,Mapping!$D$3:$D$6,0)),IFERROR(INDEX(Mapping!$B$3:$B$13,MATCH($J3511,Mapping!$A$3:$A$13,0)),"(unmapped)")),IFERROR(INDEX(Mapping!$B$17:$B$22,MATCH($F3511,Mapping!$A$17:$A$22,0)),$F3511)&amp;" "&amp;IF($G3511="Banking","Banking",IFERROR(INDEX(Mapping!$E$17:$E$28,MATCH($J3511,Mapping!$D$17:$D$28,0)),"(unmapped)")))))</f>
        <v/>
      </c>
    </row>
    <row r="3512" spans="11:11" x14ac:dyDescent="0.3">
      <c r="K3512" t="str">
        <f>IF($D3512="","",IFERROR(INDEX(Mapping!$H$3:$H$32,MATCH($B3512,Mapping!$G$3:$G$32,0)),IF(LEFT($F3512,3)="P2P",IFERROR(INDEX(Mapping!$E$3:$E$6,MATCH($G3512,Mapping!$D$3:$D$6,0)),IFERROR(INDEX(Mapping!$B$3:$B$13,MATCH($J3512,Mapping!$A$3:$A$13,0)),"(unmapped)")),IFERROR(INDEX(Mapping!$B$17:$B$22,MATCH($F3512,Mapping!$A$17:$A$22,0)),$F3512)&amp;" "&amp;IF($G3512="Banking","Banking",IFERROR(INDEX(Mapping!$E$17:$E$28,MATCH($J3512,Mapping!$D$17:$D$28,0)),"(unmapped)")))))</f>
        <v/>
      </c>
    </row>
    <row r="3513" spans="11:11" x14ac:dyDescent="0.3">
      <c r="K3513" t="str">
        <f>IF($D3513="","",IFERROR(INDEX(Mapping!$H$3:$H$32,MATCH($B3513,Mapping!$G$3:$G$32,0)),IF(LEFT($F3513,3)="P2P",IFERROR(INDEX(Mapping!$E$3:$E$6,MATCH($G3513,Mapping!$D$3:$D$6,0)),IFERROR(INDEX(Mapping!$B$3:$B$13,MATCH($J3513,Mapping!$A$3:$A$13,0)),"(unmapped)")),IFERROR(INDEX(Mapping!$B$17:$B$22,MATCH($F3513,Mapping!$A$17:$A$22,0)),$F3513)&amp;" "&amp;IF($G3513="Banking","Banking",IFERROR(INDEX(Mapping!$E$17:$E$28,MATCH($J3513,Mapping!$D$17:$D$28,0)),"(unmapped)")))))</f>
        <v/>
      </c>
    </row>
    <row r="3514" spans="11:11" x14ac:dyDescent="0.3">
      <c r="K3514" t="str">
        <f>IF($D3514="","",IFERROR(INDEX(Mapping!$H$3:$H$32,MATCH($B3514,Mapping!$G$3:$G$32,0)),IF(LEFT($F3514,3)="P2P",IFERROR(INDEX(Mapping!$E$3:$E$6,MATCH($G3514,Mapping!$D$3:$D$6,0)),IFERROR(INDEX(Mapping!$B$3:$B$13,MATCH($J3514,Mapping!$A$3:$A$13,0)),"(unmapped)")),IFERROR(INDEX(Mapping!$B$17:$B$22,MATCH($F3514,Mapping!$A$17:$A$22,0)),$F3514)&amp;" "&amp;IF($G3514="Banking","Banking",IFERROR(INDEX(Mapping!$E$17:$E$28,MATCH($J3514,Mapping!$D$17:$D$28,0)),"(unmapped)")))))</f>
        <v/>
      </c>
    </row>
    <row r="3515" spans="11:11" x14ac:dyDescent="0.3">
      <c r="K3515" t="str">
        <f>IF($D3515="","",IFERROR(INDEX(Mapping!$H$3:$H$32,MATCH($B3515,Mapping!$G$3:$G$32,0)),IF(LEFT($F3515,3)="P2P",IFERROR(INDEX(Mapping!$E$3:$E$6,MATCH($G3515,Mapping!$D$3:$D$6,0)),IFERROR(INDEX(Mapping!$B$3:$B$13,MATCH($J3515,Mapping!$A$3:$A$13,0)),"(unmapped)")),IFERROR(INDEX(Mapping!$B$17:$B$22,MATCH($F3515,Mapping!$A$17:$A$22,0)),$F3515)&amp;" "&amp;IF($G3515="Banking","Banking",IFERROR(INDEX(Mapping!$E$17:$E$28,MATCH($J3515,Mapping!$D$17:$D$28,0)),"(unmapped)")))))</f>
        <v/>
      </c>
    </row>
    <row r="3516" spans="11:11" x14ac:dyDescent="0.3">
      <c r="K3516" t="str">
        <f>IF($D3516="","",IFERROR(INDEX(Mapping!$H$3:$H$32,MATCH($B3516,Mapping!$G$3:$G$32,0)),IF(LEFT($F3516,3)="P2P",IFERROR(INDEX(Mapping!$E$3:$E$6,MATCH($G3516,Mapping!$D$3:$D$6,0)),IFERROR(INDEX(Mapping!$B$3:$B$13,MATCH($J3516,Mapping!$A$3:$A$13,0)),"(unmapped)")),IFERROR(INDEX(Mapping!$B$17:$B$22,MATCH($F3516,Mapping!$A$17:$A$22,0)),$F3516)&amp;" "&amp;IF($G3516="Banking","Banking",IFERROR(INDEX(Mapping!$E$17:$E$28,MATCH($J3516,Mapping!$D$17:$D$28,0)),"(unmapped)")))))</f>
        <v/>
      </c>
    </row>
    <row r="3517" spans="11:11" x14ac:dyDescent="0.3">
      <c r="K3517" t="str">
        <f>IF($D3517="","",IFERROR(INDEX(Mapping!$H$3:$H$32,MATCH($B3517,Mapping!$G$3:$G$32,0)),IF(LEFT($F3517,3)="P2P",IFERROR(INDEX(Mapping!$E$3:$E$6,MATCH($G3517,Mapping!$D$3:$D$6,0)),IFERROR(INDEX(Mapping!$B$3:$B$13,MATCH($J3517,Mapping!$A$3:$A$13,0)),"(unmapped)")),IFERROR(INDEX(Mapping!$B$17:$B$22,MATCH($F3517,Mapping!$A$17:$A$22,0)),$F3517)&amp;" "&amp;IF($G3517="Banking","Banking",IFERROR(INDEX(Mapping!$E$17:$E$28,MATCH($J3517,Mapping!$D$17:$D$28,0)),"(unmapped)")))))</f>
        <v/>
      </c>
    </row>
    <row r="3518" spans="11:11" x14ac:dyDescent="0.3">
      <c r="K3518" t="str">
        <f>IF($D3518="","",IFERROR(INDEX(Mapping!$H$3:$H$32,MATCH($B3518,Mapping!$G$3:$G$32,0)),IF(LEFT($F3518,3)="P2P",IFERROR(INDEX(Mapping!$E$3:$E$6,MATCH($G3518,Mapping!$D$3:$D$6,0)),IFERROR(INDEX(Mapping!$B$3:$B$13,MATCH($J3518,Mapping!$A$3:$A$13,0)),"(unmapped)")),IFERROR(INDEX(Mapping!$B$17:$B$22,MATCH($F3518,Mapping!$A$17:$A$22,0)),$F3518)&amp;" "&amp;IF($G3518="Banking","Banking",IFERROR(INDEX(Mapping!$E$17:$E$28,MATCH($J3518,Mapping!$D$17:$D$28,0)),"(unmapped)")))))</f>
        <v/>
      </c>
    </row>
    <row r="3519" spans="11:11" x14ac:dyDescent="0.3">
      <c r="K3519" t="str">
        <f>IF($D3519="","",IFERROR(INDEX(Mapping!$H$3:$H$32,MATCH($B3519,Mapping!$G$3:$G$32,0)),IF(LEFT($F3519,3)="P2P",IFERROR(INDEX(Mapping!$E$3:$E$6,MATCH($G3519,Mapping!$D$3:$D$6,0)),IFERROR(INDEX(Mapping!$B$3:$B$13,MATCH($J3519,Mapping!$A$3:$A$13,0)),"(unmapped)")),IFERROR(INDEX(Mapping!$B$17:$B$22,MATCH($F3519,Mapping!$A$17:$A$22,0)),$F3519)&amp;" "&amp;IF($G3519="Banking","Banking",IFERROR(INDEX(Mapping!$E$17:$E$28,MATCH($J3519,Mapping!$D$17:$D$28,0)),"(unmapped)")))))</f>
        <v/>
      </c>
    </row>
    <row r="3520" spans="11:11" x14ac:dyDescent="0.3">
      <c r="K3520" t="str">
        <f>IF($D3520="","",IFERROR(INDEX(Mapping!$H$3:$H$32,MATCH($B3520,Mapping!$G$3:$G$32,0)),IF(LEFT($F3520,3)="P2P",IFERROR(INDEX(Mapping!$E$3:$E$6,MATCH($G3520,Mapping!$D$3:$D$6,0)),IFERROR(INDEX(Mapping!$B$3:$B$13,MATCH($J3520,Mapping!$A$3:$A$13,0)),"(unmapped)")),IFERROR(INDEX(Mapping!$B$17:$B$22,MATCH($F3520,Mapping!$A$17:$A$22,0)),$F3520)&amp;" "&amp;IF($G3520="Banking","Banking",IFERROR(INDEX(Mapping!$E$17:$E$28,MATCH($J3520,Mapping!$D$17:$D$28,0)),"(unmapped)")))))</f>
        <v/>
      </c>
    </row>
    <row r="3521" spans="11:11" x14ac:dyDescent="0.3">
      <c r="K3521" t="str">
        <f>IF($D3521="","",IFERROR(INDEX(Mapping!$H$3:$H$32,MATCH($B3521,Mapping!$G$3:$G$32,0)),IF(LEFT($F3521,3)="P2P",IFERROR(INDEX(Mapping!$E$3:$E$6,MATCH($G3521,Mapping!$D$3:$D$6,0)),IFERROR(INDEX(Mapping!$B$3:$B$13,MATCH($J3521,Mapping!$A$3:$A$13,0)),"(unmapped)")),IFERROR(INDEX(Mapping!$B$17:$B$22,MATCH($F3521,Mapping!$A$17:$A$22,0)),$F3521)&amp;" "&amp;IF($G3521="Banking","Banking",IFERROR(INDEX(Mapping!$E$17:$E$28,MATCH($J3521,Mapping!$D$17:$D$28,0)),"(unmapped)")))))</f>
        <v/>
      </c>
    </row>
    <row r="3522" spans="11:11" x14ac:dyDescent="0.3">
      <c r="K3522" t="str">
        <f>IF($D3522="","",IFERROR(INDEX(Mapping!$H$3:$H$32,MATCH($B3522,Mapping!$G$3:$G$32,0)),IF(LEFT($F3522,3)="P2P",IFERROR(INDEX(Mapping!$E$3:$E$6,MATCH($G3522,Mapping!$D$3:$D$6,0)),IFERROR(INDEX(Mapping!$B$3:$B$13,MATCH($J3522,Mapping!$A$3:$A$13,0)),"(unmapped)")),IFERROR(INDEX(Mapping!$B$17:$B$22,MATCH($F3522,Mapping!$A$17:$A$22,0)),$F3522)&amp;" "&amp;IF($G3522="Banking","Banking",IFERROR(INDEX(Mapping!$E$17:$E$28,MATCH($J3522,Mapping!$D$17:$D$28,0)),"(unmapped)")))))</f>
        <v/>
      </c>
    </row>
    <row r="3523" spans="11:11" x14ac:dyDescent="0.3">
      <c r="K3523" t="str">
        <f>IF($D3523="","",IFERROR(INDEX(Mapping!$H$3:$H$32,MATCH($B3523,Mapping!$G$3:$G$32,0)),IF(LEFT($F3523,3)="P2P",IFERROR(INDEX(Mapping!$E$3:$E$6,MATCH($G3523,Mapping!$D$3:$D$6,0)),IFERROR(INDEX(Mapping!$B$3:$B$13,MATCH($J3523,Mapping!$A$3:$A$13,0)),"(unmapped)")),IFERROR(INDEX(Mapping!$B$17:$B$22,MATCH($F3523,Mapping!$A$17:$A$22,0)),$F3523)&amp;" "&amp;IF($G3523="Banking","Banking",IFERROR(INDEX(Mapping!$E$17:$E$28,MATCH($J3523,Mapping!$D$17:$D$28,0)),"(unmapped)")))))</f>
        <v/>
      </c>
    </row>
    <row r="3524" spans="11:11" x14ac:dyDescent="0.3">
      <c r="K3524" t="str">
        <f>IF($D3524="","",IFERROR(INDEX(Mapping!$H$3:$H$32,MATCH($B3524,Mapping!$G$3:$G$32,0)),IF(LEFT($F3524,3)="P2P",IFERROR(INDEX(Mapping!$E$3:$E$6,MATCH($G3524,Mapping!$D$3:$D$6,0)),IFERROR(INDEX(Mapping!$B$3:$B$13,MATCH($J3524,Mapping!$A$3:$A$13,0)),"(unmapped)")),IFERROR(INDEX(Mapping!$B$17:$B$22,MATCH($F3524,Mapping!$A$17:$A$22,0)),$F3524)&amp;" "&amp;IF($G3524="Banking","Banking",IFERROR(INDEX(Mapping!$E$17:$E$28,MATCH($J3524,Mapping!$D$17:$D$28,0)),"(unmapped)")))))</f>
        <v/>
      </c>
    </row>
    <row r="3525" spans="11:11" x14ac:dyDescent="0.3">
      <c r="K3525" t="str">
        <f>IF($D3525="","",IFERROR(INDEX(Mapping!$H$3:$H$32,MATCH($B3525,Mapping!$G$3:$G$32,0)),IF(LEFT($F3525,3)="P2P",IFERROR(INDEX(Mapping!$E$3:$E$6,MATCH($G3525,Mapping!$D$3:$D$6,0)),IFERROR(INDEX(Mapping!$B$3:$B$13,MATCH($J3525,Mapping!$A$3:$A$13,0)),"(unmapped)")),IFERROR(INDEX(Mapping!$B$17:$B$22,MATCH($F3525,Mapping!$A$17:$A$22,0)),$F3525)&amp;" "&amp;IF($G3525="Banking","Banking",IFERROR(INDEX(Mapping!$E$17:$E$28,MATCH($J3525,Mapping!$D$17:$D$28,0)),"(unmapped)")))))</f>
        <v/>
      </c>
    </row>
    <row r="3526" spans="11:11" x14ac:dyDescent="0.3">
      <c r="K3526" t="str">
        <f>IF($D3526="","",IFERROR(INDEX(Mapping!$H$3:$H$32,MATCH($B3526,Mapping!$G$3:$G$32,0)),IF(LEFT($F3526,3)="P2P",IFERROR(INDEX(Mapping!$E$3:$E$6,MATCH($G3526,Mapping!$D$3:$D$6,0)),IFERROR(INDEX(Mapping!$B$3:$B$13,MATCH($J3526,Mapping!$A$3:$A$13,0)),"(unmapped)")),IFERROR(INDEX(Mapping!$B$17:$B$22,MATCH($F3526,Mapping!$A$17:$A$22,0)),$F3526)&amp;" "&amp;IF($G3526="Banking","Banking",IFERROR(INDEX(Mapping!$E$17:$E$28,MATCH($J3526,Mapping!$D$17:$D$28,0)),"(unmapped)")))))</f>
        <v/>
      </c>
    </row>
    <row r="3527" spans="11:11" x14ac:dyDescent="0.3">
      <c r="K3527" t="str">
        <f>IF($D3527="","",IFERROR(INDEX(Mapping!$H$3:$H$32,MATCH($B3527,Mapping!$G$3:$G$32,0)),IF(LEFT($F3527,3)="P2P",IFERROR(INDEX(Mapping!$E$3:$E$6,MATCH($G3527,Mapping!$D$3:$D$6,0)),IFERROR(INDEX(Mapping!$B$3:$B$13,MATCH($J3527,Mapping!$A$3:$A$13,0)),"(unmapped)")),IFERROR(INDEX(Mapping!$B$17:$B$22,MATCH($F3527,Mapping!$A$17:$A$22,0)),$F3527)&amp;" "&amp;IF($G3527="Banking","Banking",IFERROR(INDEX(Mapping!$E$17:$E$28,MATCH($J3527,Mapping!$D$17:$D$28,0)),"(unmapped)")))))</f>
        <v/>
      </c>
    </row>
    <row r="3528" spans="11:11" x14ac:dyDescent="0.3">
      <c r="K3528" t="str">
        <f>IF($D3528="","",IFERROR(INDEX(Mapping!$H$3:$H$32,MATCH($B3528,Mapping!$G$3:$G$32,0)),IF(LEFT($F3528,3)="P2P",IFERROR(INDEX(Mapping!$E$3:$E$6,MATCH($G3528,Mapping!$D$3:$D$6,0)),IFERROR(INDEX(Mapping!$B$3:$B$13,MATCH($J3528,Mapping!$A$3:$A$13,0)),"(unmapped)")),IFERROR(INDEX(Mapping!$B$17:$B$22,MATCH($F3528,Mapping!$A$17:$A$22,0)),$F3528)&amp;" "&amp;IF($G3528="Banking","Banking",IFERROR(INDEX(Mapping!$E$17:$E$28,MATCH($J3528,Mapping!$D$17:$D$28,0)),"(unmapped)")))))</f>
        <v/>
      </c>
    </row>
    <row r="3529" spans="11:11" x14ac:dyDescent="0.3">
      <c r="K3529" t="str">
        <f>IF($D3529="","",IFERROR(INDEX(Mapping!$H$3:$H$32,MATCH($B3529,Mapping!$G$3:$G$32,0)),IF(LEFT($F3529,3)="P2P",IFERROR(INDEX(Mapping!$E$3:$E$6,MATCH($G3529,Mapping!$D$3:$D$6,0)),IFERROR(INDEX(Mapping!$B$3:$B$13,MATCH($J3529,Mapping!$A$3:$A$13,0)),"(unmapped)")),IFERROR(INDEX(Mapping!$B$17:$B$22,MATCH($F3529,Mapping!$A$17:$A$22,0)),$F3529)&amp;" "&amp;IF($G3529="Banking","Banking",IFERROR(INDEX(Mapping!$E$17:$E$28,MATCH($J3529,Mapping!$D$17:$D$28,0)),"(unmapped)")))))</f>
        <v/>
      </c>
    </row>
    <row r="3530" spans="11:11" x14ac:dyDescent="0.3">
      <c r="K3530" t="str">
        <f>IF($D3530="","",IFERROR(INDEX(Mapping!$H$3:$H$32,MATCH($B3530,Mapping!$G$3:$G$32,0)),IF(LEFT($F3530,3)="P2P",IFERROR(INDEX(Mapping!$E$3:$E$6,MATCH($G3530,Mapping!$D$3:$D$6,0)),IFERROR(INDEX(Mapping!$B$3:$B$13,MATCH($J3530,Mapping!$A$3:$A$13,0)),"(unmapped)")),IFERROR(INDEX(Mapping!$B$17:$B$22,MATCH($F3530,Mapping!$A$17:$A$22,0)),$F3530)&amp;" "&amp;IF($G3530="Banking","Banking",IFERROR(INDEX(Mapping!$E$17:$E$28,MATCH($J3530,Mapping!$D$17:$D$28,0)),"(unmapped)")))))</f>
        <v/>
      </c>
    </row>
    <row r="3531" spans="11:11" x14ac:dyDescent="0.3">
      <c r="K3531" t="str">
        <f>IF($D3531="","",IFERROR(INDEX(Mapping!$H$3:$H$32,MATCH($B3531,Mapping!$G$3:$G$32,0)),IF(LEFT($F3531,3)="P2P",IFERROR(INDEX(Mapping!$E$3:$E$6,MATCH($G3531,Mapping!$D$3:$D$6,0)),IFERROR(INDEX(Mapping!$B$3:$B$13,MATCH($J3531,Mapping!$A$3:$A$13,0)),"(unmapped)")),IFERROR(INDEX(Mapping!$B$17:$B$22,MATCH($F3531,Mapping!$A$17:$A$22,0)),$F3531)&amp;" "&amp;IF($G3531="Banking","Banking",IFERROR(INDEX(Mapping!$E$17:$E$28,MATCH($J3531,Mapping!$D$17:$D$28,0)),"(unmapped)")))))</f>
        <v/>
      </c>
    </row>
    <row r="3532" spans="11:11" x14ac:dyDescent="0.3">
      <c r="K3532" t="str">
        <f>IF($D3532="","",IFERROR(INDEX(Mapping!$H$3:$H$32,MATCH($B3532,Mapping!$G$3:$G$32,0)),IF(LEFT($F3532,3)="P2P",IFERROR(INDEX(Mapping!$E$3:$E$6,MATCH($G3532,Mapping!$D$3:$D$6,0)),IFERROR(INDEX(Mapping!$B$3:$B$13,MATCH($J3532,Mapping!$A$3:$A$13,0)),"(unmapped)")),IFERROR(INDEX(Mapping!$B$17:$B$22,MATCH($F3532,Mapping!$A$17:$A$22,0)),$F3532)&amp;" "&amp;IF($G3532="Banking","Banking",IFERROR(INDEX(Mapping!$E$17:$E$28,MATCH($J3532,Mapping!$D$17:$D$28,0)),"(unmapped)")))))</f>
        <v/>
      </c>
    </row>
    <row r="3533" spans="11:11" x14ac:dyDescent="0.3">
      <c r="K3533" t="str">
        <f>IF($D3533="","",IFERROR(INDEX(Mapping!$H$3:$H$32,MATCH($B3533,Mapping!$G$3:$G$32,0)),IF(LEFT($F3533,3)="P2P",IFERROR(INDEX(Mapping!$E$3:$E$6,MATCH($G3533,Mapping!$D$3:$D$6,0)),IFERROR(INDEX(Mapping!$B$3:$B$13,MATCH($J3533,Mapping!$A$3:$A$13,0)),"(unmapped)")),IFERROR(INDEX(Mapping!$B$17:$B$22,MATCH($F3533,Mapping!$A$17:$A$22,0)),$F3533)&amp;" "&amp;IF($G3533="Banking","Banking",IFERROR(INDEX(Mapping!$E$17:$E$28,MATCH($J3533,Mapping!$D$17:$D$28,0)),"(unmapped)")))))</f>
        <v/>
      </c>
    </row>
    <row r="3534" spans="11:11" x14ac:dyDescent="0.3">
      <c r="K3534" t="str">
        <f>IF($D3534="","",IFERROR(INDEX(Mapping!$H$3:$H$32,MATCH($B3534,Mapping!$G$3:$G$32,0)),IF(LEFT($F3534,3)="P2P",IFERROR(INDEX(Mapping!$E$3:$E$6,MATCH($G3534,Mapping!$D$3:$D$6,0)),IFERROR(INDEX(Mapping!$B$3:$B$13,MATCH($J3534,Mapping!$A$3:$A$13,0)),"(unmapped)")),IFERROR(INDEX(Mapping!$B$17:$B$22,MATCH($F3534,Mapping!$A$17:$A$22,0)),$F3534)&amp;" "&amp;IF($G3534="Banking","Banking",IFERROR(INDEX(Mapping!$E$17:$E$28,MATCH($J3534,Mapping!$D$17:$D$28,0)),"(unmapped)")))))</f>
        <v/>
      </c>
    </row>
    <row r="3535" spans="11:11" x14ac:dyDescent="0.3">
      <c r="K3535" t="str">
        <f>IF($D3535="","",IFERROR(INDEX(Mapping!$H$3:$H$32,MATCH($B3535,Mapping!$G$3:$G$32,0)),IF(LEFT($F3535,3)="P2P",IFERROR(INDEX(Mapping!$E$3:$E$6,MATCH($G3535,Mapping!$D$3:$D$6,0)),IFERROR(INDEX(Mapping!$B$3:$B$13,MATCH($J3535,Mapping!$A$3:$A$13,0)),"(unmapped)")),IFERROR(INDEX(Mapping!$B$17:$B$22,MATCH($F3535,Mapping!$A$17:$A$22,0)),$F3535)&amp;" "&amp;IF($G3535="Banking","Banking",IFERROR(INDEX(Mapping!$E$17:$E$28,MATCH($J3535,Mapping!$D$17:$D$28,0)),"(unmapped)")))))</f>
        <v/>
      </c>
    </row>
    <row r="3536" spans="11:11" x14ac:dyDescent="0.3">
      <c r="K3536" t="str">
        <f>IF($D3536="","",IFERROR(INDEX(Mapping!$H$3:$H$32,MATCH($B3536,Mapping!$G$3:$G$32,0)),IF(LEFT($F3536,3)="P2P",IFERROR(INDEX(Mapping!$E$3:$E$6,MATCH($G3536,Mapping!$D$3:$D$6,0)),IFERROR(INDEX(Mapping!$B$3:$B$13,MATCH($J3536,Mapping!$A$3:$A$13,0)),"(unmapped)")),IFERROR(INDEX(Mapping!$B$17:$B$22,MATCH($F3536,Mapping!$A$17:$A$22,0)),$F3536)&amp;" "&amp;IF($G3536="Banking","Banking",IFERROR(INDEX(Mapping!$E$17:$E$28,MATCH($J3536,Mapping!$D$17:$D$28,0)),"(unmapped)")))))</f>
        <v/>
      </c>
    </row>
    <row r="3537" spans="11:11" x14ac:dyDescent="0.3">
      <c r="K3537" t="str">
        <f>IF($D3537="","",IFERROR(INDEX(Mapping!$H$3:$H$32,MATCH($B3537,Mapping!$G$3:$G$32,0)),IF(LEFT($F3537,3)="P2P",IFERROR(INDEX(Mapping!$E$3:$E$6,MATCH($G3537,Mapping!$D$3:$D$6,0)),IFERROR(INDEX(Mapping!$B$3:$B$13,MATCH($J3537,Mapping!$A$3:$A$13,0)),"(unmapped)")),IFERROR(INDEX(Mapping!$B$17:$B$22,MATCH($F3537,Mapping!$A$17:$A$22,0)),$F3537)&amp;" "&amp;IF($G3537="Banking","Banking",IFERROR(INDEX(Mapping!$E$17:$E$28,MATCH($J3537,Mapping!$D$17:$D$28,0)),"(unmapped)")))))</f>
        <v/>
      </c>
    </row>
    <row r="3538" spans="11:11" x14ac:dyDescent="0.3">
      <c r="K3538" t="str">
        <f>IF($D3538="","",IFERROR(INDEX(Mapping!$H$3:$H$32,MATCH($B3538,Mapping!$G$3:$G$32,0)),IF(LEFT($F3538,3)="P2P",IFERROR(INDEX(Mapping!$E$3:$E$6,MATCH($G3538,Mapping!$D$3:$D$6,0)),IFERROR(INDEX(Mapping!$B$3:$B$13,MATCH($J3538,Mapping!$A$3:$A$13,0)),"(unmapped)")),IFERROR(INDEX(Mapping!$B$17:$B$22,MATCH($F3538,Mapping!$A$17:$A$22,0)),$F3538)&amp;" "&amp;IF($G3538="Banking","Banking",IFERROR(INDEX(Mapping!$E$17:$E$28,MATCH($J3538,Mapping!$D$17:$D$28,0)),"(unmapped)")))))</f>
        <v/>
      </c>
    </row>
    <row r="3539" spans="11:11" x14ac:dyDescent="0.3">
      <c r="K3539" t="str">
        <f>IF($D3539="","",IFERROR(INDEX(Mapping!$H$3:$H$32,MATCH($B3539,Mapping!$G$3:$G$32,0)),IF(LEFT($F3539,3)="P2P",IFERROR(INDEX(Mapping!$E$3:$E$6,MATCH($G3539,Mapping!$D$3:$D$6,0)),IFERROR(INDEX(Mapping!$B$3:$B$13,MATCH($J3539,Mapping!$A$3:$A$13,0)),"(unmapped)")),IFERROR(INDEX(Mapping!$B$17:$B$22,MATCH($F3539,Mapping!$A$17:$A$22,0)),$F3539)&amp;" "&amp;IF($G3539="Banking","Banking",IFERROR(INDEX(Mapping!$E$17:$E$28,MATCH($J3539,Mapping!$D$17:$D$28,0)),"(unmapped)")))))</f>
        <v/>
      </c>
    </row>
    <row r="3540" spans="11:11" x14ac:dyDescent="0.3">
      <c r="K3540" t="str">
        <f>IF($D3540="","",IFERROR(INDEX(Mapping!$H$3:$H$32,MATCH($B3540,Mapping!$G$3:$G$32,0)),IF(LEFT($F3540,3)="P2P",IFERROR(INDEX(Mapping!$E$3:$E$6,MATCH($G3540,Mapping!$D$3:$D$6,0)),IFERROR(INDEX(Mapping!$B$3:$B$13,MATCH($J3540,Mapping!$A$3:$A$13,0)),"(unmapped)")),IFERROR(INDEX(Mapping!$B$17:$B$22,MATCH($F3540,Mapping!$A$17:$A$22,0)),$F3540)&amp;" "&amp;IF($G3540="Banking","Banking",IFERROR(INDEX(Mapping!$E$17:$E$28,MATCH($J3540,Mapping!$D$17:$D$28,0)),"(unmapped)")))))</f>
        <v/>
      </c>
    </row>
    <row r="3541" spans="11:11" x14ac:dyDescent="0.3">
      <c r="K3541" t="str">
        <f>IF($D3541="","",IFERROR(INDEX(Mapping!$H$3:$H$32,MATCH($B3541,Mapping!$G$3:$G$32,0)),IF(LEFT($F3541,3)="P2P",IFERROR(INDEX(Mapping!$E$3:$E$6,MATCH($G3541,Mapping!$D$3:$D$6,0)),IFERROR(INDEX(Mapping!$B$3:$B$13,MATCH($J3541,Mapping!$A$3:$A$13,0)),"(unmapped)")),IFERROR(INDEX(Mapping!$B$17:$B$22,MATCH($F3541,Mapping!$A$17:$A$22,0)),$F3541)&amp;" "&amp;IF($G3541="Banking","Banking",IFERROR(INDEX(Mapping!$E$17:$E$28,MATCH($J3541,Mapping!$D$17:$D$28,0)),"(unmapped)")))))</f>
        <v/>
      </c>
    </row>
    <row r="3542" spans="11:11" x14ac:dyDescent="0.3">
      <c r="K3542" t="str">
        <f>IF($D3542="","",IFERROR(INDEX(Mapping!$H$3:$H$32,MATCH($B3542,Mapping!$G$3:$G$32,0)),IF(LEFT($F3542,3)="P2P",IFERROR(INDEX(Mapping!$E$3:$E$6,MATCH($G3542,Mapping!$D$3:$D$6,0)),IFERROR(INDEX(Mapping!$B$3:$B$13,MATCH($J3542,Mapping!$A$3:$A$13,0)),"(unmapped)")),IFERROR(INDEX(Mapping!$B$17:$B$22,MATCH($F3542,Mapping!$A$17:$A$22,0)),$F3542)&amp;" "&amp;IF($G3542="Banking","Banking",IFERROR(INDEX(Mapping!$E$17:$E$28,MATCH($J3542,Mapping!$D$17:$D$28,0)),"(unmapped)")))))</f>
        <v/>
      </c>
    </row>
    <row r="3543" spans="11:11" x14ac:dyDescent="0.3">
      <c r="K3543" t="str">
        <f>IF($D3543="","",IFERROR(INDEX(Mapping!$H$3:$H$32,MATCH($B3543,Mapping!$G$3:$G$32,0)),IF(LEFT($F3543,3)="P2P",IFERROR(INDEX(Mapping!$E$3:$E$6,MATCH($G3543,Mapping!$D$3:$D$6,0)),IFERROR(INDEX(Mapping!$B$3:$B$13,MATCH($J3543,Mapping!$A$3:$A$13,0)),"(unmapped)")),IFERROR(INDEX(Mapping!$B$17:$B$22,MATCH($F3543,Mapping!$A$17:$A$22,0)),$F3543)&amp;" "&amp;IF($G3543="Banking","Banking",IFERROR(INDEX(Mapping!$E$17:$E$28,MATCH($J3543,Mapping!$D$17:$D$28,0)),"(unmapped)")))))</f>
        <v/>
      </c>
    </row>
    <row r="3544" spans="11:11" x14ac:dyDescent="0.3">
      <c r="K3544" t="str">
        <f>IF($D3544="","",IFERROR(INDEX(Mapping!$H$3:$H$32,MATCH($B3544,Mapping!$G$3:$G$32,0)),IF(LEFT($F3544,3)="P2P",IFERROR(INDEX(Mapping!$E$3:$E$6,MATCH($G3544,Mapping!$D$3:$D$6,0)),IFERROR(INDEX(Mapping!$B$3:$B$13,MATCH($J3544,Mapping!$A$3:$A$13,0)),"(unmapped)")),IFERROR(INDEX(Mapping!$B$17:$B$22,MATCH($F3544,Mapping!$A$17:$A$22,0)),$F3544)&amp;" "&amp;IF($G3544="Banking","Banking",IFERROR(INDEX(Mapping!$E$17:$E$28,MATCH($J3544,Mapping!$D$17:$D$28,0)),"(unmapped)")))))</f>
        <v/>
      </c>
    </row>
    <row r="3545" spans="11:11" x14ac:dyDescent="0.3">
      <c r="K3545" t="str">
        <f>IF($D3545="","",IFERROR(INDEX(Mapping!$H$3:$H$32,MATCH($B3545,Mapping!$G$3:$G$32,0)),IF(LEFT($F3545,3)="P2P",IFERROR(INDEX(Mapping!$E$3:$E$6,MATCH($G3545,Mapping!$D$3:$D$6,0)),IFERROR(INDEX(Mapping!$B$3:$B$13,MATCH($J3545,Mapping!$A$3:$A$13,0)),"(unmapped)")),IFERROR(INDEX(Mapping!$B$17:$B$22,MATCH($F3545,Mapping!$A$17:$A$22,0)),$F3545)&amp;" "&amp;IF($G3545="Banking","Banking",IFERROR(INDEX(Mapping!$E$17:$E$28,MATCH($J3545,Mapping!$D$17:$D$28,0)),"(unmapped)")))))</f>
        <v/>
      </c>
    </row>
    <row r="3546" spans="11:11" x14ac:dyDescent="0.3">
      <c r="K3546" t="str">
        <f>IF($D3546="","",IFERROR(INDEX(Mapping!$H$3:$H$32,MATCH($B3546,Mapping!$G$3:$G$32,0)),IF(LEFT($F3546,3)="P2P",IFERROR(INDEX(Mapping!$E$3:$E$6,MATCH($G3546,Mapping!$D$3:$D$6,0)),IFERROR(INDEX(Mapping!$B$3:$B$13,MATCH($J3546,Mapping!$A$3:$A$13,0)),"(unmapped)")),IFERROR(INDEX(Mapping!$B$17:$B$22,MATCH($F3546,Mapping!$A$17:$A$22,0)),$F3546)&amp;" "&amp;IF($G3546="Banking","Banking",IFERROR(INDEX(Mapping!$E$17:$E$28,MATCH($J3546,Mapping!$D$17:$D$28,0)),"(unmapped)")))))</f>
        <v/>
      </c>
    </row>
    <row r="3547" spans="11:11" x14ac:dyDescent="0.3">
      <c r="K3547" t="str">
        <f>IF($D3547="","",IFERROR(INDEX(Mapping!$H$3:$H$32,MATCH($B3547,Mapping!$G$3:$G$32,0)),IF(LEFT($F3547,3)="P2P",IFERROR(INDEX(Mapping!$E$3:$E$6,MATCH($G3547,Mapping!$D$3:$D$6,0)),IFERROR(INDEX(Mapping!$B$3:$B$13,MATCH($J3547,Mapping!$A$3:$A$13,0)),"(unmapped)")),IFERROR(INDEX(Mapping!$B$17:$B$22,MATCH($F3547,Mapping!$A$17:$A$22,0)),$F3547)&amp;" "&amp;IF($G3547="Banking","Banking",IFERROR(INDEX(Mapping!$E$17:$E$28,MATCH($J3547,Mapping!$D$17:$D$28,0)),"(unmapped)")))))</f>
        <v/>
      </c>
    </row>
    <row r="3548" spans="11:11" x14ac:dyDescent="0.3">
      <c r="K3548" t="str">
        <f>IF($D3548="","",IFERROR(INDEX(Mapping!$H$3:$H$32,MATCH($B3548,Mapping!$G$3:$G$32,0)),IF(LEFT($F3548,3)="P2P",IFERROR(INDEX(Mapping!$E$3:$E$6,MATCH($G3548,Mapping!$D$3:$D$6,0)),IFERROR(INDEX(Mapping!$B$3:$B$13,MATCH($J3548,Mapping!$A$3:$A$13,0)),"(unmapped)")),IFERROR(INDEX(Mapping!$B$17:$B$22,MATCH($F3548,Mapping!$A$17:$A$22,0)),$F3548)&amp;" "&amp;IF($G3548="Banking","Banking",IFERROR(INDEX(Mapping!$E$17:$E$28,MATCH($J3548,Mapping!$D$17:$D$28,0)),"(unmapped)")))))</f>
        <v/>
      </c>
    </row>
    <row r="3549" spans="11:11" x14ac:dyDescent="0.3">
      <c r="K3549" t="str">
        <f>IF($D3549="","",IFERROR(INDEX(Mapping!$H$3:$H$32,MATCH($B3549,Mapping!$G$3:$G$32,0)),IF(LEFT($F3549,3)="P2P",IFERROR(INDEX(Mapping!$E$3:$E$6,MATCH($G3549,Mapping!$D$3:$D$6,0)),IFERROR(INDEX(Mapping!$B$3:$B$13,MATCH($J3549,Mapping!$A$3:$A$13,0)),"(unmapped)")),IFERROR(INDEX(Mapping!$B$17:$B$22,MATCH($F3549,Mapping!$A$17:$A$22,0)),$F3549)&amp;" "&amp;IF($G3549="Banking","Banking",IFERROR(INDEX(Mapping!$E$17:$E$28,MATCH($J3549,Mapping!$D$17:$D$28,0)),"(unmapped)")))))</f>
        <v/>
      </c>
    </row>
    <row r="3550" spans="11:11" x14ac:dyDescent="0.3">
      <c r="K3550" t="str">
        <f>IF($D3550="","",IFERROR(INDEX(Mapping!$H$3:$H$32,MATCH($B3550,Mapping!$G$3:$G$32,0)),IF(LEFT($F3550,3)="P2P",IFERROR(INDEX(Mapping!$E$3:$E$6,MATCH($G3550,Mapping!$D$3:$D$6,0)),IFERROR(INDEX(Mapping!$B$3:$B$13,MATCH($J3550,Mapping!$A$3:$A$13,0)),"(unmapped)")),IFERROR(INDEX(Mapping!$B$17:$B$22,MATCH($F3550,Mapping!$A$17:$A$22,0)),$F3550)&amp;" "&amp;IF($G3550="Banking","Banking",IFERROR(INDEX(Mapping!$E$17:$E$28,MATCH($J3550,Mapping!$D$17:$D$28,0)),"(unmapped)")))))</f>
        <v/>
      </c>
    </row>
    <row r="3551" spans="11:11" x14ac:dyDescent="0.3">
      <c r="K3551" t="str">
        <f>IF($D3551="","",IFERROR(INDEX(Mapping!$H$3:$H$32,MATCH($B3551,Mapping!$G$3:$G$32,0)),IF(LEFT($F3551,3)="P2P",IFERROR(INDEX(Mapping!$E$3:$E$6,MATCH($G3551,Mapping!$D$3:$D$6,0)),IFERROR(INDEX(Mapping!$B$3:$B$13,MATCH($J3551,Mapping!$A$3:$A$13,0)),"(unmapped)")),IFERROR(INDEX(Mapping!$B$17:$B$22,MATCH($F3551,Mapping!$A$17:$A$22,0)),$F3551)&amp;" "&amp;IF($G3551="Banking","Banking",IFERROR(INDEX(Mapping!$E$17:$E$28,MATCH($J3551,Mapping!$D$17:$D$28,0)),"(unmapped)")))))</f>
        <v/>
      </c>
    </row>
    <row r="3552" spans="11:11" x14ac:dyDescent="0.3">
      <c r="K3552" t="str">
        <f>IF($D3552="","",IFERROR(INDEX(Mapping!$H$3:$H$32,MATCH($B3552,Mapping!$G$3:$G$32,0)),IF(LEFT($F3552,3)="P2P",IFERROR(INDEX(Mapping!$E$3:$E$6,MATCH($G3552,Mapping!$D$3:$D$6,0)),IFERROR(INDEX(Mapping!$B$3:$B$13,MATCH($J3552,Mapping!$A$3:$A$13,0)),"(unmapped)")),IFERROR(INDEX(Mapping!$B$17:$B$22,MATCH($F3552,Mapping!$A$17:$A$22,0)),$F3552)&amp;" "&amp;IF($G3552="Banking","Banking",IFERROR(INDEX(Mapping!$E$17:$E$28,MATCH($J3552,Mapping!$D$17:$D$28,0)),"(unmapped)")))))</f>
        <v/>
      </c>
    </row>
    <row r="3553" spans="11:11" x14ac:dyDescent="0.3">
      <c r="K3553" t="str">
        <f>IF($D3553="","",IFERROR(INDEX(Mapping!$H$3:$H$32,MATCH($B3553,Mapping!$G$3:$G$32,0)),IF(LEFT($F3553,3)="P2P",IFERROR(INDEX(Mapping!$E$3:$E$6,MATCH($G3553,Mapping!$D$3:$D$6,0)),IFERROR(INDEX(Mapping!$B$3:$B$13,MATCH($J3553,Mapping!$A$3:$A$13,0)),"(unmapped)")),IFERROR(INDEX(Mapping!$B$17:$B$22,MATCH($F3553,Mapping!$A$17:$A$22,0)),$F3553)&amp;" "&amp;IF($G3553="Banking","Banking",IFERROR(INDEX(Mapping!$E$17:$E$28,MATCH($J3553,Mapping!$D$17:$D$28,0)),"(unmapped)")))))</f>
        <v/>
      </c>
    </row>
    <row r="3554" spans="11:11" x14ac:dyDescent="0.3">
      <c r="K3554" t="str">
        <f>IF($D3554="","",IFERROR(INDEX(Mapping!$H$3:$H$32,MATCH($B3554,Mapping!$G$3:$G$32,0)),IF(LEFT($F3554,3)="P2P",IFERROR(INDEX(Mapping!$E$3:$E$6,MATCH($G3554,Mapping!$D$3:$D$6,0)),IFERROR(INDEX(Mapping!$B$3:$B$13,MATCH($J3554,Mapping!$A$3:$A$13,0)),"(unmapped)")),IFERROR(INDEX(Mapping!$B$17:$B$22,MATCH($F3554,Mapping!$A$17:$A$22,0)),$F3554)&amp;" "&amp;IF($G3554="Banking","Banking",IFERROR(INDEX(Mapping!$E$17:$E$28,MATCH($J3554,Mapping!$D$17:$D$28,0)),"(unmapped)")))))</f>
        <v/>
      </c>
    </row>
    <row r="3555" spans="11:11" x14ac:dyDescent="0.3">
      <c r="K3555" t="str">
        <f>IF($D3555="","",IFERROR(INDEX(Mapping!$H$3:$H$32,MATCH($B3555,Mapping!$G$3:$G$32,0)),IF(LEFT($F3555,3)="P2P",IFERROR(INDEX(Mapping!$E$3:$E$6,MATCH($G3555,Mapping!$D$3:$D$6,0)),IFERROR(INDEX(Mapping!$B$3:$B$13,MATCH($J3555,Mapping!$A$3:$A$13,0)),"(unmapped)")),IFERROR(INDEX(Mapping!$B$17:$B$22,MATCH($F3555,Mapping!$A$17:$A$22,0)),$F3555)&amp;" "&amp;IF($G3555="Banking","Banking",IFERROR(INDEX(Mapping!$E$17:$E$28,MATCH($J3555,Mapping!$D$17:$D$28,0)),"(unmapped)")))))</f>
        <v/>
      </c>
    </row>
    <row r="3556" spans="11:11" x14ac:dyDescent="0.3">
      <c r="K3556" t="str">
        <f>IF($D3556="","",IFERROR(INDEX(Mapping!$H$3:$H$32,MATCH($B3556,Mapping!$G$3:$G$32,0)),IF(LEFT($F3556,3)="P2P",IFERROR(INDEX(Mapping!$E$3:$E$6,MATCH($G3556,Mapping!$D$3:$D$6,0)),IFERROR(INDEX(Mapping!$B$3:$B$13,MATCH($J3556,Mapping!$A$3:$A$13,0)),"(unmapped)")),IFERROR(INDEX(Mapping!$B$17:$B$22,MATCH($F3556,Mapping!$A$17:$A$22,0)),$F3556)&amp;" "&amp;IF($G3556="Banking","Banking",IFERROR(INDEX(Mapping!$E$17:$E$28,MATCH($J3556,Mapping!$D$17:$D$28,0)),"(unmapped)")))))</f>
        <v/>
      </c>
    </row>
    <row r="3557" spans="11:11" x14ac:dyDescent="0.3">
      <c r="K3557" t="str">
        <f>IF($D3557="","",IFERROR(INDEX(Mapping!$H$3:$H$32,MATCH($B3557,Mapping!$G$3:$G$32,0)),IF(LEFT($F3557,3)="P2P",IFERROR(INDEX(Mapping!$E$3:$E$6,MATCH($G3557,Mapping!$D$3:$D$6,0)),IFERROR(INDEX(Mapping!$B$3:$B$13,MATCH($J3557,Mapping!$A$3:$A$13,0)),"(unmapped)")),IFERROR(INDEX(Mapping!$B$17:$B$22,MATCH($F3557,Mapping!$A$17:$A$22,0)),$F3557)&amp;" "&amp;IF($G3557="Banking","Banking",IFERROR(INDEX(Mapping!$E$17:$E$28,MATCH($J3557,Mapping!$D$17:$D$28,0)),"(unmapped)")))))</f>
        <v/>
      </c>
    </row>
    <row r="3558" spans="11:11" x14ac:dyDescent="0.3">
      <c r="K3558" t="str">
        <f>IF($D3558="","",IFERROR(INDEX(Mapping!$H$3:$H$32,MATCH($B3558,Mapping!$G$3:$G$32,0)),IF(LEFT($F3558,3)="P2P",IFERROR(INDEX(Mapping!$E$3:$E$6,MATCH($G3558,Mapping!$D$3:$D$6,0)),IFERROR(INDEX(Mapping!$B$3:$B$13,MATCH($J3558,Mapping!$A$3:$A$13,0)),"(unmapped)")),IFERROR(INDEX(Mapping!$B$17:$B$22,MATCH($F3558,Mapping!$A$17:$A$22,0)),$F3558)&amp;" "&amp;IF($G3558="Banking","Banking",IFERROR(INDEX(Mapping!$E$17:$E$28,MATCH($J3558,Mapping!$D$17:$D$28,0)),"(unmapped)")))))</f>
        <v/>
      </c>
    </row>
    <row r="3559" spans="11:11" x14ac:dyDescent="0.3">
      <c r="K3559" t="str">
        <f>IF($D3559="","",IFERROR(INDEX(Mapping!$H$3:$H$32,MATCH($B3559,Mapping!$G$3:$G$32,0)),IF(LEFT($F3559,3)="P2P",IFERROR(INDEX(Mapping!$E$3:$E$6,MATCH($G3559,Mapping!$D$3:$D$6,0)),IFERROR(INDEX(Mapping!$B$3:$B$13,MATCH($J3559,Mapping!$A$3:$A$13,0)),"(unmapped)")),IFERROR(INDEX(Mapping!$B$17:$B$22,MATCH($F3559,Mapping!$A$17:$A$22,0)),$F3559)&amp;" "&amp;IF($G3559="Banking","Banking",IFERROR(INDEX(Mapping!$E$17:$E$28,MATCH($J3559,Mapping!$D$17:$D$28,0)),"(unmapped)")))))</f>
        <v/>
      </c>
    </row>
    <row r="3560" spans="11:11" x14ac:dyDescent="0.3">
      <c r="K3560" t="str">
        <f>IF($D3560="","",IFERROR(INDEX(Mapping!$H$3:$H$32,MATCH($B3560,Mapping!$G$3:$G$32,0)),IF(LEFT($F3560,3)="P2P",IFERROR(INDEX(Mapping!$E$3:$E$6,MATCH($G3560,Mapping!$D$3:$D$6,0)),IFERROR(INDEX(Mapping!$B$3:$B$13,MATCH($J3560,Mapping!$A$3:$A$13,0)),"(unmapped)")),IFERROR(INDEX(Mapping!$B$17:$B$22,MATCH($F3560,Mapping!$A$17:$A$22,0)),$F3560)&amp;" "&amp;IF($G3560="Banking","Banking",IFERROR(INDEX(Mapping!$E$17:$E$28,MATCH($J3560,Mapping!$D$17:$D$28,0)),"(unmapped)")))))</f>
        <v/>
      </c>
    </row>
    <row r="3561" spans="11:11" x14ac:dyDescent="0.3">
      <c r="K3561" t="str">
        <f>IF($D3561="","",IFERROR(INDEX(Mapping!$H$3:$H$32,MATCH($B3561,Mapping!$G$3:$G$32,0)),IF(LEFT($F3561,3)="P2P",IFERROR(INDEX(Mapping!$E$3:$E$6,MATCH($G3561,Mapping!$D$3:$D$6,0)),IFERROR(INDEX(Mapping!$B$3:$B$13,MATCH($J3561,Mapping!$A$3:$A$13,0)),"(unmapped)")),IFERROR(INDEX(Mapping!$B$17:$B$22,MATCH($F3561,Mapping!$A$17:$A$22,0)),$F3561)&amp;" "&amp;IF($G3561="Banking","Banking",IFERROR(INDEX(Mapping!$E$17:$E$28,MATCH($J3561,Mapping!$D$17:$D$28,0)),"(unmapped)")))))</f>
        <v/>
      </c>
    </row>
    <row r="3562" spans="11:11" x14ac:dyDescent="0.3">
      <c r="K3562" t="str">
        <f>IF($D3562="","",IFERROR(INDEX(Mapping!$H$3:$H$32,MATCH($B3562,Mapping!$G$3:$G$32,0)),IF(LEFT($F3562,3)="P2P",IFERROR(INDEX(Mapping!$E$3:$E$6,MATCH($G3562,Mapping!$D$3:$D$6,0)),IFERROR(INDEX(Mapping!$B$3:$B$13,MATCH($J3562,Mapping!$A$3:$A$13,0)),"(unmapped)")),IFERROR(INDEX(Mapping!$B$17:$B$22,MATCH($F3562,Mapping!$A$17:$A$22,0)),$F3562)&amp;" "&amp;IF($G3562="Banking","Banking",IFERROR(INDEX(Mapping!$E$17:$E$28,MATCH($J3562,Mapping!$D$17:$D$28,0)),"(unmapped)")))))</f>
        <v/>
      </c>
    </row>
    <row r="3563" spans="11:11" x14ac:dyDescent="0.3">
      <c r="K3563" t="str">
        <f>IF($D3563="","",IFERROR(INDEX(Mapping!$H$3:$H$32,MATCH($B3563,Mapping!$G$3:$G$32,0)),IF(LEFT($F3563,3)="P2P",IFERROR(INDEX(Mapping!$E$3:$E$6,MATCH($G3563,Mapping!$D$3:$D$6,0)),IFERROR(INDEX(Mapping!$B$3:$B$13,MATCH($J3563,Mapping!$A$3:$A$13,0)),"(unmapped)")),IFERROR(INDEX(Mapping!$B$17:$B$22,MATCH($F3563,Mapping!$A$17:$A$22,0)),$F3563)&amp;" "&amp;IF($G3563="Banking","Banking",IFERROR(INDEX(Mapping!$E$17:$E$28,MATCH($J3563,Mapping!$D$17:$D$28,0)),"(unmapped)")))))</f>
        <v/>
      </c>
    </row>
    <row r="3564" spans="11:11" x14ac:dyDescent="0.3">
      <c r="K3564" t="str">
        <f>IF($D3564="","",IFERROR(INDEX(Mapping!$H$3:$H$32,MATCH($B3564,Mapping!$G$3:$G$32,0)),IF(LEFT($F3564,3)="P2P",IFERROR(INDEX(Mapping!$E$3:$E$6,MATCH($G3564,Mapping!$D$3:$D$6,0)),IFERROR(INDEX(Mapping!$B$3:$B$13,MATCH($J3564,Mapping!$A$3:$A$13,0)),"(unmapped)")),IFERROR(INDEX(Mapping!$B$17:$B$22,MATCH($F3564,Mapping!$A$17:$A$22,0)),$F3564)&amp;" "&amp;IF($G3564="Banking","Banking",IFERROR(INDEX(Mapping!$E$17:$E$28,MATCH($J3564,Mapping!$D$17:$D$28,0)),"(unmapped)")))))</f>
        <v/>
      </c>
    </row>
    <row r="3565" spans="11:11" x14ac:dyDescent="0.3">
      <c r="K3565" t="str">
        <f>IF($D3565="","",IFERROR(INDEX(Mapping!$H$3:$H$32,MATCH($B3565,Mapping!$G$3:$G$32,0)),IF(LEFT($F3565,3)="P2P",IFERROR(INDEX(Mapping!$E$3:$E$6,MATCH($G3565,Mapping!$D$3:$D$6,0)),IFERROR(INDEX(Mapping!$B$3:$B$13,MATCH($J3565,Mapping!$A$3:$A$13,0)),"(unmapped)")),IFERROR(INDEX(Mapping!$B$17:$B$22,MATCH($F3565,Mapping!$A$17:$A$22,0)),$F3565)&amp;" "&amp;IF($G3565="Banking","Banking",IFERROR(INDEX(Mapping!$E$17:$E$28,MATCH($J3565,Mapping!$D$17:$D$28,0)),"(unmapped)")))))</f>
        <v/>
      </c>
    </row>
    <row r="3566" spans="11:11" x14ac:dyDescent="0.3">
      <c r="K3566" t="str">
        <f>IF($D3566="","",IFERROR(INDEX(Mapping!$H$3:$H$32,MATCH($B3566,Mapping!$G$3:$G$32,0)),IF(LEFT($F3566,3)="P2P",IFERROR(INDEX(Mapping!$E$3:$E$6,MATCH($G3566,Mapping!$D$3:$D$6,0)),IFERROR(INDEX(Mapping!$B$3:$B$13,MATCH($J3566,Mapping!$A$3:$A$13,0)),"(unmapped)")),IFERROR(INDEX(Mapping!$B$17:$B$22,MATCH($F3566,Mapping!$A$17:$A$22,0)),$F3566)&amp;" "&amp;IF($G3566="Banking","Banking",IFERROR(INDEX(Mapping!$E$17:$E$28,MATCH($J3566,Mapping!$D$17:$D$28,0)),"(unmapped)")))))</f>
        <v/>
      </c>
    </row>
    <row r="3567" spans="11:11" x14ac:dyDescent="0.3">
      <c r="K3567" t="str">
        <f>IF($D3567="","",IFERROR(INDEX(Mapping!$H$3:$H$32,MATCH($B3567,Mapping!$G$3:$G$32,0)),IF(LEFT($F3567,3)="P2P",IFERROR(INDEX(Mapping!$E$3:$E$6,MATCH($G3567,Mapping!$D$3:$D$6,0)),IFERROR(INDEX(Mapping!$B$3:$B$13,MATCH($J3567,Mapping!$A$3:$A$13,0)),"(unmapped)")),IFERROR(INDEX(Mapping!$B$17:$B$22,MATCH($F3567,Mapping!$A$17:$A$22,0)),$F3567)&amp;" "&amp;IF($G3567="Banking","Banking",IFERROR(INDEX(Mapping!$E$17:$E$28,MATCH($J3567,Mapping!$D$17:$D$28,0)),"(unmapped)")))))</f>
        <v/>
      </c>
    </row>
    <row r="3568" spans="11:11" x14ac:dyDescent="0.3">
      <c r="K3568" t="str">
        <f>IF($D3568="","",IFERROR(INDEX(Mapping!$H$3:$H$32,MATCH($B3568,Mapping!$G$3:$G$32,0)),IF(LEFT($F3568,3)="P2P",IFERROR(INDEX(Mapping!$E$3:$E$6,MATCH($G3568,Mapping!$D$3:$D$6,0)),IFERROR(INDEX(Mapping!$B$3:$B$13,MATCH($J3568,Mapping!$A$3:$A$13,0)),"(unmapped)")),IFERROR(INDEX(Mapping!$B$17:$B$22,MATCH($F3568,Mapping!$A$17:$A$22,0)),$F3568)&amp;" "&amp;IF($G3568="Banking","Banking",IFERROR(INDEX(Mapping!$E$17:$E$28,MATCH($J3568,Mapping!$D$17:$D$28,0)),"(unmapped)")))))</f>
        <v/>
      </c>
    </row>
    <row r="3569" spans="11:11" x14ac:dyDescent="0.3">
      <c r="K3569" t="str">
        <f>IF($D3569="","",IFERROR(INDEX(Mapping!$H$3:$H$32,MATCH($B3569,Mapping!$G$3:$G$32,0)),IF(LEFT($F3569,3)="P2P",IFERROR(INDEX(Mapping!$E$3:$E$6,MATCH($G3569,Mapping!$D$3:$D$6,0)),IFERROR(INDEX(Mapping!$B$3:$B$13,MATCH($J3569,Mapping!$A$3:$A$13,0)),"(unmapped)")),IFERROR(INDEX(Mapping!$B$17:$B$22,MATCH($F3569,Mapping!$A$17:$A$22,0)),$F3569)&amp;" "&amp;IF($G3569="Banking","Banking",IFERROR(INDEX(Mapping!$E$17:$E$28,MATCH($J3569,Mapping!$D$17:$D$28,0)),"(unmapped)")))))</f>
        <v/>
      </c>
    </row>
    <row r="3570" spans="11:11" x14ac:dyDescent="0.3">
      <c r="K3570" t="str">
        <f>IF($D3570="","",IFERROR(INDEX(Mapping!$H$3:$H$32,MATCH($B3570,Mapping!$G$3:$G$32,0)),IF(LEFT($F3570,3)="P2P",IFERROR(INDEX(Mapping!$E$3:$E$6,MATCH($G3570,Mapping!$D$3:$D$6,0)),IFERROR(INDEX(Mapping!$B$3:$B$13,MATCH($J3570,Mapping!$A$3:$A$13,0)),"(unmapped)")),IFERROR(INDEX(Mapping!$B$17:$B$22,MATCH($F3570,Mapping!$A$17:$A$22,0)),$F3570)&amp;" "&amp;IF($G3570="Banking","Banking",IFERROR(INDEX(Mapping!$E$17:$E$28,MATCH($J3570,Mapping!$D$17:$D$28,0)),"(unmapped)")))))</f>
        <v/>
      </c>
    </row>
    <row r="3571" spans="11:11" x14ac:dyDescent="0.3">
      <c r="K3571" t="str">
        <f>IF($D3571="","",IFERROR(INDEX(Mapping!$H$3:$H$32,MATCH($B3571,Mapping!$G$3:$G$32,0)),IF(LEFT($F3571,3)="P2P",IFERROR(INDEX(Mapping!$E$3:$E$6,MATCH($G3571,Mapping!$D$3:$D$6,0)),IFERROR(INDEX(Mapping!$B$3:$B$13,MATCH($J3571,Mapping!$A$3:$A$13,0)),"(unmapped)")),IFERROR(INDEX(Mapping!$B$17:$B$22,MATCH($F3571,Mapping!$A$17:$A$22,0)),$F3571)&amp;" "&amp;IF($G3571="Banking","Banking",IFERROR(INDEX(Mapping!$E$17:$E$28,MATCH($J3571,Mapping!$D$17:$D$28,0)),"(unmapped)")))))</f>
        <v/>
      </c>
    </row>
    <row r="3572" spans="11:11" x14ac:dyDescent="0.3">
      <c r="K3572" t="str">
        <f>IF($D3572="","",IFERROR(INDEX(Mapping!$H$3:$H$32,MATCH($B3572,Mapping!$G$3:$G$32,0)),IF(LEFT($F3572,3)="P2P",IFERROR(INDEX(Mapping!$E$3:$E$6,MATCH($G3572,Mapping!$D$3:$D$6,0)),IFERROR(INDEX(Mapping!$B$3:$B$13,MATCH($J3572,Mapping!$A$3:$A$13,0)),"(unmapped)")),IFERROR(INDEX(Mapping!$B$17:$B$22,MATCH($F3572,Mapping!$A$17:$A$22,0)),$F3572)&amp;" "&amp;IF($G3572="Banking","Banking",IFERROR(INDEX(Mapping!$E$17:$E$28,MATCH($J3572,Mapping!$D$17:$D$28,0)),"(unmapped)")))))</f>
        <v/>
      </c>
    </row>
    <row r="3573" spans="11:11" x14ac:dyDescent="0.3">
      <c r="K3573" t="str">
        <f>IF($D3573="","",IFERROR(INDEX(Mapping!$H$3:$H$32,MATCH($B3573,Mapping!$G$3:$G$32,0)),IF(LEFT($F3573,3)="P2P",IFERROR(INDEX(Mapping!$E$3:$E$6,MATCH($G3573,Mapping!$D$3:$D$6,0)),IFERROR(INDEX(Mapping!$B$3:$B$13,MATCH($J3573,Mapping!$A$3:$A$13,0)),"(unmapped)")),IFERROR(INDEX(Mapping!$B$17:$B$22,MATCH($F3573,Mapping!$A$17:$A$22,0)),$F3573)&amp;" "&amp;IF($G3573="Banking","Banking",IFERROR(INDEX(Mapping!$E$17:$E$28,MATCH($J3573,Mapping!$D$17:$D$28,0)),"(unmapped)")))))</f>
        <v/>
      </c>
    </row>
    <row r="3574" spans="11:11" x14ac:dyDescent="0.3">
      <c r="K3574" t="str">
        <f>IF($D3574="","",IFERROR(INDEX(Mapping!$H$3:$H$32,MATCH($B3574,Mapping!$G$3:$G$32,0)),IF(LEFT($F3574,3)="P2P",IFERROR(INDEX(Mapping!$E$3:$E$6,MATCH($G3574,Mapping!$D$3:$D$6,0)),IFERROR(INDEX(Mapping!$B$3:$B$13,MATCH($J3574,Mapping!$A$3:$A$13,0)),"(unmapped)")),IFERROR(INDEX(Mapping!$B$17:$B$22,MATCH($F3574,Mapping!$A$17:$A$22,0)),$F3574)&amp;" "&amp;IF($G3574="Banking","Banking",IFERROR(INDEX(Mapping!$E$17:$E$28,MATCH($J3574,Mapping!$D$17:$D$28,0)),"(unmapped)")))))</f>
        <v/>
      </c>
    </row>
    <row r="3575" spans="11:11" x14ac:dyDescent="0.3">
      <c r="K3575" t="str">
        <f>IF($D3575="","",IFERROR(INDEX(Mapping!$H$3:$H$32,MATCH($B3575,Mapping!$G$3:$G$32,0)),IF(LEFT($F3575,3)="P2P",IFERROR(INDEX(Mapping!$E$3:$E$6,MATCH($G3575,Mapping!$D$3:$D$6,0)),IFERROR(INDEX(Mapping!$B$3:$B$13,MATCH($J3575,Mapping!$A$3:$A$13,0)),"(unmapped)")),IFERROR(INDEX(Mapping!$B$17:$B$22,MATCH($F3575,Mapping!$A$17:$A$22,0)),$F3575)&amp;" "&amp;IF($G3575="Banking","Banking",IFERROR(INDEX(Mapping!$E$17:$E$28,MATCH($J3575,Mapping!$D$17:$D$28,0)),"(unmapped)")))))</f>
        <v/>
      </c>
    </row>
    <row r="3576" spans="11:11" x14ac:dyDescent="0.3">
      <c r="K3576" t="str">
        <f>IF($D3576="","",IFERROR(INDEX(Mapping!$H$3:$H$32,MATCH($B3576,Mapping!$G$3:$G$32,0)),IF(LEFT($F3576,3)="P2P",IFERROR(INDEX(Mapping!$E$3:$E$6,MATCH($G3576,Mapping!$D$3:$D$6,0)),IFERROR(INDEX(Mapping!$B$3:$B$13,MATCH($J3576,Mapping!$A$3:$A$13,0)),"(unmapped)")),IFERROR(INDEX(Mapping!$B$17:$B$22,MATCH($F3576,Mapping!$A$17:$A$22,0)),$F3576)&amp;" "&amp;IF($G3576="Banking","Banking",IFERROR(INDEX(Mapping!$E$17:$E$28,MATCH($J3576,Mapping!$D$17:$D$28,0)),"(unmapped)")))))</f>
        <v/>
      </c>
    </row>
    <row r="3577" spans="11:11" x14ac:dyDescent="0.3">
      <c r="K3577" t="str">
        <f>IF($D3577="","",IFERROR(INDEX(Mapping!$H$3:$H$32,MATCH($B3577,Mapping!$G$3:$G$32,0)),IF(LEFT($F3577,3)="P2P",IFERROR(INDEX(Mapping!$E$3:$E$6,MATCH($G3577,Mapping!$D$3:$D$6,0)),IFERROR(INDEX(Mapping!$B$3:$B$13,MATCH($J3577,Mapping!$A$3:$A$13,0)),"(unmapped)")),IFERROR(INDEX(Mapping!$B$17:$B$22,MATCH($F3577,Mapping!$A$17:$A$22,0)),$F3577)&amp;" "&amp;IF($G3577="Banking","Banking",IFERROR(INDEX(Mapping!$E$17:$E$28,MATCH($J3577,Mapping!$D$17:$D$28,0)),"(unmapped)")))))</f>
        <v/>
      </c>
    </row>
    <row r="3578" spans="11:11" x14ac:dyDescent="0.3">
      <c r="K3578" t="str">
        <f>IF($D3578="","",IFERROR(INDEX(Mapping!$H$3:$H$32,MATCH($B3578,Mapping!$G$3:$G$32,0)),IF(LEFT($F3578,3)="P2P",IFERROR(INDEX(Mapping!$E$3:$E$6,MATCH($G3578,Mapping!$D$3:$D$6,0)),IFERROR(INDEX(Mapping!$B$3:$B$13,MATCH($J3578,Mapping!$A$3:$A$13,0)),"(unmapped)")),IFERROR(INDEX(Mapping!$B$17:$B$22,MATCH($F3578,Mapping!$A$17:$A$22,0)),$F3578)&amp;" "&amp;IF($G3578="Banking","Banking",IFERROR(INDEX(Mapping!$E$17:$E$28,MATCH($J3578,Mapping!$D$17:$D$28,0)),"(unmapped)")))))</f>
        <v/>
      </c>
    </row>
    <row r="3579" spans="11:11" x14ac:dyDescent="0.3">
      <c r="K3579" t="str">
        <f>IF($D3579="","",IFERROR(INDEX(Mapping!$H$3:$H$32,MATCH($B3579,Mapping!$G$3:$G$32,0)),IF(LEFT($F3579,3)="P2P",IFERROR(INDEX(Mapping!$E$3:$E$6,MATCH($G3579,Mapping!$D$3:$D$6,0)),IFERROR(INDEX(Mapping!$B$3:$B$13,MATCH($J3579,Mapping!$A$3:$A$13,0)),"(unmapped)")),IFERROR(INDEX(Mapping!$B$17:$B$22,MATCH($F3579,Mapping!$A$17:$A$22,0)),$F3579)&amp;" "&amp;IF($G3579="Banking","Banking",IFERROR(INDEX(Mapping!$E$17:$E$28,MATCH($J3579,Mapping!$D$17:$D$28,0)),"(unmapped)")))))</f>
        <v/>
      </c>
    </row>
    <row r="3580" spans="11:11" x14ac:dyDescent="0.3">
      <c r="K3580" t="str">
        <f>IF($D3580="","",IFERROR(INDEX(Mapping!$H$3:$H$32,MATCH($B3580,Mapping!$G$3:$G$32,0)),IF(LEFT($F3580,3)="P2P",IFERROR(INDEX(Mapping!$E$3:$E$6,MATCH($G3580,Mapping!$D$3:$D$6,0)),IFERROR(INDEX(Mapping!$B$3:$B$13,MATCH($J3580,Mapping!$A$3:$A$13,0)),"(unmapped)")),IFERROR(INDEX(Mapping!$B$17:$B$22,MATCH($F3580,Mapping!$A$17:$A$22,0)),$F3580)&amp;" "&amp;IF($G3580="Banking","Banking",IFERROR(INDEX(Mapping!$E$17:$E$28,MATCH($J3580,Mapping!$D$17:$D$28,0)),"(unmapped)")))))</f>
        <v/>
      </c>
    </row>
    <row r="3581" spans="11:11" x14ac:dyDescent="0.3">
      <c r="K3581" t="str">
        <f>IF($D3581="","",IFERROR(INDEX(Mapping!$H$3:$H$32,MATCH($B3581,Mapping!$G$3:$G$32,0)),IF(LEFT($F3581,3)="P2P",IFERROR(INDEX(Mapping!$E$3:$E$6,MATCH($G3581,Mapping!$D$3:$D$6,0)),IFERROR(INDEX(Mapping!$B$3:$B$13,MATCH($J3581,Mapping!$A$3:$A$13,0)),"(unmapped)")),IFERROR(INDEX(Mapping!$B$17:$B$22,MATCH($F3581,Mapping!$A$17:$A$22,0)),$F3581)&amp;" "&amp;IF($G3581="Banking","Banking",IFERROR(INDEX(Mapping!$E$17:$E$28,MATCH($J3581,Mapping!$D$17:$D$28,0)),"(unmapped)")))))</f>
        <v/>
      </c>
    </row>
    <row r="3582" spans="11:11" x14ac:dyDescent="0.3">
      <c r="K3582" t="str">
        <f>IF($D3582="","",IFERROR(INDEX(Mapping!$H$3:$H$32,MATCH($B3582,Mapping!$G$3:$G$32,0)),IF(LEFT($F3582,3)="P2P",IFERROR(INDEX(Mapping!$E$3:$E$6,MATCH($G3582,Mapping!$D$3:$D$6,0)),IFERROR(INDEX(Mapping!$B$3:$B$13,MATCH($J3582,Mapping!$A$3:$A$13,0)),"(unmapped)")),IFERROR(INDEX(Mapping!$B$17:$B$22,MATCH($F3582,Mapping!$A$17:$A$22,0)),$F3582)&amp;" "&amp;IF($G3582="Banking","Banking",IFERROR(INDEX(Mapping!$E$17:$E$28,MATCH($J3582,Mapping!$D$17:$D$28,0)),"(unmapped)")))))</f>
        <v/>
      </c>
    </row>
    <row r="3583" spans="11:11" x14ac:dyDescent="0.3">
      <c r="K3583" t="str">
        <f>IF($D3583="","",IFERROR(INDEX(Mapping!$H$3:$H$32,MATCH($B3583,Mapping!$G$3:$G$32,0)),IF(LEFT($F3583,3)="P2P",IFERROR(INDEX(Mapping!$E$3:$E$6,MATCH($G3583,Mapping!$D$3:$D$6,0)),IFERROR(INDEX(Mapping!$B$3:$B$13,MATCH($J3583,Mapping!$A$3:$A$13,0)),"(unmapped)")),IFERROR(INDEX(Mapping!$B$17:$B$22,MATCH($F3583,Mapping!$A$17:$A$22,0)),$F3583)&amp;" "&amp;IF($G3583="Banking","Banking",IFERROR(INDEX(Mapping!$E$17:$E$28,MATCH($J3583,Mapping!$D$17:$D$28,0)),"(unmapped)")))))</f>
        <v/>
      </c>
    </row>
    <row r="3584" spans="11:11" x14ac:dyDescent="0.3">
      <c r="K3584" t="str">
        <f>IF($D3584="","",IFERROR(INDEX(Mapping!$H$3:$H$32,MATCH($B3584,Mapping!$G$3:$G$32,0)),IF(LEFT($F3584,3)="P2P",IFERROR(INDEX(Mapping!$E$3:$E$6,MATCH($G3584,Mapping!$D$3:$D$6,0)),IFERROR(INDEX(Mapping!$B$3:$B$13,MATCH($J3584,Mapping!$A$3:$A$13,0)),"(unmapped)")),IFERROR(INDEX(Mapping!$B$17:$B$22,MATCH($F3584,Mapping!$A$17:$A$22,0)),$F3584)&amp;" "&amp;IF($G3584="Banking","Banking",IFERROR(INDEX(Mapping!$E$17:$E$28,MATCH($J3584,Mapping!$D$17:$D$28,0)),"(unmapped)")))))</f>
        <v/>
      </c>
    </row>
    <row r="3585" spans="11:11" x14ac:dyDescent="0.3">
      <c r="K3585" t="str">
        <f>IF($D3585="","",IFERROR(INDEX(Mapping!$H$3:$H$32,MATCH($B3585,Mapping!$G$3:$G$32,0)),IF(LEFT($F3585,3)="P2P",IFERROR(INDEX(Mapping!$E$3:$E$6,MATCH($G3585,Mapping!$D$3:$D$6,0)),IFERROR(INDEX(Mapping!$B$3:$B$13,MATCH($J3585,Mapping!$A$3:$A$13,0)),"(unmapped)")),IFERROR(INDEX(Mapping!$B$17:$B$22,MATCH($F3585,Mapping!$A$17:$A$22,0)),$F3585)&amp;" "&amp;IF($G3585="Banking","Banking",IFERROR(INDEX(Mapping!$E$17:$E$28,MATCH($J3585,Mapping!$D$17:$D$28,0)),"(unmapped)")))))</f>
        <v/>
      </c>
    </row>
    <row r="3586" spans="11:11" x14ac:dyDescent="0.3">
      <c r="K3586" t="str">
        <f>IF($D3586="","",IFERROR(INDEX(Mapping!$H$3:$H$32,MATCH($B3586,Mapping!$G$3:$G$32,0)),IF(LEFT($F3586,3)="P2P",IFERROR(INDEX(Mapping!$E$3:$E$6,MATCH($G3586,Mapping!$D$3:$D$6,0)),IFERROR(INDEX(Mapping!$B$3:$B$13,MATCH($J3586,Mapping!$A$3:$A$13,0)),"(unmapped)")),IFERROR(INDEX(Mapping!$B$17:$B$22,MATCH($F3586,Mapping!$A$17:$A$22,0)),$F3586)&amp;" "&amp;IF($G3586="Banking","Banking",IFERROR(INDEX(Mapping!$E$17:$E$28,MATCH($J3586,Mapping!$D$17:$D$28,0)),"(unmapped)")))))</f>
        <v/>
      </c>
    </row>
    <row r="3587" spans="11:11" x14ac:dyDescent="0.3">
      <c r="K3587" t="str">
        <f>IF($D3587="","",IFERROR(INDEX(Mapping!$H$3:$H$32,MATCH($B3587,Mapping!$G$3:$G$32,0)),IF(LEFT($F3587,3)="P2P",IFERROR(INDEX(Mapping!$E$3:$E$6,MATCH($G3587,Mapping!$D$3:$D$6,0)),IFERROR(INDEX(Mapping!$B$3:$B$13,MATCH($J3587,Mapping!$A$3:$A$13,0)),"(unmapped)")),IFERROR(INDEX(Mapping!$B$17:$B$22,MATCH($F3587,Mapping!$A$17:$A$22,0)),$F3587)&amp;" "&amp;IF($G3587="Banking","Banking",IFERROR(INDEX(Mapping!$E$17:$E$28,MATCH($J3587,Mapping!$D$17:$D$28,0)),"(unmapped)")))))</f>
        <v/>
      </c>
    </row>
    <row r="3588" spans="11:11" x14ac:dyDescent="0.3">
      <c r="K3588" t="str">
        <f>IF($D3588="","",IFERROR(INDEX(Mapping!$H$3:$H$32,MATCH($B3588,Mapping!$G$3:$G$32,0)),IF(LEFT($F3588,3)="P2P",IFERROR(INDEX(Mapping!$E$3:$E$6,MATCH($G3588,Mapping!$D$3:$D$6,0)),IFERROR(INDEX(Mapping!$B$3:$B$13,MATCH($J3588,Mapping!$A$3:$A$13,0)),"(unmapped)")),IFERROR(INDEX(Mapping!$B$17:$B$22,MATCH($F3588,Mapping!$A$17:$A$22,0)),$F3588)&amp;" "&amp;IF($G3588="Banking","Banking",IFERROR(INDEX(Mapping!$E$17:$E$28,MATCH($J3588,Mapping!$D$17:$D$28,0)),"(unmapped)")))))</f>
        <v/>
      </c>
    </row>
    <row r="3589" spans="11:11" x14ac:dyDescent="0.3">
      <c r="K3589" t="str">
        <f>IF($D3589="","",IFERROR(INDEX(Mapping!$H$3:$H$32,MATCH($B3589,Mapping!$G$3:$G$32,0)),IF(LEFT($F3589,3)="P2P",IFERROR(INDEX(Mapping!$E$3:$E$6,MATCH($G3589,Mapping!$D$3:$D$6,0)),IFERROR(INDEX(Mapping!$B$3:$B$13,MATCH($J3589,Mapping!$A$3:$A$13,0)),"(unmapped)")),IFERROR(INDEX(Mapping!$B$17:$B$22,MATCH($F3589,Mapping!$A$17:$A$22,0)),$F3589)&amp;" "&amp;IF($G3589="Banking","Banking",IFERROR(INDEX(Mapping!$E$17:$E$28,MATCH($J3589,Mapping!$D$17:$D$28,0)),"(unmapped)")))))</f>
        <v/>
      </c>
    </row>
    <row r="3590" spans="11:11" x14ac:dyDescent="0.3">
      <c r="K3590" t="str">
        <f>IF($D3590="","",IFERROR(INDEX(Mapping!$H$3:$H$32,MATCH($B3590,Mapping!$G$3:$G$32,0)),IF(LEFT($F3590,3)="P2P",IFERROR(INDEX(Mapping!$E$3:$E$6,MATCH($G3590,Mapping!$D$3:$D$6,0)),IFERROR(INDEX(Mapping!$B$3:$B$13,MATCH($J3590,Mapping!$A$3:$A$13,0)),"(unmapped)")),IFERROR(INDEX(Mapping!$B$17:$B$22,MATCH($F3590,Mapping!$A$17:$A$22,0)),$F3590)&amp;" "&amp;IF($G3590="Banking","Banking",IFERROR(INDEX(Mapping!$E$17:$E$28,MATCH($J3590,Mapping!$D$17:$D$28,0)),"(unmapped)")))))</f>
        <v/>
      </c>
    </row>
    <row r="3591" spans="11:11" x14ac:dyDescent="0.3">
      <c r="K3591" t="str">
        <f>IF($D3591="","",IFERROR(INDEX(Mapping!$H$3:$H$32,MATCH($B3591,Mapping!$G$3:$G$32,0)),IF(LEFT($F3591,3)="P2P",IFERROR(INDEX(Mapping!$E$3:$E$6,MATCH($G3591,Mapping!$D$3:$D$6,0)),IFERROR(INDEX(Mapping!$B$3:$B$13,MATCH($J3591,Mapping!$A$3:$A$13,0)),"(unmapped)")),IFERROR(INDEX(Mapping!$B$17:$B$22,MATCH($F3591,Mapping!$A$17:$A$22,0)),$F3591)&amp;" "&amp;IF($G3591="Banking","Banking",IFERROR(INDEX(Mapping!$E$17:$E$28,MATCH($J3591,Mapping!$D$17:$D$28,0)),"(unmapped)")))))</f>
        <v/>
      </c>
    </row>
    <row r="3592" spans="11:11" x14ac:dyDescent="0.3">
      <c r="K3592" t="str">
        <f>IF($D3592="","",IFERROR(INDEX(Mapping!$H$3:$H$32,MATCH($B3592,Mapping!$G$3:$G$32,0)),IF(LEFT($F3592,3)="P2P",IFERROR(INDEX(Mapping!$E$3:$E$6,MATCH($G3592,Mapping!$D$3:$D$6,0)),IFERROR(INDEX(Mapping!$B$3:$B$13,MATCH($J3592,Mapping!$A$3:$A$13,0)),"(unmapped)")),IFERROR(INDEX(Mapping!$B$17:$B$22,MATCH($F3592,Mapping!$A$17:$A$22,0)),$F3592)&amp;" "&amp;IF($G3592="Banking","Banking",IFERROR(INDEX(Mapping!$E$17:$E$28,MATCH($J3592,Mapping!$D$17:$D$28,0)),"(unmapped)")))))</f>
        <v/>
      </c>
    </row>
    <row r="3593" spans="11:11" x14ac:dyDescent="0.3">
      <c r="K3593" t="str">
        <f>IF($D3593="","",IFERROR(INDEX(Mapping!$H$3:$H$32,MATCH($B3593,Mapping!$G$3:$G$32,0)),IF(LEFT($F3593,3)="P2P",IFERROR(INDEX(Mapping!$E$3:$E$6,MATCH($G3593,Mapping!$D$3:$D$6,0)),IFERROR(INDEX(Mapping!$B$3:$B$13,MATCH($J3593,Mapping!$A$3:$A$13,0)),"(unmapped)")),IFERROR(INDEX(Mapping!$B$17:$B$22,MATCH($F3593,Mapping!$A$17:$A$22,0)),$F3593)&amp;" "&amp;IF($G3593="Banking","Banking",IFERROR(INDEX(Mapping!$E$17:$E$28,MATCH($J3593,Mapping!$D$17:$D$28,0)),"(unmapped)")))))</f>
        <v/>
      </c>
    </row>
    <row r="3594" spans="11:11" x14ac:dyDescent="0.3">
      <c r="K3594" t="str">
        <f>IF($D3594="","",IFERROR(INDEX(Mapping!$H$3:$H$32,MATCH($B3594,Mapping!$G$3:$G$32,0)),IF(LEFT($F3594,3)="P2P",IFERROR(INDEX(Mapping!$E$3:$E$6,MATCH($G3594,Mapping!$D$3:$D$6,0)),IFERROR(INDEX(Mapping!$B$3:$B$13,MATCH($J3594,Mapping!$A$3:$A$13,0)),"(unmapped)")),IFERROR(INDEX(Mapping!$B$17:$B$22,MATCH($F3594,Mapping!$A$17:$A$22,0)),$F3594)&amp;" "&amp;IF($G3594="Banking","Banking",IFERROR(INDEX(Mapping!$E$17:$E$28,MATCH($J3594,Mapping!$D$17:$D$28,0)),"(unmapped)")))))</f>
        <v/>
      </c>
    </row>
    <row r="3595" spans="11:11" x14ac:dyDescent="0.3">
      <c r="K3595" t="str">
        <f>IF($D3595="","",IFERROR(INDEX(Mapping!$H$3:$H$32,MATCH($B3595,Mapping!$G$3:$G$32,0)),IF(LEFT($F3595,3)="P2P",IFERROR(INDEX(Mapping!$E$3:$E$6,MATCH($G3595,Mapping!$D$3:$D$6,0)),IFERROR(INDEX(Mapping!$B$3:$B$13,MATCH($J3595,Mapping!$A$3:$A$13,0)),"(unmapped)")),IFERROR(INDEX(Mapping!$B$17:$B$22,MATCH($F3595,Mapping!$A$17:$A$22,0)),$F3595)&amp;" "&amp;IF($G3595="Banking","Banking",IFERROR(INDEX(Mapping!$E$17:$E$28,MATCH($J3595,Mapping!$D$17:$D$28,0)),"(unmapped)")))))</f>
        <v/>
      </c>
    </row>
    <row r="3596" spans="11:11" x14ac:dyDescent="0.3">
      <c r="K3596" t="str">
        <f>IF($D3596="","",IFERROR(INDEX(Mapping!$H$3:$H$32,MATCH($B3596,Mapping!$G$3:$G$32,0)),IF(LEFT($F3596,3)="P2P",IFERROR(INDEX(Mapping!$E$3:$E$6,MATCH($G3596,Mapping!$D$3:$D$6,0)),IFERROR(INDEX(Mapping!$B$3:$B$13,MATCH($J3596,Mapping!$A$3:$A$13,0)),"(unmapped)")),IFERROR(INDEX(Mapping!$B$17:$B$22,MATCH($F3596,Mapping!$A$17:$A$22,0)),$F3596)&amp;" "&amp;IF($G3596="Banking","Banking",IFERROR(INDEX(Mapping!$E$17:$E$28,MATCH($J3596,Mapping!$D$17:$D$28,0)),"(unmapped)")))))</f>
        <v/>
      </c>
    </row>
    <row r="3597" spans="11:11" x14ac:dyDescent="0.3">
      <c r="K3597" t="str">
        <f>IF($D3597="","",IFERROR(INDEX(Mapping!$H$3:$H$32,MATCH($B3597,Mapping!$G$3:$G$32,0)),IF(LEFT($F3597,3)="P2P",IFERROR(INDEX(Mapping!$E$3:$E$6,MATCH($G3597,Mapping!$D$3:$D$6,0)),IFERROR(INDEX(Mapping!$B$3:$B$13,MATCH($J3597,Mapping!$A$3:$A$13,0)),"(unmapped)")),IFERROR(INDEX(Mapping!$B$17:$B$22,MATCH($F3597,Mapping!$A$17:$A$22,0)),$F3597)&amp;" "&amp;IF($G3597="Banking","Banking",IFERROR(INDEX(Mapping!$E$17:$E$28,MATCH($J3597,Mapping!$D$17:$D$28,0)),"(unmapped)")))))</f>
        <v/>
      </c>
    </row>
    <row r="3598" spans="11:11" x14ac:dyDescent="0.3">
      <c r="K3598" t="str">
        <f>IF($D3598="","",IFERROR(INDEX(Mapping!$H$3:$H$32,MATCH($B3598,Mapping!$G$3:$G$32,0)),IF(LEFT($F3598,3)="P2P",IFERROR(INDEX(Mapping!$E$3:$E$6,MATCH($G3598,Mapping!$D$3:$D$6,0)),IFERROR(INDEX(Mapping!$B$3:$B$13,MATCH($J3598,Mapping!$A$3:$A$13,0)),"(unmapped)")),IFERROR(INDEX(Mapping!$B$17:$B$22,MATCH($F3598,Mapping!$A$17:$A$22,0)),$F3598)&amp;" "&amp;IF($G3598="Banking","Banking",IFERROR(INDEX(Mapping!$E$17:$E$28,MATCH($J3598,Mapping!$D$17:$D$28,0)),"(unmapped)")))))</f>
        <v/>
      </c>
    </row>
    <row r="3599" spans="11:11" x14ac:dyDescent="0.3">
      <c r="K3599" t="str">
        <f>IF($D3599="","",IFERROR(INDEX(Mapping!$H$3:$H$32,MATCH($B3599,Mapping!$G$3:$G$32,0)),IF(LEFT($F3599,3)="P2P",IFERROR(INDEX(Mapping!$E$3:$E$6,MATCH($G3599,Mapping!$D$3:$D$6,0)),IFERROR(INDEX(Mapping!$B$3:$B$13,MATCH($J3599,Mapping!$A$3:$A$13,0)),"(unmapped)")),IFERROR(INDEX(Mapping!$B$17:$B$22,MATCH($F3599,Mapping!$A$17:$A$22,0)),$F3599)&amp;" "&amp;IF($G3599="Banking","Banking",IFERROR(INDEX(Mapping!$E$17:$E$28,MATCH($J3599,Mapping!$D$17:$D$28,0)),"(unmapped)")))))</f>
        <v/>
      </c>
    </row>
    <row r="3600" spans="11:11" x14ac:dyDescent="0.3">
      <c r="K3600" t="str">
        <f>IF($D3600="","",IFERROR(INDEX(Mapping!$H$3:$H$32,MATCH($B3600,Mapping!$G$3:$G$32,0)),IF(LEFT($F3600,3)="P2P",IFERROR(INDEX(Mapping!$E$3:$E$6,MATCH($G3600,Mapping!$D$3:$D$6,0)),IFERROR(INDEX(Mapping!$B$3:$B$13,MATCH($J3600,Mapping!$A$3:$A$13,0)),"(unmapped)")),IFERROR(INDEX(Mapping!$B$17:$B$22,MATCH($F3600,Mapping!$A$17:$A$22,0)),$F3600)&amp;" "&amp;IF($G3600="Banking","Banking",IFERROR(INDEX(Mapping!$E$17:$E$28,MATCH($J3600,Mapping!$D$17:$D$28,0)),"(unmapped)")))))</f>
        <v/>
      </c>
    </row>
    <row r="3601" spans="11:11" x14ac:dyDescent="0.3">
      <c r="K3601" t="str">
        <f>IF($D3601="","",IFERROR(INDEX(Mapping!$H$3:$H$32,MATCH($B3601,Mapping!$G$3:$G$32,0)),IF(LEFT($F3601,3)="P2P",IFERROR(INDEX(Mapping!$E$3:$E$6,MATCH($G3601,Mapping!$D$3:$D$6,0)),IFERROR(INDEX(Mapping!$B$3:$B$13,MATCH($J3601,Mapping!$A$3:$A$13,0)),"(unmapped)")),IFERROR(INDEX(Mapping!$B$17:$B$22,MATCH($F3601,Mapping!$A$17:$A$22,0)),$F3601)&amp;" "&amp;IF($G3601="Banking","Banking",IFERROR(INDEX(Mapping!$E$17:$E$28,MATCH($J3601,Mapping!$D$17:$D$28,0)),"(unmapped)")))))</f>
        <v/>
      </c>
    </row>
    <row r="3602" spans="11:11" x14ac:dyDescent="0.3">
      <c r="K3602" t="str">
        <f>IF($D3602="","",IFERROR(INDEX(Mapping!$H$3:$H$32,MATCH($B3602,Mapping!$G$3:$G$32,0)),IF(LEFT($F3602,3)="P2P",IFERROR(INDEX(Mapping!$E$3:$E$6,MATCH($G3602,Mapping!$D$3:$D$6,0)),IFERROR(INDEX(Mapping!$B$3:$B$13,MATCH($J3602,Mapping!$A$3:$A$13,0)),"(unmapped)")),IFERROR(INDEX(Mapping!$B$17:$B$22,MATCH($F3602,Mapping!$A$17:$A$22,0)),$F3602)&amp;" "&amp;IF($G3602="Banking","Banking",IFERROR(INDEX(Mapping!$E$17:$E$28,MATCH($J3602,Mapping!$D$17:$D$28,0)),"(unmapped)")))))</f>
        <v/>
      </c>
    </row>
    <row r="3603" spans="11:11" x14ac:dyDescent="0.3">
      <c r="K3603" t="str">
        <f>IF($D3603="","",IFERROR(INDEX(Mapping!$H$3:$H$32,MATCH($B3603,Mapping!$G$3:$G$32,0)),IF(LEFT($F3603,3)="P2P",IFERROR(INDEX(Mapping!$E$3:$E$6,MATCH($G3603,Mapping!$D$3:$D$6,0)),IFERROR(INDEX(Mapping!$B$3:$B$13,MATCH($J3603,Mapping!$A$3:$A$13,0)),"(unmapped)")),IFERROR(INDEX(Mapping!$B$17:$B$22,MATCH($F3603,Mapping!$A$17:$A$22,0)),$F3603)&amp;" "&amp;IF($G3603="Banking","Banking",IFERROR(INDEX(Mapping!$E$17:$E$28,MATCH($J3603,Mapping!$D$17:$D$28,0)),"(unmapped)")))))</f>
        <v/>
      </c>
    </row>
    <row r="3604" spans="11:11" x14ac:dyDescent="0.3">
      <c r="K3604" t="str">
        <f>IF($D3604="","",IFERROR(INDEX(Mapping!$H$3:$H$32,MATCH($B3604,Mapping!$G$3:$G$32,0)),IF(LEFT($F3604,3)="P2P",IFERROR(INDEX(Mapping!$E$3:$E$6,MATCH($G3604,Mapping!$D$3:$D$6,0)),IFERROR(INDEX(Mapping!$B$3:$B$13,MATCH($J3604,Mapping!$A$3:$A$13,0)),"(unmapped)")),IFERROR(INDEX(Mapping!$B$17:$B$22,MATCH($F3604,Mapping!$A$17:$A$22,0)),$F3604)&amp;" "&amp;IF($G3604="Banking","Banking",IFERROR(INDEX(Mapping!$E$17:$E$28,MATCH($J3604,Mapping!$D$17:$D$28,0)),"(unmapped)")))))</f>
        <v/>
      </c>
    </row>
    <row r="3605" spans="11:11" x14ac:dyDescent="0.3">
      <c r="K3605" t="str">
        <f>IF($D3605="","",IFERROR(INDEX(Mapping!$H$3:$H$32,MATCH($B3605,Mapping!$G$3:$G$32,0)),IF(LEFT($F3605,3)="P2P",IFERROR(INDEX(Mapping!$E$3:$E$6,MATCH($G3605,Mapping!$D$3:$D$6,0)),IFERROR(INDEX(Mapping!$B$3:$B$13,MATCH($J3605,Mapping!$A$3:$A$13,0)),"(unmapped)")),IFERROR(INDEX(Mapping!$B$17:$B$22,MATCH($F3605,Mapping!$A$17:$A$22,0)),$F3605)&amp;" "&amp;IF($G3605="Banking","Banking",IFERROR(INDEX(Mapping!$E$17:$E$28,MATCH($J3605,Mapping!$D$17:$D$28,0)),"(unmapped)")))))</f>
        <v/>
      </c>
    </row>
    <row r="3606" spans="11:11" x14ac:dyDescent="0.3">
      <c r="K3606" t="str">
        <f>IF($D3606="","",IFERROR(INDEX(Mapping!$H$3:$H$32,MATCH($B3606,Mapping!$G$3:$G$32,0)),IF(LEFT($F3606,3)="P2P",IFERROR(INDEX(Mapping!$E$3:$E$6,MATCH($G3606,Mapping!$D$3:$D$6,0)),IFERROR(INDEX(Mapping!$B$3:$B$13,MATCH($J3606,Mapping!$A$3:$A$13,0)),"(unmapped)")),IFERROR(INDEX(Mapping!$B$17:$B$22,MATCH($F3606,Mapping!$A$17:$A$22,0)),$F3606)&amp;" "&amp;IF($G3606="Banking","Banking",IFERROR(INDEX(Mapping!$E$17:$E$28,MATCH($J3606,Mapping!$D$17:$D$28,0)),"(unmapped)")))))</f>
        <v/>
      </c>
    </row>
    <row r="3607" spans="11:11" x14ac:dyDescent="0.3">
      <c r="K3607" t="str">
        <f>IF($D3607="","",IFERROR(INDEX(Mapping!$H$3:$H$32,MATCH($B3607,Mapping!$G$3:$G$32,0)),IF(LEFT($F3607,3)="P2P",IFERROR(INDEX(Mapping!$E$3:$E$6,MATCH($G3607,Mapping!$D$3:$D$6,0)),IFERROR(INDEX(Mapping!$B$3:$B$13,MATCH($J3607,Mapping!$A$3:$A$13,0)),"(unmapped)")),IFERROR(INDEX(Mapping!$B$17:$B$22,MATCH($F3607,Mapping!$A$17:$A$22,0)),$F3607)&amp;" "&amp;IF($G3607="Banking","Banking",IFERROR(INDEX(Mapping!$E$17:$E$28,MATCH($J3607,Mapping!$D$17:$D$28,0)),"(unmapped)")))))</f>
        <v/>
      </c>
    </row>
    <row r="3608" spans="11:11" x14ac:dyDescent="0.3">
      <c r="K3608" t="str">
        <f>IF($D3608="","",IFERROR(INDEX(Mapping!$H$3:$H$32,MATCH($B3608,Mapping!$G$3:$G$32,0)),IF(LEFT($F3608,3)="P2P",IFERROR(INDEX(Mapping!$E$3:$E$6,MATCH($G3608,Mapping!$D$3:$D$6,0)),IFERROR(INDEX(Mapping!$B$3:$B$13,MATCH($J3608,Mapping!$A$3:$A$13,0)),"(unmapped)")),IFERROR(INDEX(Mapping!$B$17:$B$22,MATCH($F3608,Mapping!$A$17:$A$22,0)),$F3608)&amp;" "&amp;IF($G3608="Banking","Banking",IFERROR(INDEX(Mapping!$E$17:$E$28,MATCH($J3608,Mapping!$D$17:$D$28,0)),"(unmapped)")))))</f>
        <v/>
      </c>
    </row>
    <row r="3609" spans="11:11" x14ac:dyDescent="0.3">
      <c r="K3609" t="str">
        <f>IF($D3609="","",IFERROR(INDEX(Mapping!$H$3:$H$32,MATCH($B3609,Mapping!$G$3:$G$32,0)),IF(LEFT($F3609,3)="P2P",IFERROR(INDEX(Mapping!$E$3:$E$6,MATCH($G3609,Mapping!$D$3:$D$6,0)),IFERROR(INDEX(Mapping!$B$3:$B$13,MATCH($J3609,Mapping!$A$3:$A$13,0)),"(unmapped)")),IFERROR(INDEX(Mapping!$B$17:$B$22,MATCH($F3609,Mapping!$A$17:$A$22,0)),$F3609)&amp;" "&amp;IF($G3609="Banking","Banking",IFERROR(INDEX(Mapping!$E$17:$E$28,MATCH($J3609,Mapping!$D$17:$D$28,0)),"(unmapped)")))))</f>
        <v/>
      </c>
    </row>
    <row r="3610" spans="11:11" x14ac:dyDescent="0.3">
      <c r="K3610" t="str">
        <f>IF($D3610="","",IFERROR(INDEX(Mapping!$H$3:$H$32,MATCH($B3610,Mapping!$G$3:$G$32,0)),IF(LEFT($F3610,3)="P2P",IFERROR(INDEX(Mapping!$E$3:$E$6,MATCH($G3610,Mapping!$D$3:$D$6,0)),IFERROR(INDEX(Mapping!$B$3:$B$13,MATCH($J3610,Mapping!$A$3:$A$13,0)),"(unmapped)")),IFERROR(INDEX(Mapping!$B$17:$B$22,MATCH($F3610,Mapping!$A$17:$A$22,0)),$F3610)&amp;" "&amp;IF($G3610="Banking","Banking",IFERROR(INDEX(Mapping!$E$17:$E$28,MATCH($J3610,Mapping!$D$17:$D$28,0)),"(unmapped)")))))</f>
        <v/>
      </c>
    </row>
    <row r="3611" spans="11:11" x14ac:dyDescent="0.3">
      <c r="K3611" t="str">
        <f>IF($D3611="","",IFERROR(INDEX(Mapping!$H$3:$H$32,MATCH($B3611,Mapping!$G$3:$G$32,0)),IF(LEFT($F3611,3)="P2P",IFERROR(INDEX(Mapping!$E$3:$E$6,MATCH($G3611,Mapping!$D$3:$D$6,0)),IFERROR(INDEX(Mapping!$B$3:$B$13,MATCH($J3611,Mapping!$A$3:$A$13,0)),"(unmapped)")),IFERROR(INDEX(Mapping!$B$17:$B$22,MATCH($F3611,Mapping!$A$17:$A$22,0)),$F3611)&amp;" "&amp;IF($G3611="Banking","Banking",IFERROR(INDEX(Mapping!$E$17:$E$28,MATCH($J3611,Mapping!$D$17:$D$28,0)),"(unmapped)")))))</f>
        <v/>
      </c>
    </row>
    <row r="3612" spans="11:11" x14ac:dyDescent="0.3">
      <c r="K3612" t="str">
        <f>IF($D3612="","",IFERROR(INDEX(Mapping!$H$3:$H$32,MATCH($B3612,Mapping!$G$3:$G$32,0)),IF(LEFT($F3612,3)="P2P",IFERROR(INDEX(Mapping!$E$3:$E$6,MATCH($G3612,Mapping!$D$3:$D$6,0)),IFERROR(INDEX(Mapping!$B$3:$B$13,MATCH($J3612,Mapping!$A$3:$A$13,0)),"(unmapped)")),IFERROR(INDEX(Mapping!$B$17:$B$22,MATCH($F3612,Mapping!$A$17:$A$22,0)),$F3612)&amp;" "&amp;IF($G3612="Banking","Banking",IFERROR(INDEX(Mapping!$E$17:$E$28,MATCH($J3612,Mapping!$D$17:$D$28,0)),"(unmapped)")))))</f>
        <v/>
      </c>
    </row>
    <row r="3613" spans="11:11" x14ac:dyDescent="0.3">
      <c r="K3613" t="str">
        <f>IF($D3613="","",IFERROR(INDEX(Mapping!$H$3:$H$32,MATCH($B3613,Mapping!$G$3:$G$32,0)),IF(LEFT($F3613,3)="P2P",IFERROR(INDEX(Mapping!$E$3:$E$6,MATCH($G3613,Mapping!$D$3:$D$6,0)),IFERROR(INDEX(Mapping!$B$3:$B$13,MATCH($J3613,Mapping!$A$3:$A$13,0)),"(unmapped)")),IFERROR(INDEX(Mapping!$B$17:$B$22,MATCH($F3613,Mapping!$A$17:$A$22,0)),$F3613)&amp;" "&amp;IF($G3613="Banking","Banking",IFERROR(INDEX(Mapping!$E$17:$E$28,MATCH($J3613,Mapping!$D$17:$D$28,0)),"(unmapped)")))))</f>
        <v/>
      </c>
    </row>
    <row r="3614" spans="11:11" x14ac:dyDescent="0.3">
      <c r="K3614" t="str">
        <f>IF($D3614="","",IFERROR(INDEX(Mapping!$H$3:$H$32,MATCH($B3614,Mapping!$G$3:$G$32,0)),IF(LEFT($F3614,3)="P2P",IFERROR(INDEX(Mapping!$E$3:$E$6,MATCH($G3614,Mapping!$D$3:$D$6,0)),IFERROR(INDEX(Mapping!$B$3:$B$13,MATCH($J3614,Mapping!$A$3:$A$13,0)),"(unmapped)")),IFERROR(INDEX(Mapping!$B$17:$B$22,MATCH($F3614,Mapping!$A$17:$A$22,0)),$F3614)&amp;" "&amp;IF($G3614="Banking","Banking",IFERROR(INDEX(Mapping!$E$17:$E$28,MATCH($J3614,Mapping!$D$17:$D$28,0)),"(unmapped)")))))</f>
        <v/>
      </c>
    </row>
    <row r="3615" spans="11:11" x14ac:dyDescent="0.3">
      <c r="K3615" t="str">
        <f>IF($D3615="","",IFERROR(INDEX(Mapping!$H$3:$H$32,MATCH($B3615,Mapping!$G$3:$G$32,0)),IF(LEFT($F3615,3)="P2P",IFERROR(INDEX(Mapping!$E$3:$E$6,MATCH($G3615,Mapping!$D$3:$D$6,0)),IFERROR(INDEX(Mapping!$B$3:$B$13,MATCH($J3615,Mapping!$A$3:$A$13,0)),"(unmapped)")),IFERROR(INDEX(Mapping!$B$17:$B$22,MATCH($F3615,Mapping!$A$17:$A$22,0)),$F3615)&amp;" "&amp;IF($G3615="Banking","Banking",IFERROR(INDEX(Mapping!$E$17:$E$28,MATCH($J3615,Mapping!$D$17:$D$28,0)),"(unmapped)")))))</f>
        <v/>
      </c>
    </row>
    <row r="3616" spans="11:11" x14ac:dyDescent="0.3">
      <c r="K3616" t="str">
        <f>IF($D3616="","",IFERROR(INDEX(Mapping!$H$3:$H$32,MATCH($B3616,Mapping!$G$3:$G$32,0)),IF(LEFT($F3616,3)="P2P",IFERROR(INDEX(Mapping!$E$3:$E$6,MATCH($G3616,Mapping!$D$3:$D$6,0)),IFERROR(INDEX(Mapping!$B$3:$B$13,MATCH($J3616,Mapping!$A$3:$A$13,0)),"(unmapped)")),IFERROR(INDEX(Mapping!$B$17:$B$22,MATCH($F3616,Mapping!$A$17:$A$22,0)),$F3616)&amp;" "&amp;IF($G3616="Banking","Banking",IFERROR(INDEX(Mapping!$E$17:$E$28,MATCH($J3616,Mapping!$D$17:$D$28,0)),"(unmapped)")))))</f>
        <v/>
      </c>
    </row>
    <row r="3617" spans="11:11" x14ac:dyDescent="0.3">
      <c r="K3617" t="str">
        <f>IF($D3617="","",IFERROR(INDEX(Mapping!$H$3:$H$32,MATCH($B3617,Mapping!$G$3:$G$32,0)),IF(LEFT($F3617,3)="P2P",IFERROR(INDEX(Mapping!$E$3:$E$6,MATCH($G3617,Mapping!$D$3:$D$6,0)),IFERROR(INDEX(Mapping!$B$3:$B$13,MATCH($J3617,Mapping!$A$3:$A$13,0)),"(unmapped)")),IFERROR(INDEX(Mapping!$B$17:$B$22,MATCH($F3617,Mapping!$A$17:$A$22,0)),$F3617)&amp;" "&amp;IF($G3617="Banking","Banking",IFERROR(INDEX(Mapping!$E$17:$E$28,MATCH($J3617,Mapping!$D$17:$D$28,0)),"(unmapped)")))))</f>
        <v/>
      </c>
    </row>
    <row r="3618" spans="11:11" x14ac:dyDescent="0.3">
      <c r="K3618" t="str">
        <f>IF($D3618="","",IFERROR(INDEX(Mapping!$H$3:$H$32,MATCH($B3618,Mapping!$G$3:$G$32,0)),IF(LEFT($F3618,3)="P2P",IFERROR(INDEX(Mapping!$E$3:$E$6,MATCH($G3618,Mapping!$D$3:$D$6,0)),IFERROR(INDEX(Mapping!$B$3:$B$13,MATCH($J3618,Mapping!$A$3:$A$13,0)),"(unmapped)")),IFERROR(INDEX(Mapping!$B$17:$B$22,MATCH($F3618,Mapping!$A$17:$A$22,0)),$F3618)&amp;" "&amp;IF($G3618="Banking","Banking",IFERROR(INDEX(Mapping!$E$17:$E$28,MATCH($J3618,Mapping!$D$17:$D$28,0)),"(unmapped)")))))</f>
        <v/>
      </c>
    </row>
    <row r="3619" spans="11:11" x14ac:dyDescent="0.3">
      <c r="K3619" t="str">
        <f>IF($D3619="","",IFERROR(INDEX(Mapping!$H$3:$H$32,MATCH($B3619,Mapping!$G$3:$G$32,0)),IF(LEFT($F3619,3)="P2P",IFERROR(INDEX(Mapping!$E$3:$E$6,MATCH($G3619,Mapping!$D$3:$D$6,0)),IFERROR(INDEX(Mapping!$B$3:$B$13,MATCH($J3619,Mapping!$A$3:$A$13,0)),"(unmapped)")),IFERROR(INDEX(Mapping!$B$17:$B$22,MATCH($F3619,Mapping!$A$17:$A$22,0)),$F3619)&amp;" "&amp;IF($G3619="Banking","Banking",IFERROR(INDEX(Mapping!$E$17:$E$28,MATCH($J3619,Mapping!$D$17:$D$28,0)),"(unmapped)")))))</f>
        <v/>
      </c>
    </row>
    <row r="3620" spans="11:11" x14ac:dyDescent="0.3">
      <c r="K3620" t="str">
        <f>IF($D3620="","",IFERROR(INDEX(Mapping!$H$3:$H$32,MATCH($B3620,Mapping!$G$3:$G$32,0)),IF(LEFT($F3620,3)="P2P",IFERROR(INDEX(Mapping!$E$3:$E$6,MATCH($G3620,Mapping!$D$3:$D$6,0)),IFERROR(INDEX(Mapping!$B$3:$B$13,MATCH($J3620,Mapping!$A$3:$A$13,0)),"(unmapped)")),IFERROR(INDEX(Mapping!$B$17:$B$22,MATCH($F3620,Mapping!$A$17:$A$22,0)),$F3620)&amp;" "&amp;IF($G3620="Banking","Banking",IFERROR(INDEX(Mapping!$E$17:$E$28,MATCH($J3620,Mapping!$D$17:$D$28,0)),"(unmapped)")))))</f>
        <v/>
      </c>
    </row>
    <row r="3621" spans="11:11" x14ac:dyDescent="0.3">
      <c r="K3621" t="str">
        <f>IF($D3621="","",IFERROR(INDEX(Mapping!$H$3:$H$32,MATCH($B3621,Mapping!$G$3:$G$32,0)),IF(LEFT($F3621,3)="P2P",IFERROR(INDEX(Mapping!$E$3:$E$6,MATCH($G3621,Mapping!$D$3:$D$6,0)),IFERROR(INDEX(Mapping!$B$3:$B$13,MATCH($J3621,Mapping!$A$3:$A$13,0)),"(unmapped)")),IFERROR(INDEX(Mapping!$B$17:$B$22,MATCH($F3621,Mapping!$A$17:$A$22,0)),$F3621)&amp;" "&amp;IF($G3621="Banking","Banking",IFERROR(INDEX(Mapping!$E$17:$E$28,MATCH($J3621,Mapping!$D$17:$D$28,0)),"(unmapped)")))))</f>
        <v/>
      </c>
    </row>
    <row r="3622" spans="11:11" x14ac:dyDescent="0.3">
      <c r="K3622" t="str">
        <f>IF($D3622="","",IFERROR(INDEX(Mapping!$H$3:$H$32,MATCH($B3622,Mapping!$G$3:$G$32,0)),IF(LEFT($F3622,3)="P2P",IFERROR(INDEX(Mapping!$E$3:$E$6,MATCH($G3622,Mapping!$D$3:$D$6,0)),IFERROR(INDEX(Mapping!$B$3:$B$13,MATCH($J3622,Mapping!$A$3:$A$13,0)),"(unmapped)")),IFERROR(INDEX(Mapping!$B$17:$B$22,MATCH($F3622,Mapping!$A$17:$A$22,0)),$F3622)&amp;" "&amp;IF($G3622="Banking","Banking",IFERROR(INDEX(Mapping!$E$17:$E$28,MATCH($J3622,Mapping!$D$17:$D$28,0)),"(unmapped)")))))</f>
        <v/>
      </c>
    </row>
    <row r="3623" spans="11:11" x14ac:dyDescent="0.3">
      <c r="K3623" t="str">
        <f>IF($D3623="","",IFERROR(INDEX(Mapping!$H$3:$H$32,MATCH($B3623,Mapping!$G$3:$G$32,0)),IF(LEFT($F3623,3)="P2P",IFERROR(INDEX(Mapping!$E$3:$E$6,MATCH($G3623,Mapping!$D$3:$D$6,0)),IFERROR(INDEX(Mapping!$B$3:$B$13,MATCH($J3623,Mapping!$A$3:$A$13,0)),"(unmapped)")),IFERROR(INDEX(Mapping!$B$17:$B$22,MATCH($F3623,Mapping!$A$17:$A$22,0)),$F3623)&amp;" "&amp;IF($G3623="Banking","Banking",IFERROR(INDEX(Mapping!$E$17:$E$28,MATCH($J3623,Mapping!$D$17:$D$28,0)),"(unmapped)")))))</f>
        <v/>
      </c>
    </row>
    <row r="3624" spans="11:11" x14ac:dyDescent="0.3">
      <c r="K3624" t="str">
        <f>IF($D3624="","",IFERROR(INDEX(Mapping!$H$3:$H$32,MATCH($B3624,Mapping!$G$3:$G$32,0)),IF(LEFT($F3624,3)="P2P",IFERROR(INDEX(Mapping!$E$3:$E$6,MATCH($G3624,Mapping!$D$3:$D$6,0)),IFERROR(INDEX(Mapping!$B$3:$B$13,MATCH($J3624,Mapping!$A$3:$A$13,0)),"(unmapped)")),IFERROR(INDEX(Mapping!$B$17:$B$22,MATCH($F3624,Mapping!$A$17:$A$22,0)),$F3624)&amp;" "&amp;IF($G3624="Banking","Banking",IFERROR(INDEX(Mapping!$E$17:$E$28,MATCH($J3624,Mapping!$D$17:$D$28,0)),"(unmapped)")))))</f>
        <v/>
      </c>
    </row>
    <row r="3625" spans="11:11" x14ac:dyDescent="0.3">
      <c r="K3625" t="str">
        <f>IF($D3625="","",IFERROR(INDEX(Mapping!$H$3:$H$32,MATCH($B3625,Mapping!$G$3:$G$32,0)),IF(LEFT($F3625,3)="P2P",IFERROR(INDEX(Mapping!$E$3:$E$6,MATCH($G3625,Mapping!$D$3:$D$6,0)),IFERROR(INDEX(Mapping!$B$3:$B$13,MATCH($J3625,Mapping!$A$3:$A$13,0)),"(unmapped)")),IFERROR(INDEX(Mapping!$B$17:$B$22,MATCH($F3625,Mapping!$A$17:$A$22,0)),$F3625)&amp;" "&amp;IF($G3625="Banking","Banking",IFERROR(INDEX(Mapping!$E$17:$E$28,MATCH($J3625,Mapping!$D$17:$D$28,0)),"(unmapped)")))))</f>
        <v/>
      </c>
    </row>
    <row r="3626" spans="11:11" x14ac:dyDescent="0.3">
      <c r="K3626" t="str">
        <f>IF($D3626="","",IFERROR(INDEX(Mapping!$H$3:$H$32,MATCH($B3626,Mapping!$G$3:$G$32,0)),IF(LEFT($F3626,3)="P2P",IFERROR(INDEX(Mapping!$E$3:$E$6,MATCH($G3626,Mapping!$D$3:$D$6,0)),IFERROR(INDEX(Mapping!$B$3:$B$13,MATCH($J3626,Mapping!$A$3:$A$13,0)),"(unmapped)")),IFERROR(INDEX(Mapping!$B$17:$B$22,MATCH($F3626,Mapping!$A$17:$A$22,0)),$F3626)&amp;" "&amp;IF($G3626="Banking","Banking",IFERROR(INDEX(Mapping!$E$17:$E$28,MATCH($J3626,Mapping!$D$17:$D$28,0)),"(unmapped)")))))</f>
        <v/>
      </c>
    </row>
    <row r="3627" spans="11:11" x14ac:dyDescent="0.3">
      <c r="K3627" t="str">
        <f>IF($D3627="","",IFERROR(INDEX(Mapping!$H$3:$H$32,MATCH($B3627,Mapping!$G$3:$G$32,0)),IF(LEFT($F3627,3)="P2P",IFERROR(INDEX(Mapping!$E$3:$E$6,MATCH($G3627,Mapping!$D$3:$D$6,0)),IFERROR(INDEX(Mapping!$B$3:$B$13,MATCH($J3627,Mapping!$A$3:$A$13,0)),"(unmapped)")),IFERROR(INDEX(Mapping!$B$17:$B$22,MATCH($F3627,Mapping!$A$17:$A$22,0)),$F3627)&amp;" "&amp;IF($G3627="Banking","Banking",IFERROR(INDEX(Mapping!$E$17:$E$28,MATCH($J3627,Mapping!$D$17:$D$28,0)),"(unmapped)")))))</f>
        <v/>
      </c>
    </row>
    <row r="3628" spans="11:11" x14ac:dyDescent="0.3">
      <c r="K3628" t="str">
        <f>IF($D3628="","",IFERROR(INDEX(Mapping!$H$3:$H$32,MATCH($B3628,Mapping!$G$3:$G$32,0)),IF(LEFT($F3628,3)="P2P",IFERROR(INDEX(Mapping!$E$3:$E$6,MATCH($G3628,Mapping!$D$3:$D$6,0)),IFERROR(INDEX(Mapping!$B$3:$B$13,MATCH($J3628,Mapping!$A$3:$A$13,0)),"(unmapped)")),IFERROR(INDEX(Mapping!$B$17:$B$22,MATCH($F3628,Mapping!$A$17:$A$22,0)),$F3628)&amp;" "&amp;IF($G3628="Banking","Banking",IFERROR(INDEX(Mapping!$E$17:$E$28,MATCH($J3628,Mapping!$D$17:$D$28,0)),"(unmapped)")))))</f>
        <v/>
      </c>
    </row>
    <row r="3629" spans="11:11" x14ac:dyDescent="0.3">
      <c r="K3629" t="str">
        <f>IF($D3629="","",IFERROR(INDEX(Mapping!$H$3:$H$32,MATCH($B3629,Mapping!$G$3:$G$32,0)),IF(LEFT($F3629,3)="P2P",IFERROR(INDEX(Mapping!$E$3:$E$6,MATCH($G3629,Mapping!$D$3:$D$6,0)),IFERROR(INDEX(Mapping!$B$3:$B$13,MATCH($J3629,Mapping!$A$3:$A$13,0)),"(unmapped)")),IFERROR(INDEX(Mapping!$B$17:$B$22,MATCH($F3629,Mapping!$A$17:$A$22,0)),$F3629)&amp;" "&amp;IF($G3629="Banking","Banking",IFERROR(INDEX(Mapping!$E$17:$E$28,MATCH($J3629,Mapping!$D$17:$D$28,0)),"(unmapped)")))))</f>
        <v/>
      </c>
    </row>
    <row r="3630" spans="11:11" x14ac:dyDescent="0.3">
      <c r="K3630" t="str">
        <f>IF($D3630="","",IFERROR(INDEX(Mapping!$H$3:$H$32,MATCH($B3630,Mapping!$G$3:$G$32,0)),IF(LEFT($F3630,3)="P2P",IFERROR(INDEX(Mapping!$E$3:$E$6,MATCH($G3630,Mapping!$D$3:$D$6,0)),IFERROR(INDEX(Mapping!$B$3:$B$13,MATCH($J3630,Mapping!$A$3:$A$13,0)),"(unmapped)")),IFERROR(INDEX(Mapping!$B$17:$B$22,MATCH($F3630,Mapping!$A$17:$A$22,0)),$F3630)&amp;" "&amp;IF($G3630="Banking","Banking",IFERROR(INDEX(Mapping!$E$17:$E$28,MATCH($J3630,Mapping!$D$17:$D$28,0)),"(unmapped)")))))</f>
        <v/>
      </c>
    </row>
    <row r="3631" spans="11:11" x14ac:dyDescent="0.3">
      <c r="K3631" t="str">
        <f>IF($D3631="","",IFERROR(INDEX(Mapping!$H$3:$H$32,MATCH($B3631,Mapping!$G$3:$G$32,0)),IF(LEFT($F3631,3)="P2P",IFERROR(INDEX(Mapping!$E$3:$E$6,MATCH($G3631,Mapping!$D$3:$D$6,0)),IFERROR(INDEX(Mapping!$B$3:$B$13,MATCH($J3631,Mapping!$A$3:$A$13,0)),"(unmapped)")),IFERROR(INDEX(Mapping!$B$17:$B$22,MATCH($F3631,Mapping!$A$17:$A$22,0)),$F3631)&amp;" "&amp;IF($G3631="Banking","Banking",IFERROR(INDEX(Mapping!$E$17:$E$28,MATCH($J3631,Mapping!$D$17:$D$28,0)),"(unmapped)")))))</f>
        <v/>
      </c>
    </row>
    <row r="3632" spans="11:11" x14ac:dyDescent="0.3">
      <c r="K3632" t="str">
        <f>IF($D3632="","",IFERROR(INDEX(Mapping!$H$3:$H$32,MATCH($B3632,Mapping!$G$3:$G$32,0)),IF(LEFT($F3632,3)="P2P",IFERROR(INDEX(Mapping!$E$3:$E$6,MATCH($G3632,Mapping!$D$3:$D$6,0)),IFERROR(INDEX(Mapping!$B$3:$B$13,MATCH($J3632,Mapping!$A$3:$A$13,0)),"(unmapped)")),IFERROR(INDEX(Mapping!$B$17:$B$22,MATCH($F3632,Mapping!$A$17:$A$22,0)),$F3632)&amp;" "&amp;IF($G3632="Banking","Banking",IFERROR(INDEX(Mapping!$E$17:$E$28,MATCH($J3632,Mapping!$D$17:$D$28,0)),"(unmapped)")))))</f>
        <v/>
      </c>
    </row>
    <row r="3633" spans="11:11" x14ac:dyDescent="0.3">
      <c r="K3633" t="str">
        <f>IF($D3633="","",IFERROR(INDEX(Mapping!$H$3:$H$32,MATCH($B3633,Mapping!$G$3:$G$32,0)),IF(LEFT($F3633,3)="P2P",IFERROR(INDEX(Mapping!$E$3:$E$6,MATCH($G3633,Mapping!$D$3:$D$6,0)),IFERROR(INDEX(Mapping!$B$3:$B$13,MATCH($J3633,Mapping!$A$3:$A$13,0)),"(unmapped)")),IFERROR(INDEX(Mapping!$B$17:$B$22,MATCH($F3633,Mapping!$A$17:$A$22,0)),$F3633)&amp;" "&amp;IF($G3633="Banking","Banking",IFERROR(INDEX(Mapping!$E$17:$E$28,MATCH($J3633,Mapping!$D$17:$D$28,0)),"(unmapped)")))))</f>
        <v/>
      </c>
    </row>
    <row r="3634" spans="11:11" x14ac:dyDescent="0.3">
      <c r="K3634" t="str">
        <f>IF($D3634="","",IFERROR(INDEX(Mapping!$H$3:$H$32,MATCH($B3634,Mapping!$G$3:$G$32,0)),IF(LEFT($F3634,3)="P2P",IFERROR(INDEX(Mapping!$E$3:$E$6,MATCH($G3634,Mapping!$D$3:$D$6,0)),IFERROR(INDEX(Mapping!$B$3:$B$13,MATCH($J3634,Mapping!$A$3:$A$13,0)),"(unmapped)")),IFERROR(INDEX(Mapping!$B$17:$B$22,MATCH($F3634,Mapping!$A$17:$A$22,0)),$F3634)&amp;" "&amp;IF($G3634="Banking","Banking",IFERROR(INDEX(Mapping!$E$17:$E$28,MATCH($J3634,Mapping!$D$17:$D$28,0)),"(unmapped)")))))</f>
        <v/>
      </c>
    </row>
    <row r="3635" spans="11:11" x14ac:dyDescent="0.3">
      <c r="K3635" t="str">
        <f>IF($D3635="","",IFERROR(INDEX(Mapping!$H$3:$H$32,MATCH($B3635,Mapping!$G$3:$G$32,0)),IF(LEFT($F3635,3)="P2P",IFERROR(INDEX(Mapping!$E$3:$E$6,MATCH($G3635,Mapping!$D$3:$D$6,0)),IFERROR(INDEX(Mapping!$B$3:$B$13,MATCH($J3635,Mapping!$A$3:$A$13,0)),"(unmapped)")),IFERROR(INDEX(Mapping!$B$17:$B$22,MATCH($F3635,Mapping!$A$17:$A$22,0)),$F3635)&amp;" "&amp;IF($G3635="Banking","Banking",IFERROR(INDEX(Mapping!$E$17:$E$28,MATCH($J3635,Mapping!$D$17:$D$28,0)),"(unmapped)")))))</f>
        <v/>
      </c>
    </row>
    <row r="3636" spans="11:11" x14ac:dyDescent="0.3">
      <c r="K3636" t="str">
        <f>IF($D3636="","",IFERROR(INDEX(Mapping!$H$3:$H$32,MATCH($B3636,Mapping!$G$3:$G$32,0)),IF(LEFT($F3636,3)="P2P",IFERROR(INDEX(Mapping!$E$3:$E$6,MATCH($G3636,Mapping!$D$3:$D$6,0)),IFERROR(INDEX(Mapping!$B$3:$B$13,MATCH($J3636,Mapping!$A$3:$A$13,0)),"(unmapped)")),IFERROR(INDEX(Mapping!$B$17:$B$22,MATCH($F3636,Mapping!$A$17:$A$22,0)),$F3636)&amp;" "&amp;IF($G3636="Banking","Banking",IFERROR(INDEX(Mapping!$E$17:$E$28,MATCH($J3636,Mapping!$D$17:$D$28,0)),"(unmapped)")))))</f>
        <v/>
      </c>
    </row>
    <row r="3637" spans="11:11" x14ac:dyDescent="0.3">
      <c r="K3637" t="str">
        <f>IF($D3637="","",IFERROR(INDEX(Mapping!$H$3:$H$32,MATCH($B3637,Mapping!$G$3:$G$32,0)),IF(LEFT($F3637,3)="P2P",IFERROR(INDEX(Mapping!$E$3:$E$6,MATCH($G3637,Mapping!$D$3:$D$6,0)),IFERROR(INDEX(Mapping!$B$3:$B$13,MATCH($J3637,Mapping!$A$3:$A$13,0)),"(unmapped)")),IFERROR(INDEX(Mapping!$B$17:$B$22,MATCH($F3637,Mapping!$A$17:$A$22,0)),$F3637)&amp;" "&amp;IF($G3637="Banking","Banking",IFERROR(INDEX(Mapping!$E$17:$E$28,MATCH($J3637,Mapping!$D$17:$D$28,0)),"(unmapped)")))))</f>
        <v/>
      </c>
    </row>
    <row r="3638" spans="11:11" x14ac:dyDescent="0.3">
      <c r="K3638" t="str">
        <f>IF($D3638="","",IFERROR(INDEX(Mapping!$H$3:$H$32,MATCH($B3638,Mapping!$G$3:$G$32,0)),IF(LEFT($F3638,3)="P2P",IFERROR(INDEX(Mapping!$E$3:$E$6,MATCH($G3638,Mapping!$D$3:$D$6,0)),IFERROR(INDEX(Mapping!$B$3:$B$13,MATCH($J3638,Mapping!$A$3:$A$13,0)),"(unmapped)")),IFERROR(INDEX(Mapping!$B$17:$B$22,MATCH($F3638,Mapping!$A$17:$A$22,0)),$F3638)&amp;" "&amp;IF($G3638="Banking","Banking",IFERROR(INDEX(Mapping!$E$17:$E$28,MATCH($J3638,Mapping!$D$17:$D$28,0)),"(unmapped)")))))</f>
        <v/>
      </c>
    </row>
    <row r="3639" spans="11:11" x14ac:dyDescent="0.3">
      <c r="K3639" t="str">
        <f>IF($D3639="","",IFERROR(INDEX(Mapping!$H$3:$H$32,MATCH($B3639,Mapping!$G$3:$G$32,0)),IF(LEFT($F3639,3)="P2P",IFERROR(INDEX(Mapping!$E$3:$E$6,MATCH($G3639,Mapping!$D$3:$D$6,0)),IFERROR(INDEX(Mapping!$B$3:$B$13,MATCH($J3639,Mapping!$A$3:$A$13,0)),"(unmapped)")),IFERROR(INDEX(Mapping!$B$17:$B$22,MATCH($F3639,Mapping!$A$17:$A$22,0)),$F3639)&amp;" "&amp;IF($G3639="Banking","Banking",IFERROR(INDEX(Mapping!$E$17:$E$28,MATCH($J3639,Mapping!$D$17:$D$28,0)),"(unmapped)")))))</f>
        <v/>
      </c>
    </row>
    <row r="3640" spans="11:11" x14ac:dyDescent="0.3">
      <c r="K3640" t="str">
        <f>IF($D3640="","",IFERROR(INDEX(Mapping!$H$3:$H$32,MATCH($B3640,Mapping!$G$3:$G$32,0)),IF(LEFT($F3640,3)="P2P",IFERROR(INDEX(Mapping!$E$3:$E$6,MATCH($G3640,Mapping!$D$3:$D$6,0)),IFERROR(INDEX(Mapping!$B$3:$B$13,MATCH($J3640,Mapping!$A$3:$A$13,0)),"(unmapped)")),IFERROR(INDEX(Mapping!$B$17:$B$22,MATCH($F3640,Mapping!$A$17:$A$22,0)),$F3640)&amp;" "&amp;IF($G3640="Banking","Banking",IFERROR(INDEX(Mapping!$E$17:$E$28,MATCH($J3640,Mapping!$D$17:$D$28,0)),"(unmapped)")))))</f>
        <v/>
      </c>
    </row>
    <row r="3641" spans="11:11" x14ac:dyDescent="0.3">
      <c r="K3641" t="str">
        <f>IF($D3641="","",IFERROR(INDEX(Mapping!$H$3:$H$32,MATCH($B3641,Mapping!$G$3:$G$32,0)),IF(LEFT($F3641,3)="P2P",IFERROR(INDEX(Mapping!$E$3:$E$6,MATCH($G3641,Mapping!$D$3:$D$6,0)),IFERROR(INDEX(Mapping!$B$3:$B$13,MATCH($J3641,Mapping!$A$3:$A$13,0)),"(unmapped)")),IFERROR(INDEX(Mapping!$B$17:$B$22,MATCH($F3641,Mapping!$A$17:$A$22,0)),$F3641)&amp;" "&amp;IF($G3641="Banking","Banking",IFERROR(INDEX(Mapping!$E$17:$E$28,MATCH($J3641,Mapping!$D$17:$D$28,0)),"(unmapped)")))))</f>
        <v/>
      </c>
    </row>
    <row r="3642" spans="11:11" x14ac:dyDescent="0.3">
      <c r="K3642" t="str">
        <f>IF($D3642="","",IFERROR(INDEX(Mapping!$H$3:$H$32,MATCH($B3642,Mapping!$G$3:$G$32,0)),IF(LEFT($F3642,3)="P2P",IFERROR(INDEX(Mapping!$E$3:$E$6,MATCH($G3642,Mapping!$D$3:$D$6,0)),IFERROR(INDEX(Mapping!$B$3:$B$13,MATCH($J3642,Mapping!$A$3:$A$13,0)),"(unmapped)")),IFERROR(INDEX(Mapping!$B$17:$B$22,MATCH($F3642,Mapping!$A$17:$A$22,0)),$F3642)&amp;" "&amp;IF($G3642="Banking","Banking",IFERROR(INDEX(Mapping!$E$17:$E$28,MATCH($J3642,Mapping!$D$17:$D$28,0)),"(unmapped)")))))</f>
        <v/>
      </c>
    </row>
    <row r="3643" spans="11:11" x14ac:dyDescent="0.3">
      <c r="K3643" t="str">
        <f>IF($D3643="","",IFERROR(INDEX(Mapping!$H$3:$H$32,MATCH($B3643,Mapping!$G$3:$G$32,0)),IF(LEFT($F3643,3)="P2P",IFERROR(INDEX(Mapping!$E$3:$E$6,MATCH($G3643,Mapping!$D$3:$D$6,0)),IFERROR(INDEX(Mapping!$B$3:$B$13,MATCH($J3643,Mapping!$A$3:$A$13,0)),"(unmapped)")),IFERROR(INDEX(Mapping!$B$17:$B$22,MATCH($F3643,Mapping!$A$17:$A$22,0)),$F3643)&amp;" "&amp;IF($G3643="Banking","Banking",IFERROR(INDEX(Mapping!$E$17:$E$28,MATCH($J3643,Mapping!$D$17:$D$28,0)),"(unmapped)")))))</f>
        <v/>
      </c>
    </row>
    <row r="3644" spans="11:11" x14ac:dyDescent="0.3">
      <c r="K3644" t="str">
        <f>IF($D3644="","",IFERROR(INDEX(Mapping!$H$3:$H$32,MATCH($B3644,Mapping!$G$3:$G$32,0)),IF(LEFT($F3644,3)="P2P",IFERROR(INDEX(Mapping!$E$3:$E$6,MATCH($G3644,Mapping!$D$3:$D$6,0)),IFERROR(INDEX(Mapping!$B$3:$B$13,MATCH($J3644,Mapping!$A$3:$A$13,0)),"(unmapped)")),IFERROR(INDEX(Mapping!$B$17:$B$22,MATCH($F3644,Mapping!$A$17:$A$22,0)),$F3644)&amp;" "&amp;IF($G3644="Banking","Banking",IFERROR(INDEX(Mapping!$E$17:$E$28,MATCH($J3644,Mapping!$D$17:$D$28,0)),"(unmapped)")))))</f>
        <v/>
      </c>
    </row>
    <row r="3645" spans="11:11" x14ac:dyDescent="0.3">
      <c r="K3645" t="str">
        <f>IF($D3645="","",IFERROR(INDEX(Mapping!$H$3:$H$32,MATCH($B3645,Mapping!$G$3:$G$32,0)),IF(LEFT($F3645,3)="P2P",IFERROR(INDEX(Mapping!$E$3:$E$6,MATCH($G3645,Mapping!$D$3:$D$6,0)),IFERROR(INDEX(Mapping!$B$3:$B$13,MATCH($J3645,Mapping!$A$3:$A$13,0)),"(unmapped)")),IFERROR(INDEX(Mapping!$B$17:$B$22,MATCH($F3645,Mapping!$A$17:$A$22,0)),$F3645)&amp;" "&amp;IF($G3645="Banking","Banking",IFERROR(INDEX(Mapping!$E$17:$E$28,MATCH($J3645,Mapping!$D$17:$D$28,0)),"(unmapped)")))))</f>
        <v/>
      </c>
    </row>
    <row r="3646" spans="11:11" x14ac:dyDescent="0.3">
      <c r="K3646" t="str">
        <f>IF($D3646="","",IFERROR(INDEX(Mapping!$H$3:$H$32,MATCH($B3646,Mapping!$G$3:$G$32,0)),IF(LEFT($F3646,3)="P2P",IFERROR(INDEX(Mapping!$E$3:$E$6,MATCH($G3646,Mapping!$D$3:$D$6,0)),IFERROR(INDEX(Mapping!$B$3:$B$13,MATCH($J3646,Mapping!$A$3:$A$13,0)),"(unmapped)")),IFERROR(INDEX(Mapping!$B$17:$B$22,MATCH($F3646,Mapping!$A$17:$A$22,0)),$F3646)&amp;" "&amp;IF($G3646="Banking","Banking",IFERROR(INDEX(Mapping!$E$17:$E$28,MATCH($J3646,Mapping!$D$17:$D$28,0)),"(unmapped)")))))</f>
        <v/>
      </c>
    </row>
    <row r="3647" spans="11:11" x14ac:dyDescent="0.3">
      <c r="K3647" t="str">
        <f>IF($D3647="","",IFERROR(INDEX(Mapping!$H$3:$H$32,MATCH($B3647,Mapping!$G$3:$G$32,0)),IF(LEFT($F3647,3)="P2P",IFERROR(INDEX(Mapping!$E$3:$E$6,MATCH($G3647,Mapping!$D$3:$D$6,0)),IFERROR(INDEX(Mapping!$B$3:$B$13,MATCH($J3647,Mapping!$A$3:$A$13,0)),"(unmapped)")),IFERROR(INDEX(Mapping!$B$17:$B$22,MATCH($F3647,Mapping!$A$17:$A$22,0)),$F3647)&amp;" "&amp;IF($G3647="Banking","Banking",IFERROR(INDEX(Mapping!$E$17:$E$28,MATCH($J3647,Mapping!$D$17:$D$28,0)),"(unmapped)")))))</f>
        <v/>
      </c>
    </row>
    <row r="3648" spans="11:11" x14ac:dyDescent="0.3">
      <c r="K3648" t="str">
        <f>IF($D3648="","",IFERROR(INDEX(Mapping!$H$3:$H$32,MATCH($B3648,Mapping!$G$3:$G$32,0)),IF(LEFT($F3648,3)="P2P",IFERROR(INDEX(Mapping!$E$3:$E$6,MATCH($G3648,Mapping!$D$3:$D$6,0)),IFERROR(INDEX(Mapping!$B$3:$B$13,MATCH($J3648,Mapping!$A$3:$A$13,0)),"(unmapped)")),IFERROR(INDEX(Mapping!$B$17:$B$22,MATCH($F3648,Mapping!$A$17:$A$22,0)),$F3648)&amp;" "&amp;IF($G3648="Banking","Banking",IFERROR(INDEX(Mapping!$E$17:$E$28,MATCH($J3648,Mapping!$D$17:$D$28,0)),"(unmapped)")))))</f>
        <v/>
      </c>
    </row>
    <row r="3649" spans="11:11" x14ac:dyDescent="0.3">
      <c r="K3649" t="str">
        <f>IF($D3649="","",IFERROR(INDEX(Mapping!$H$3:$H$32,MATCH($B3649,Mapping!$G$3:$G$32,0)),IF(LEFT($F3649,3)="P2P",IFERROR(INDEX(Mapping!$E$3:$E$6,MATCH($G3649,Mapping!$D$3:$D$6,0)),IFERROR(INDEX(Mapping!$B$3:$B$13,MATCH($J3649,Mapping!$A$3:$A$13,0)),"(unmapped)")),IFERROR(INDEX(Mapping!$B$17:$B$22,MATCH($F3649,Mapping!$A$17:$A$22,0)),$F3649)&amp;" "&amp;IF($G3649="Banking","Banking",IFERROR(INDEX(Mapping!$E$17:$E$28,MATCH($J3649,Mapping!$D$17:$D$28,0)),"(unmapped)")))))</f>
        <v/>
      </c>
    </row>
    <row r="3650" spans="11:11" x14ac:dyDescent="0.3">
      <c r="K3650" t="str">
        <f>IF($D3650="","",IFERROR(INDEX(Mapping!$H$3:$H$32,MATCH($B3650,Mapping!$G$3:$G$32,0)),IF(LEFT($F3650,3)="P2P",IFERROR(INDEX(Mapping!$E$3:$E$6,MATCH($G3650,Mapping!$D$3:$D$6,0)),IFERROR(INDEX(Mapping!$B$3:$B$13,MATCH($J3650,Mapping!$A$3:$A$13,0)),"(unmapped)")),IFERROR(INDEX(Mapping!$B$17:$B$22,MATCH($F3650,Mapping!$A$17:$A$22,0)),$F3650)&amp;" "&amp;IF($G3650="Banking","Banking",IFERROR(INDEX(Mapping!$E$17:$E$28,MATCH($J3650,Mapping!$D$17:$D$28,0)),"(unmapped)")))))</f>
        <v/>
      </c>
    </row>
    <row r="3651" spans="11:11" x14ac:dyDescent="0.3">
      <c r="K3651" t="str">
        <f>IF($D3651="","",IFERROR(INDEX(Mapping!$H$3:$H$32,MATCH($B3651,Mapping!$G$3:$G$32,0)),IF(LEFT($F3651,3)="P2P",IFERROR(INDEX(Mapping!$E$3:$E$6,MATCH($G3651,Mapping!$D$3:$D$6,0)),IFERROR(INDEX(Mapping!$B$3:$B$13,MATCH($J3651,Mapping!$A$3:$A$13,0)),"(unmapped)")),IFERROR(INDEX(Mapping!$B$17:$B$22,MATCH($F3651,Mapping!$A$17:$A$22,0)),$F3651)&amp;" "&amp;IF($G3651="Banking","Banking",IFERROR(INDEX(Mapping!$E$17:$E$28,MATCH($J3651,Mapping!$D$17:$D$28,0)),"(unmapped)")))))</f>
        <v/>
      </c>
    </row>
    <row r="3652" spans="11:11" x14ac:dyDescent="0.3">
      <c r="K3652" t="str">
        <f>IF($D3652="","",IFERROR(INDEX(Mapping!$H$3:$H$32,MATCH($B3652,Mapping!$G$3:$G$32,0)),IF(LEFT($F3652,3)="P2P",IFERROR(INDEX(Mapping!$E$3:$E$6,MATCH($G3652,Mapping!$D$3:$D$6,0)),IFERROR(INDEX(Mapping!$B$3:$B$13,MATCH($J3652,Mapping!$A$3:$A$13,0)),"(unmapped)")),IFERROR(INDEX(Mapping!$B$17:$B$22,MATCH($F3652,Mapping!$A$17:$A$22,0)),$F3652)&amp;" "&amp;IF($G3652="Banking","Banking",IFERROR(INDEX(Mapping!$E$17:$E$28,MATCH($J3652,Mapping!$D$17:$D$28,0)),"(unmapped)")))))</f>
        <v/>
      </c>
    </row>
    <row r="3653" spans="11:11" x14ac:dyDescent="0.3">
      <c r="K3653" t="str">
        <f>IF($D3653="","",IFERROR(INDEX(Mapping!$H$3:$H$32,MATCH($B3653,Mapping!$G$3:$G$32,0)),IF(LEFT($F3653,3)="P2P",IFERROR(INDEX(Mapping!$E$3:$E$6,MATCH($G3653,Mapping!$D$3:$D$6,0)),IFERROR(INDEX(Mapping!$B$3:$B$13,MATCH($J3653,Mapping!$A$3:$A$13,0)),"(unmapped)")),IFERROR(INDEX(Mapping!$B$17:$B$22,MATCH($F3653,Mapping!$A$17:$A$22,0)),$F3653)&amp;" "&amp;IF($G3653="Banking","Banking",IFERROR(INDEX(Mapping!$E$17:$E$28,MATCH($J3653,Mapping!$D$17:$D$28,0)),"(unmapped)")))))</f>
        <v/>
      </c>
    </row>
    <row r="3654" spans="11:11" x14ac:dyDescent="0.3">
      <c r="K3654" t="str">
        <f>IF($D3654="","",IFERROR(INDEX(Mapping!$H$3:$H$32,MATCH($B3654,Mapping!$G$3:$G$32,0)),IF(LEFT($F3654,3)="P2P",IFERROR(INDEX(Mapping!$E$3:$E$6,MATCH($G3654,Mapping!$D$3:$D$6,0)),IFERROR(INDEX(Mapping!$B$3:$B$13,MATCH($J3654,Mapping!$A$3:$A$13,0)),"(unmapped)")),IFERROR(INDEX(Mapping!$B$17:$B$22,MATCH($F3654,Mapping!$A$17:$A$22,0)),$F3654)&amp;" "&amp;IF($G3654="Banking","Banking",IFERROR(INDEX(Mapping!$E$17:$E$28,MATCH($J3654,Mapping!$D$17:$D$28,0)),"(unmapped)")))))</f>
        <v/>
      </c>
    </row>
    <row r="3655" spans="11:11" x14ac:dyDescent="0.3">
      <c r="K3655" t="str">
        <f>IF($D3655="","",IFERROR(INDEX(Mapping!$H$3:$H$32,MATCH($B3655,Mapping!$G$3:$G$32,0)),IF(LEFT($F3655,3)="P2P",IFERROR(INDEX(Mapping!$E$3:$E$6,MATCH($G3655,Mapping!$D$3:$D$6,0)),IFERROR(INDEX(Mapping!$B$3:$B$13,MATCH($J3655,Mapping!$A$3:$A$13,0)),"(unmapped)")),IFERROR(INDEX(Mapping!$B$17:$B$22,MATCH($F3655,Mapping!$A$17:$A$22,0)),$F3655)&amp;" "&amp;IF($G3655="Banking","Banking",IFERROR(INDEX(Mapping!$E$17:$E$28,MATCH($J3655,Mapping!$D$17:$D$28,0)),"(unmapped)")))))</f>
        <v/>
      </c>
    </row>
    <row r="3656" spans="11:11" x14ac:dyDescent="0.3">
      <c r="K3656" t="str">
        <f>IF($D3656="","",IFERROR(INDEX(Mapping!$H$3:$H$32,MATCH($B3656,Mapping!$G$3:$G$32,0)),IF(LEFT($F3656,3)="P2P",IFERROR(INDEX(Mapping!$E$3:$E$6,MATCH($G3656,Mapping!$D$3:$D$6,0)),IFERROR(INDEX(Mapping!$B$3:$B$13,MATCH($J3656,Mapping!$A$3:$A$13,0)),"(unmapped)")),IFERROR(INDEX(Mapping!$B$17:$B$22,MATCH($F3656,Mapping!$A$17:$A$22,0)),$F3656)&amp;" "&amp;IF($G3656="Banking","Banking",IFERROR(INDEX(Mapping!$E$17:$E$28,MATCH($J3656,Mapping!$D$17:$D$28,0)),"(unmapped)")))))</f>
        <v/>
      </c>
    </row>
    <row r="3657" spans="11:11" x14ac:dyDescent="0.3">
      <c r="K3657" t="str">
        <f>IF($D3657="","",IFERROR(INDEX(Mapping!$H$3:$H$32,MATCH($B3657,Mapping!$G$3:$G$32,0)),IF(LEFT($F3657,3)="P2P",IFERROR(INDEX(Mapping!$E$3:$E$6,MATCH($G3657,Mapping!$D$3:$D$6,0)),IFERROR(INDEX(Mapping!$B$3:$B$13,MATCH($J3657,Mapping!$A$3:$A$13,0)),"(unmapped)")),IFERROR(INDEX(Mapping!$B$17:$B$22,MATCH($F3657,Mapping!$A$17:$A$22,0)),$F3657)&amp;" "&amp;IF($G3657="Banking","Banking",IFERROR(INDEX(Mapping!$E$17:$E$28,MATCH($J3657,Mapping!$D$17:$D$28,0)),"(unmapped)")))))</f>
        <v/>
      </c>
    </row>
    <row r="3658" spans="11:11" x14ac:dyDescent="0.3">
      <c r="K3658" t="str">
        <f>IF($D3658="","",IFERROR(INDEX(Mapping!$H$3:$H$32,MATCH($B3658,Mapping!$G$3:$G$32,0)),IF(LEFT($F3658,3)="P2P",IFERROR(INDEX(Mapping!$E$3:$E$6,MATCH($G3658,Mapping!$D$3:$D$6,0)),IFERROR(INDEX(Mapping!$B$3:$B$13,MATCH($J3658,Mapping!$A$3:$A$13,0)),"(unmapped)")),IFERROR(INDEX(Mapping!$B$17:$B$22,MATCH($F3658,Mapping!$A$17:$A$22,0)),$F3658)&amp;" "&amp;IF($G3658="Banking","Banking",IFERROR(INDEX(Mapping!$E$17:$E$28,MATCH($J3658,Mapping!$D$17:$D$28,0)),"(unmapped)")))))</f>
        <v/>
      </c>
    </row>
    <row r="3659" spans="11:11" x14ac:dyDescent="0.3">
      <c r="K3659" t="str">
        <f>IF($D3659="","",IFERROR(INDEX(Mapping!$H$3:$H$32,MATCH($B3659,Mapping!$G$3:$G$32,0)),IF(LEFT($F3659,3)="P2P",IFERROR(INDEX(Mapping!$E$3:$E$6,MATCH($G3659,Mapping!$D$3:$D$6,0)),IFERROR(INDEX(Mapping!$B$3:$B$13,MATCH($J3659,Mapping!$A$3:$A$13,0)),"(unmapped)")),IFERROR(INDEX(Mapping!$B$17:$B$22,MATCH($F3659,Mapping!$A$17:$A$22,0)),$F3659)&amp;" "&amp;IF($G3659="Banking","Banking",IFERROR(INDEX(Mapping!$E$17:$E$28,MATCH($J3659,Mapping!$D$17:$D$28,0)),"(unmapped)")))))</f>
        <v/>
      </c>
    </row>
    <row r="3660" spans="11:11" x14ac:dyDescent="0.3">
      <c r="K3660" t="str">
        <f>IF($D3660="","",IFERROR(INDEX(Mapping!$H$3:$H$32,MATCH($B3660,Mapping!$G$3:$G$32,0)),IF(LEFT($F3660,3)="P2P",IFERROR(INDEX(Mapping!$E$3:$E$6,MATCH($G3660,Mapping!$D$3:$D$6,0)),IFERROR(INDEX(Mapping!$B$3:$B$13,MATCH($J3660,Mapping!$A$3:$A$13,0)),"(unmapped)")),IFERROR(INDEX(Mapping!$B$17:$B$22,MATCH($F3660,Mapping!$A$17:$A$22,0)),$F3660)&amp;" "&amp;IF($G3660="Banking","Banking",IFERROR(INDEX(Mapping!$E$17:$E$28,MATCH($J3660,Mapping!$D$17:$D$28,0)),"(unmapped)")))))</f>
        <v/>
      </c>
    </row>
    <row r="3661" spans="11:11" x14ac:dyDescent="0.3">
      <c r="K3661" t="str">
        <f>IF($D3661="","",IFERROR(INDEX(Mapping!$H$3:$H$32,MATCH($B3661,Mapping!$G$3:$G$32,0)),IF(LEFT($F3661,3)="P2P",IFERROR(INDEX(Mapping!$E$3:$E$6,MATCH($G3661,Mapping!$D$3:$D$6,0)),IFERROR(INDEX(Mapping!$B$3:$B$13,MATCH($J3661,Mapping!$A$3:$A$13,0)),"(unmapped)")),IFERROR(INDEX(Mapping!$B$17:$B$22,MATCH($F3661,Mapping!$A$17:$A$22,0)),$F3661)&amp;" "&amp;IF($G3661="Banking","Banking",IFERROR(INDEX(Mapping!$E$17:$E$28,MATCH($J3661,Mapping!$D$17:$D$28,0)),"(unmapped)")))))</f>
        <v/>
      </c>
    </row>
    <row r="3662" spans="11:11" x14ac:dyDescent="0.3">
      <c r="K3662" t="str">
        <f>IF($D3662="","",IFERROR(INDEX(Mapping!$H$3:$H$32,MATCH($B3662,Mapping!$G$3:$G$32,0)),IF(LEFT($F3662,3)="P2P",IFERROR(INDEX(Mapping!$E$3:$E$6,MATCH($G3662,Mapping!$D$3:$D$6,0)),IFERROR(INDEX(Mapping!$B$3:$B$13,MATCH($J3662,Mapping!$A$3:$A$13,0)),"(unmapped)")),IFERROR(INDEX(Mapping!$B$17:$B$22,MATCH($F3662,Mapping!$A$17:$A$22,0)),$F3662)&amp;" "&amp;IF($G3662="Banking","Banking",IFERROR(INDEX(Mapping!$E$17:$E$28,MATCH($J3662,Mapping!$D$17:$D$28,0)),"(unmapped)")))))</f>
        <v/>
      </c>
    </row>
    <row r="3663" spans="11:11" x14ac:dyDescent="0.3">
      <c r="K3663" t="str">
        <f>IF($D3663="","",IFERROR(INDEX(Mapping!$H$3:$H$32,MATCH($B3663,Mapping!$G$3:$G$32,0)),IF(LEFT($F3663,3)="P2P",IFERROR(INDEX(Mapping!$E$3:$E$6,MATCH($G3663,Mapping!$D$3:$D$6,0)),IFERROR(INDEX(Mapping!$B$3:$B$13,MATCH($J3663,Mapping!$A$3:$A$13,0)),"(unmapped)")),IFERROR(INDEX(Mapping!$B$17:$B$22,MATCH($F3663,Mapping!$A$17:$A$22,0)),$F3663)&amp;" "&amp;IF($G3663="Banking","Banking",IFERROR(INDEX(Mapping!$E$17:$E$28,MATCH($J3663,Mapping!$D$17:$D$28,0)),"(unmapped)")))))</f>
        <v/>
      </c>
    </row>
    <row r="3664" spans="11:11" x14ac:dyDescent="0.3">
      <c r="K3664" t="str">
        <f>IF($D3664="","",IFERROR(INDEX(Mapping!$H$3:$H$32,MATCH($B3664,Mapping!$G$3:$G$32,0)),IF(LEFT($F3664,3)="P2P",IFERROR(INDEX(Mapping!$E$3:$E$6,MATCH($G3664,Mapping!$D$3:$D$6,0)),IFERROR(INDEX(Mapping!$B$3:$B$13,MATCH($J3664,Mapping!$A$3:$A$13,0)),"(unmapped)")),IFERROR(INDEX(Mapping!$B$17:$B$22,MATCH($F3664,Mapping!$A$17:$A$22,0)),$F3664)&amp;" "&amp;IF($G3664="Banking","Banking",IFERROR(INDEX(Mapping!$E$17:$E$28,MATCH($J3664,Mapping!$D$17:$D$28,0)),"(unmapped)")))))</f>
        <v/>
      </c>
    </row>
    <row r="3665" spans="11:11" x14ac:dyDescent="0.3">
      <c r="K3665" t="str">
        <f>IF($D3665="","",IFERROR(INDEX(Mapping!$H$3:$H$32,MATCH($B3665,Mapping!$G$3:$G$32,0)),IF(LEFT($F3665,3)="P2P",IFERROR(INDEX(Mapping!$E$3:$E$6,MATCH($G3665,Mapping!$D$3:$D$6,0)),IFERROR(INDEX(Mapping!$B$3:$B$13,MATCH($J3665,Mapping!$A$3:$A$13,0)),"(unmapped)")),IFERROR(INDEX(Mapping!$B$17:$B$22,MATCH($F3665,Mapping!$A$17:$A$22,0)),$F3665)&amp;" "&amp;IF($G3665="Banking","Banking",IFERROR(INDEX(Mapping!$E$17:$E$28,MATCH($J3665,Mapping!$D$17:$D$28,0)),"(unmapped)")))))</f>
        <v/>
      </c>
    </row>
    <row r="3666" spans="11:11" x14ac:dyDescent="0.3">
      <c r="K3666" t="str">
        <f>IF($D3666="","",IFERROR(INDEX(Mapping!$H$3:$H$32,MATCH($B3666,Mapping!$G$3:$G$32,0)),IF(LEFT($F3666,3)="P2P",IFERROR(INDEX(Mapping!$E$3:$E$6,MATCH($G3666,Mapping!$D$3:$D$6,0)),IFERROR(INDEX(Mapping!$B$3:$B$13,MATCH($J3666,Mapping!$A$3:$A$13,0)),"(unmapped)")),IFERROR(INDEX(Mapping!$B$17:$B$22,MATCH($F3666,Mapping!$A$17:$A$22,0)),$F3666)&amp;" "&amp;IF($G3666="Banking","Banking",IFERROR(INDEX(Mapping!$E$17:$E$28,MATCH($J3666,Mapping!$D$17:$D$28,0)),"(unmapped)")))))</f>
        <v/>
      </c>
    </row>
    <row r="3667" spans="11:11" x14ac:dyDescent="0.3">
      <c r="K3667" t="str">
        <f>IF($D3667="","",IFERROR(INDEX(Mapping!$H$3:$H$32,MATCH($B3667,Mapping!$G$3:$G$32,0)),IF(LEFT($F3667,3)="P2P",IFERROR(INDEX(Mapping!$E$3:$E$6,MATCH($G3667,Mapping!$D$3:$D$6,0)),IFERROR(INDEX(Mapping!$B$3:$B$13,MATCH($J3667,Mapping!$A$3:$A$13,0)),"(unmapped)")),IFERROR(INDEX(Mapping!$B$17:$B$22,MATCH($F3667,Mapping!$A$17:$A$22,0)),$F3667)&amp;" "&amp;IF($G3667="Banking","Banking",IFERROR(INDEX(Mapping!$E$17:$E$28,MATCH($J3667,Mapping!$D$17:$D$28,0)),"(unmapped)")))))</f>
        <v/>
      </c>
    </row>
    <row r="3668" spans="11:11" x14ac:dyDescent="0.3">
      <c r="K3668" t="str">
        <f>IF($D3668="","",IFERROR(INDEX(Mapping!$H$3:$H$32,MATCH($B3668,Mapping!$G$3:$G$32,0)),IF(LEFT($F3668,3)="P2P",IFERROR(INDEX(Mapping!$E$3:$E$6,MATCH($G3668,Mapping!$D$3:$D$6,0)),IFERROR(INDEX(Mapping!$B$3:$B$13,MATCH($J3668,Mapping!$A$3:$A$13,0)),"(unmapped)")),IFERROR(INDEX(Mapping!$B$17:$B$22,MATCH($F3668,Mapping!$A$17:$A$22,0)),$F3668)&amp;" "&amp;IF($G3668="Banking","Banking",IFERROR(INDEX(Mapping!$E$17:$E$28,MATCH($J3668,Mapping!$D$17:$D$28,0)),"(unmapped)")))))</f>
        <v/>
      </c>
    </row>
    <row r="3669" spans="11:11" x14ac:dyDescent="0.3">
      <c r="K3669" t="str">
        <f>IF($D3669="","",IFERROR(INDEX(Mapping!$H$3:$H$32,MATCH($B3669,Mapping!$G$3:$G$32,0)),IF(LEFT($F3669,3)="P2P",IFERROR(INDEX(Mapping!$E$3:$E$6,MATCH($G3669,Mapping!$D$3:$D$6,0)),IFERROR(INDEX(Mapping!$B$3:$B$13,MATCH($J3669,Mapping!$A$3:$A$13,0)),"(unmapped)")),IFERROR(INDEX(Mapping!$B$17:$B$22,MATCH($F3669,Mapping!$A$17:$A$22,0)),$F3669)&amp;" "&amp;IF($G3669="Banking","Banking",IFERROR(INDEX(Mapping!$E$17:$E$28,MATCH($J3669,Mapping!$D$17:$D$28,0)),"(unmapped)")))))</f>
        <v/>
      </c>
    </row>
    <row r="3670" spans="11:11" x14ac:dyDescent="0.3">
      <c r="K3670" t="str">
        <f>IF($D3670="","",IFERROR(INDEX(Mapping!$H$3:$H$32,MATCH($B3670,Mapping!$G$3:$G$32,0)),IF(LEFT($F3670,3)="P2P",IFERROR(INDEX(Mapping!$E$3:$E$6,MATCH($G3670,Mapping!$D$3:$D$6,0)),IFERROR(INDEX(Mapping!$B$3:$B$13,MATCH($J3670,Mapping!$A$3:$A$13,0)),"(unmapped)")),IFERROR(INDEX(Mapping!$B$17:$B$22,MATCH($F3670,Mapping!$A$17:$A$22,0)),$F3670)&amp;" "&amp;IF($G3670="Banking","Banking",IFERROR(INDEX(Mapping!$E$17:$E$28,MATCH($J3670,Mapping!$D$17:$D$28,0)),"(unmapped)")))))</f>
        <v/>
      </c>
    </row>
    <row r="3671" spans="11:11" x14ac:dyDescent="0.3">
      <c r="K3671" t="str">
        <f>IF($D3671="","",IFERROR(INDEX(Mapping!$H$3:$H$32,MATCH($B3671,Mapping!$G$3:$G$32,0)),IF(LEFT($F3671,3)="P2P",IFERROR(INDEX(Mapping!$E$3:$E$6,MATCH($G3671,Mapping!$D$3:$D$6,0)),IFERROR(INDEX(Mapping!$B$3:$B$13,MATCH($J3671,Mapping!$A$3:$A$13,0)),"(unmapped)")),IFERROR(INDEX(Mapping!$B$17:$B$22,MATCH($F3671,Mapping!$A$17:$A$22,0)),$F3671)&amp;" "&amp;IF($G3671="Banking","Banking",IFERROR(INDEX(Mapping!$E$17:$E$28,MATCH($J3671,Mapping!$D$17:$D$28,0)),"(unmapped)")))))</f>
        <v/>
      </c>
    </row>
    <row r="3672" spans="11:11" x14ac:dyDescent="0.3">
      <c r="K3672" t="str">
        <f>IF($D3672="","",IFERROR(INDEX(Mapping!$H$3:$H$32,MATCH($B3672,Mapping!$G$3:$G$32,0)),IF(LEFT($F3672,3)="P2P",IFERROR(INDEX(Mapping!$E$3:$E$6,MATCH($G3672,Mapping!$D$3:$D$6,0)),IFERROR(INDEX(Mapping!$B$3:$B$13,MATCH($J3672,Mapping!$A$3:$A$13,0)),"(unmapped)")),IFERROR(INDEX(Mapping!$B$17:$B$22,MATCH($F3672,Mapping!$A$17:$A$22,0)),$F3672)&amp;" "&amp;IF($G3672="Banking","Banking",IFERROR(INDEX(Mapping!$E$17:$E$28,MATCH($J3672,Mapping!$D$17:$D$28,0)),"(unmapped)")))))</f>
        <v/>
      </c>
    </row>
    <row r="3673" spans="11:11" x14ac:dyDescent="0.3">
      <c r="K3673" t="str">
        <f>IF($D3673="","",IFERROR(INDEX(Mapping!$H$3:$H$32,MATCH($B3673,Mapping!$G$3:$G$32,0)),IF(LEFT($F3673,3)="P2P",IFERROR(INDEX(Mapping!$E$3:$E$6,MATCH($G3673,Mapping!$D$3:$D$6,0)),IFERROR(INDEX(Mapping!$B$3:$B$13,MATCH($J3673,Mapping!$A$3:$A$13,0)),"(unmapped)")),IFERROR(INDEX(Mapping!$B$17:$B$22,MATCH($F3673,Mapping!$A$17:$A$22,0)),$F3673)&amp;" "&amp;IF($G3673="Banking","Banking",IFERROR(INDEX(Mapping!$E$17:$E$28,MATCH($J3673,Mapping!$D$17:$D$28,0)),"(unmapped)")))))</f>
        <v/>
      </c>
    </row>
    <row r="3674" spans="11:11" x14ac:dyDescent="0.3">
      <c r="K3674" t="str">
        <f>IF($D3674="","",IFERROR(INDEX(Mapping!$H$3:$H$32,MATCH($B3674,Mapping!$G$3:$G$32,0)),IF(LEFT($F3674,3)="P2P",IFERROR(INDEX(Mapping!$E$3:$E$6,MATCH($G3674,Mapping!$D$3:$D$6,0)),IFERROR(INDEX(Mapping!$B$3:$B$13,MATCH($J3674,Mapping!$A$3:$A$13,0)),"(unmapped)")),IFERROR(INDEX(Mapping!$B$17:$B$22,MATCH($F3674,Mapping!$A$17:$A$22,0)),$F3674)&amp;" "&amp;IF($G3674="Banking","Banking",IFERROR(INDEX(Mapping!$E$17:$E$28,MATCH($J3674,Mapping!$D$17:$D$28,0)),"(unmapped)")))))</f>
        <v/>
      </c>
    </row>
    <row r="3675" spans="11:11" x14ac:dyDescent="0.3">
      <c r="K3675" t="str">
        <f>IF($D3675="","",IFERROR(INDEX(Mapping!$H$3:$H$32,MATCH($B3675,Mapping!$G$3:$G$32,0)),IF(LEFT($F3675,3)="P2P",IFERROR(INDEX(Mapping!$E$3:$E$6,MATCH($G3675,Mapping!$D$3:$D$6,0)),IFERROR(INDEX(Mapping!$B$3:$B$13,MATCH($J3675,Mapping!$A$3:$A$13,0)),"(unmapped)")),IFERROR(INDEX(Mapping!$B$17:$B$22,MATCH($F3675,Mapping!$A$17:$A$22,0)),$F3675)&amp;" "&amp;IF($G3675="Banking","Banking",IFERROR(INDEX(Mapping!$E$17:$E$28,MATCH($J3675,Mapping!$D$17:$D$28,0)),"(unmapped)")))))</f>
        <v/>
      </c>
    </row>
    <row r="3676" spans="11:11" x14ac:dyDescent="0.3">
      <c r="K3676" t="str">
        <f>IF($D3676="","",IFERROR(INDEX(Mapping!$H$3:$H$32,MATCH($B3676,Mapping!$G$3:$G$32,0)),IF(LEFT($F3676,3)="P2P",IFERROR(INDEX(Mapping!$E$3:$E$6,MATCH($G3676,Mapping!$D$3:$D$6,0)),IFERROR(INDEX(Mapping!$B$3:$B$13,MATCH($J3676,Mapping!$A$3:$A$13,0)),"(unmapped)")),IFERROR(INDEX(Mapping!$B$17:$B$22,MATCH($F3676,Mapping!$A$17:$A$22,0)),$F3676)&amp;" "&amp;IF($G3676="Banking","Banking",IFERROR(INDEX(Mapping!$E$17:$E$28,MATCH($J3676,Mapping!$D$17:$D$28,0)),"(unmapped)")))))</f>
        <v/>
      </c>
    </row>
    <row r="3677" spans="11:11" x14ac:dyDescent="0.3">
      <c r="K3677" t="str">
        <f>IF($D3677="","",IFERROR(INDEX(Mapping!$H$3:$H$32,MATCH($B3677,Mapping!$G$3:$G$32,0)),IF(LEFT($F3677,3)="P2P",IFERROR(INDEX(Mapping!$E$3:$E$6,MATCH($G3677,Mapping!$D$3:$D$6,0)),IFERROR(INDEX(Mapping!$B$3:$B$13,MATCH($J3677,Mapping!$A$3:$A$13,0)),"(unmapped)")),IFERROR(INDEX(Mapping!$B$17:$B$22,MATCH($F3677,Mapping!$A$17:$A$22,0)),$F3677)&amp;" "&amp;IF($G3677="Banking","Banking",IFERROR(INDEX(Mapping!$E$17:$E$28,MATCH($J3677,Mapping!$D$17:$D$28,0)),"(unmapped)")))))</f>
        <v/>
      </c>
    </row>
    <row r="3678" spans="11:11" x14ac:dyDescent="0.3">
      <c r="K3678" t="str">
        <f>IF($D3678="","",IFERROR(INDEX(Mapping!$H$3:$H$32,MATCH($B3678,Mapping!$G$3:$G$32,0)),IF(LEFT($F3678,3)="P2P",IFERROR(INDEX(Mapping!$E$3:$E$6,MATCH($G3678,Mapping!$D$3:$D$6,0)),IFERROR(INDEX(Mapping!$B$3:$B$13,MATCH($J3678,Mapping!$A$3:$A$13,0)),"(unmapped)")),IFERROR(INDEX(Mapping!$B$17:$B$22,MATCH($F3678,Mapping!$A$17:$A$22,0)),$F3678)&amp;" "&amp;IF($G3678="Banking","Banking",IFERROR(INDEX(Mapping!$E$17:$E$28,MATCH($J3678,Mapping!$D$17:$D$28,0)),"(unmapped)")))))</f>
        <v/>
      </c>
    </row>
    <row r="3679" spans="11:11" x14ac:dyDescent="0.3">
      <c r="K3679" t="str">
        <f>IF($D3679="","",IFERROR(INDEX(Mapping!$H$3:$H$32,MATCH($B3679,Mapping!$G$3:$G$32,0)),IF(LEFT($F3679,3)="P2P",IFERROR(INDEX(Mapping!$E$3:$E$6,MATCH($G3679,Mapping!$D$3:$D$6,0)),IFERROR(INDEX(Mapping!$B$3:$B$13,MATCH($J3679,Mapping!$A$3:$A$13,0)),"(unmapped)")),IFERROR(INDEX(Mapping!$B$17:$B$22,MATCH($F3679,Mapping!$A$17:$A$22,0)),$F3679)&amp;" "&amp;IF($G3679="Banking","Banking",IFERROR(INDEX(Mapping!$E$17:$E$28,MATCH($J3679,Mapping!$D$17:$D$28,0)),"(unmapped)")))))</f>
        <v/>
      </c>
    </row>
    <row r="3680" spans="11:11" x14ac:dyDescent="0.3">
      <c r="K3680" t="str">
        <f>IF($D3680="","",IFERROR(INDEX(Mapping!$H$3:$H$32,MATCH($B3680,Mapping!$G$3:$G$32,0)),IF(LEFT($F3680,3)="P2P",IFERROR(INDEX(Mapping!$E$3:$E$6,MATCH($G3680,Mapping!$D$3:$D$6,0)),IFERROR(INDEX(Mapping!$B$3:$B$13,MATCH($J3680,Mapping!$A$3:$A$13,0)),"(unmapped)")),IFERROR(INDEX(Mapping!$B$17:$B$22,MATCH($F3680,Mapping!$A$17:$A$22,0)),$F3680)&amp;" "&amp;IF($G3680="Banking","Banking",IFERROR(INDEX(Mapping!$E$17:$E$28,MATCH($J3680,Mapping!$D$17:$D$28,0)),"(unmapped)")))))</f>
        <v/>
      </c>
    </row>
    <row r="3681" spans="11:11" x14ac:dyDescent="0.3">
      <c r="K3681" t="str">
        <f>IF($D3681="","",IFERROR(INDEX(Mapping!$H$3:$H$32,MATCH($B3681,Mapping!$G$3:$G$32,0)),IF(LEFT($F3681,3)="P2P",IFERROR(INDEX(Mapping!$E$3:$E$6,MATCH($G3681,Mapping!$D$3:$D$6,0)),IFERROR(INDEX(Mapping!$B$3:$B$13,MATCH($J3681,Mapping!$A$3:$A$13,0)),"(unmapped)")),IFERROR(INDEX(Mapping!$B$17:$B$22,MATCH($F3681,Mapping!$A$17:$A$22,0)),$F3681)&amp;" "&amp;IF($G3681="Banking","Banking",IFERROR(INDEX(Mapping!$E$17:$E$28,MATCH($J3681,Mapping!$D$17:$D$28,0)),"(unmapped)")))))</f>
        <v/>
      </c>
    </row>
    <row r="3682" spans="11:11" x14ac:dyDescent="0.3">
      <c r="K3682" t="str">
        <f>IF($D3682="","",IFERROR(INDEX(Mapping!$H$3:$H$32,MATCH($B3682,Mapping!$G$3:$G$32,0)),IF(LEFT($F3682,3)="P2P",IFERROR(INDEX(Mapping!$E$3:$E$6,MATCH($G3682,Mapping!$D$3:$D$6,0)),IFERROR(INDEX(Mapping!$B$3:$B$13,MATCH($J3682,Mapping!$A$3:$A$13,0)),"(unmapped)")),IFERROR(INDEX(Mapping!$B$17:$B$22,MATCH($F3682,Mapping!$A$17:$A$22,0)),$F3682)&amp;" "&amp;IF($G3682="Banking","Banking",IFERROR(INDEX(Mapping!$E$17:$E$28,MATCH($J3682,Mapping!$D$17:$D$28,0)),"(unmapped)")))))</f>
        <v/>
      </c>
    </row>
    <row r="3683" spans="11:11" x14ac:dyDescent="0.3">
      <c r="K3683" t="str">
        <f>IF($D3683="","",IFERROR(INDEX(Mapping!$H$3:$H$32,MATCH($B3683,Mapping!$G$3:$G$32,0)),IF(LEFT($F3683,3)="P2P",IFERROR(INDEX(Mapping!$E$3:$E$6,MATCH($G3683,Mapping!$D$3:$D$6,0)),IFERROR(INDEX(Mapping!$B$3:$B$13,MATCH($J3683,Mapping!$A$3:$A$13,0)),"(unmapped)")),IFERROR(INDEX(Mapping!$B$17:$B$22,MATCH($F3683,Mapping!$A$17:$A$22,0)),$F3683)&amp;" "&amp;IF($G3683="Banking","Banking",IFERROR(INDEX(Mapping!$E$17:$E$28,MATCH($J3683,Mapping!$D$17:$D$28,0)),"(unmapped)")))))</f>
        <v/>
      </c>
    </row>
    <row r="3684" spans="11:11" x14ac:dyDescent="0.3">
      <c r="K3684" t="str">
        <f>IF($D3684="","",IFERROR(INDEX(Mapping!$H$3:$H$32,MATCH($B3684,Mapping!$G$3:$G$32,0)),IF(LEFT($F3684,3)="P2P",IFERROR(INDEX(Mapping!$E$3:$E$6,MATCH($G3684,Mapping!$D$3:$D$6,0)),IFERROR(INDEX(Mapping!$B$3:$B$13,MATCH($J3684,Mapping!$A$3:$A$13,0)),"(unmapped)")),IFERROR(INDEX(Mapping!$B$17:$B$22,MATCH($F3684,Mapping!$A$17:$A$22,0)),$F3684)&amp;" "&amp;IF($G3684="Banking","Banking",IFERROR(INDEX(Mapping!$E$17:$E$28,MATCH($J3684,Mapping!$D$17:$D$28,0)),"(unmapped)")))))</f>
        <v/>
      </c>
    </row>
    <row r="3685" spans="11:11" x14ac:dyDescent="0.3">
      <c r="K3685" t="str">
        <f>IF($D3685="","",IFERROR(INDEX(Mapping!$H$3:$H$32,MATCH($B3685,Mapping!$G$3:$G$32,0)),IF(LEFT($F3685,3)="P2P",IFERROR(INDEX(Mapping!$E$3:$E$6,MATCH($G3685,Mapping!$D$3:$D$6,0)),IFERROR(INDEX(Mapping!$B$3:$B$13,MATCH($J3685,Mapping!$A$3:$A$13,0)),"(unmapped)")),IFERROR(INDEX(Mapping!$B$17:$B$22,MATCH($F3685,Mapping!$A$17:$A$22,0)),$F3685)&amp;" "&amp;IF($G3685="Banking","Banking",IFERROR(INDEX(Mapping!$E$17:$E$28,MATCH($J3685,Mapping!$D$17:$D$28,0)),"(unmapped)")))))</f>
        <v/>
      </c>
    </row>
    <row r="3686" spans="11:11" x14ac:dyDescent="0.3">
      <c r="K3686" t="str">
        <f>IF($D3686="","",IFERROR(INDEX(Mapping!$H$3:$H$32,MATCH($B3686,Mapping!$G$3:$G$32,0)),IF(LEFT($F3686,3)="P2P",IFERROR(INDEX(Mapping!$E$3:$E$6,MATCH($G3686,Mapping!$D$3:$D$6,0)),IFERROR(INDEX(Mapping!$B$3:$B$13,MATCH($J3686,Mapping!$A$3:$A$13,0)),"(unmapped)")),IFERROR(INDEX(Mapping!$B$17:$B$22,MATCH($F3686,Mapping!$A$17:$A$22,0)),$F3686)&amp;" "&amp;IF($G3686="Banking","Banking",IFERROR(INDEX(Mapping!$E$17:$E$28,MATCH($J3686,Mapping!$D$17:$D$28,0)),"(unmapped)")))))</f>
        <v/>
      </c>
    </row>
    <row r="3687" spans="11:11" x14ac:dyDescent="0.3">
      <c r="K3687" t="str">
        <f>IF($D3687="","",IFERROR(INDEX(Mapping!$H$3:$H$32,MATCH($B3687,Mapping!$G$3:$G$32,0)),IF(LEFT($F3687,3)="P2P",IFERROR(INDEX(Mapping!$E$3:$E$6,MATCH($G3687,Mapping!$D$3:$D$6,0)),IFERROR(INDEX(Mapping!$B$3:$B$13,MATCH($J3687,Mapping!$A$3:$A$13,0)),"(unmapped)")),IFERROR(INDEX(Mapping!$B$17:$B$22,MATCH($F3687,Mapping!$A$17:$A$22,0)),$F3687)&amp;" "&amp;IF($G3687="Banking","Banking",IFERROR(INDEX(Mapping!$E$17:$E$28,MATCH($J3687,Mapping!$D$17:$D$28,0)),"(unmapped)")))))</f>
        <v/>
      </c>
    </row>
    <row r="3688" spans="11:11" x14ac:dyDescent="0.3">
      <c r="K3688" t="str">
        <f>IF($D3688="","",IFERROR(INDEX(Mapping!$H$3:$H$32,MATCH($B3688,Mapping!$G$3:$G$32,0)),IF(LEFT($F3688,3)="P2P",IFERROR(INDEX(Mapping!$E$3:$E$6,MATCH($G3688,Mapping!$D$3:$D$6,0)),IFERROR(INDEX(Mapping!$B$3:$B$13,MATCH($J3688,Mapping!$A$3:$A$13,0)),"(unmapped)")),IFERROR(INDEX(Mapping!$B$17:$B$22,MATCH($F3688,Mapping!$A$17:$A$22,0)),$F3688)&amp;" "&amp;IF($G3688="Banking","Banking",IFERROR(INDEX(Mapping!$E$17:$E$28,MATCH($J3688,Mapping!$D$17:$D$28,0)),"(unmapped)")))))</f>
        <v/>
      </c>
    </row>
    <row r="3689" spans="11:11" x14ac:dyDescent="0.3">
      <c r="K3689" t="str">
        <f>IF($D3689="","",IFERROR(INDEX(Mapping!$H$3:$H$32,MATCH($B3689,Mapping!$G$3:$G$32,0)),IF(LEFT($F3689,3)="P2P",IFERROR(INDEX(Mapping!$E$3:$E$6,MATCH($G3689,Mapping!$D$3:$D$6,0)),IFERROR(INDEX(Mapping!$B$3:$B$13,MATCH($J3689,Mapping!$A$3:$A$13,0)),"(unmapped)")),IFERROR(INDEX(Mapping!$B$17:$B$22,MATCH($F3689,Mapping!$A$17:$A$22,0)),$F3689)&amp;" "&amp;IF($G3689="Banking","Banking",IFERROR(INDEX(Mapping!$E$17:$E$28,MATCH($J3689,Mapping!$D$17:$D$28,0)),"(unmapped)")))))</f>
        <v/>
      </c>
    </row>
    <row r="3690" spans="11:11" x14ac:dyDescent="0.3">
      <c r="K3690" t="str">
        <f>IF($D3690="","",IFERROR(INDEX(Mapping!$H$3:$H$32,MATCH($B3690,Mapping!$G$3:$G$32,0)),IF(LEFT($F3690,3)="P2P",IFERROR(INDEX(Mapping!$E$3:$E$6,MATCH($G3690,Mapping!$D$3:$D$6,0)),IFERROR(INDEX(Mapping!$B$3:$B$13,MATCH($J3690,Mapping!$A$3:$A$13,0)),"(unmapped)")),IFERROR(INDEX(Mapping!$B$17:$B$22,MATCH($F3690,Mapping!$A$17:$A$22,0)),$F3690)&amp;" "&amp;IF($G3690="Banking","Banking",IFERROR(INDEX(Mapping!$E$17:$E$28,MATCH($J3690,Mapping!$D$17:$D$28,0)),"(unmapped)")))))</f>
        <v/>
      </c>
    </row>
    <row r="3691" spans="11:11" x14ac:dyDescent="0.3">
      <c r="K3691" t="str">
        <f>IF($D3691="","",IFERROR(INDEX(Mapping!$H$3:$H$32,MATCH($B3691,Mapping!$G$3:$G$32,0)),IF(LEFT($F3691,3)="P2P",IFERROR(INDEX(Mapping!$E$3:$E$6,MATCH($G3691,Mapping!$D$3:$D$6,0)),IFERROR(INDEX(Mapping!$B$3:$B$13,MATCH($J3691,Mapping!$A$3:$A$13,0)),"(unmapped)")),IFERROR(INDEX(Mapping!$B$17:$B$22,MATCH($F3691,Mapping!$A$17:$A$22,0)),$F3691)&amp;" "&amp;IF($G3691="Banking","Banking",IFERROR(INDEX(Mapping!$E$17:$E$28,MATCH($J3691,Mapping!$D$17:$D$28,0)),"(unmapped)")))))</f>
        <v/>
      </c>
    </row>
    <row r="3692" spans="11:11" x14ac:dyDescent="0.3">
      <c r="K3692" t="str">
        <f>IF($D3692="","",IFERROR(INDEX(Mapping!$H$3:$H$32,MATCH($B3692,Mapping!$G$3:$G$32,0)),IF(LEFT($F3692,3)="P2P",IFERROR(INDEX(Mapping!$E$3:$E$6,MATCH($G3692,Mapping!$D$3:$D$6,0)),IFERROR(INDEX(Mapping!$B$3:$B$13,MATCH($J3692,Mapping!$A$3:$A$13,0)),"(unmapped)")),IFERROR(INDEX(Mapping!$B$17:$B$22,MATCH($F3692,Mapping!$A$17:$A$22,0)),$F3692)&amp;" "&amp;IF($G3692="Banking","Banking",IFERROR(INDEX(Mapping!$E$17:$E$28,MATCH($J3692,Mapping!$D$17:$D$28,0)),"(unmapped)")))))</f>
        <v/>
      </c>
    </row>
    <row r="3693" spans="11:11" x14ac:dyDescent="0.3">
      <c r="K3693" t="str">
        <f>IF($D3693="","",IFERROR(INDEX(Mapping!$H$3:$H$32,MATCH($B3693,Mapping!$G$3:$G$32,0)),IF(LEFT($F3693,3)="P2P",IFERROR(INDEX(Mapping!$E$3:$E$6,MATCH($G3693,Mapping!$D$3:$D$6,0)),IFERROR(INDEX(Mapping!$B$3:$B$13,MATCH($J3693,Mapping!$A$3:$A$13,0)),"(unmapped)")),IFERROR(INDEX(Mapping!$B$17:$B$22,MATCH($F3693,Mapping!$A$17:$A$22,0)),$F3693)&amp;" "&amp;IF($G3693="Banking","Banking",IFERROR(INDEX(Mapping!$E$17:$E$28,MATCH($J3693,Mapping!$D$17:$D$28,0)),"(unmapped)")))))</f>
        <v/>
      </c>
    </row>
    <row r="3694" spans="11:11" x14ac:dyDescent="0.3">
      <c r="K3694" t="str">
        <f>IF($D3694="","",IFERROR(INDEX(Mapping!$H$3:$H$32,MATCH($B3694,Mapping!$G$3:$G$32,0)),IF(LEFT($F3694,3)="P2P",IFERROR(INDEX(Mapping!$E$3:$E$6,MATCH($G3694,Mapping!$D$3:$D$6,0)),IFERROR(INDEX(Mapping!$B$3:$B$13,MATCH($J3694,Mapping!$A$3:$A$13,0)),"(unmapped)")),IFERROR(INDEX(Mapping!$B$17:$B$22,MATCH($F3694,Mapping!$A$17:$A$22,0)),$F3694)&amp;" "&amp;IF($G3694="Banking","Banking",IFERROR(INDEX(Mapping!$E$17:$E$28,MATCH($J3694,Mapping!$D$17:$D$28,0)),"(unmapped)")))))</f>
        <v/>
      </c>
    </row>
    <row r="3695" spans="11:11" x14ac:dyDescent="0.3">
      <c r="K3695" t="str">
        <f>IF($D3695="","",IFERROR(INDEX(Mapping!$H$3:$H$32,MATCH($B3695,Mapping!$G$3:$G$32,0)),IF(LEFT($F3695,3)="P2P",IFERROR(INDEX(Mapping!$E$3:$E$6,MATCH($G3695,Mapping!$D$3:$D$6,0)),IFERROR(INDEX(Mapping!$B$3:$B$13,MATCH($J3695,Mapping!$A$3:$A$13,0)),"(unmapped)")),IFERROR(INDEX(Mapping!$B$17:$B$22,MATCH($F3695,Mapping!$A$17:$A$22,0)),$F3695)&amp;" "&amp;IF($G3695="Banking","Banking",IFERROR(INDEX(Mapping!$E$17:$E$28,MATCH($J3695,Mapping!$D$17:$D$28,0)),"(unmapped)")))))</f>
        <v/>
      </c>
    </row>
    <row r="3696" spans="11:11" x14ac:dyDescent="0.3">
      <c r="K3696" t="str">
        <f>IF($D3696="","",IFERROR(INDEX(Mapping!$H$3:$H$32,MATCH($B3696,Mapping!$G$3:$G$32,0)),IF(LEFT($F3696,3)="P2P",IFERROR(INDEX(Mapping!$E$3:$E$6,MATCH($G3696,Mapping!$D$3:$D$6,0)),IFERROR(INDEX(Mapping!$B$3:$B$13,MATCH($J3696,Mapping!$A$3:$A$13,0)),"(unmapped)")),IFERROR(INDEX(Mapping!$B$17:$B$22,MATCH($F3696,Mapping!$A$17:$A$22,0)),$F3696)&amp;" "&amp;IF($G3696="Banking","Banking",IFERROR(INDEX(Mapping!$E$17:$E$28,MATCH($J3696,Mapping!$D$17:$D$28,0)),"(unmapped)")))))</f>
        <v/>
      </c>
    </row>
    <row r="3697" spans="11:11" x14ac:dyDescent="0.3">
      <c r="K3697" t="str">
        <f>IF($D3697="","",IFERROR(INDEX(Mapping!$H$3:$H$32,MATCH($B3697,Mapping!$G$3:$G$32,0)),IF(LEFT($F3697,3)="P2P",IFERROR(INDEX(Mapping!$E$3:$E$6,MATCH($G3697,Mapping!$D$3:$D$6,0)),IFERROR(INDEX(Mapping!$B$3:$B$13,MATCH($J3697,Mapping!$A$3:$A$13,0)),"(unmapped)")),IFERROR(INDEX(Mapping!$B$17:$B$22,MATCH($F3697,Mapping!$A$17:$A$22,0)),$F3697)&amp;" "&amp;IF($G3697="Banking","Banking",IFERROR(INDEX(Mapping!$E$17:$E$28,MATCH($J3697,Mapping!$D$17:$D$28,0)),"(unmapped)")))))</f>
        <v/>
      </c>
    </row>
    <row r="3698" spans="11:11" x14ac:dyDescent="0.3">
      <c r="K3698" t="str">
        <f>IF($D3698="","",IFERROR(INDEX(Mapping!$H$3:$H$32,MATCH($B3698,Mapping!$G$3:$G$32,0)),IF(LEFT($F3698,3)="P2P",IFERROR(INDEX(Mapping!$E$3:$E$6,MATCH($G3698,Mapping!$D$3:$D$6,0)),IFERROR(INDEX(Mapping!$B$3:$B$13,MATCH($J3698,Mapping!$A$3:$A$13,0)),"(unmapped)")),IFERROR(INDEX(Mapping!$B$17:$B$22,MATCH($F3698,Mapping!$A$17:$A$22,0)),$F3698)&amp;" "&amp;IF($G3698="Banking","Banking",IFERROR(INDEX(Mapping!$E$17:$E$28,MATCH($J3698,Mapping!$D$17:$D$28,0)),"(unmapped)")))))</f>
        <v/>
      </c>
    </row>
    <row r="3699" spans="11:11" x14ac:dyDescent="0.3">
      <c r="K3699" t="str">
        <f>IF($D3699="","",IFERROR(INDEX(Mapping!$H$3:$H$32,MATCH($B3699,Mapping!$G$3:$G$32,0)),IF(LEFT($F3699,3)="P2P",IFERROR(INDEX(Mapping!$E$3:$E$6,MATCH($G3699,Mapping!$D$3:$D$6,0)),IFERROR(INDEX(Mapping!$B$3:$B$13,MATCH($J3699,Mapping!$A$3:$A$13,0)),"(unmapped)")),IFERROR(INDEX(Mapping!$B$17:$B$22,MATCH($F3699,Mapping!$A$17:$A$22,0)),$F3699)&amp;" "&amp;IF($G3699="Banking","Banking",IFERROR(INDEX(Mapping!$E$17:$E$28,MATCH($J3699,Mapping!$D$17:$D$28,0)),"(unmapped)")))))</f>
        <v/>
      </c>
    </row>
    <row r="3700" spans="11:11" x14ac:dyDescent="0.3">
      <c r="K3700" t="str">
        <f>IF($D3700="","",IFERROR(INDEX(Mapping!$H$3:$H$32,MATCH($B3700,Mapping!$G$3:$G$32,0)),IF(LEFT($F3700,3)="P2P",IFERROR(INDEX(Mapping!$E$3:$E$6,MATCH($G3700,Mapping!$D$3:$D$6,0)),IFERROR(INDEX(Mapping!$B$3:$B$13,MATCH($J3700,Mapping!$A$3:$A$13,0)),"(unmapped)")),IFERROR(INDEX(Mapping!$B$17:$B$22,MATCH($F3700,Mapping!$A$17:$A$22,0)),$F3700)&amp;" "&amp;IF($G3700="Banking","Banking",IFERROR(INDEX(Mapping!$E$17:$E$28,MATCH($J3700,Mapping!$D$17:$D$28,0)),"(unmapped)")))))</f>
        <v/>
      </c>
    </row>
    <row r="3701" spans="11:11" x14ac:dyDescent="0.3">
      <c r="K3701" t="str">
        <f>IF($D3701="","",IFERROR(INDEX(Mapping!$H$3:$H$32,MATCH($B3701,Mapping!$G$3:$G$32,0)),IF(LEFT($F3701,3)="P2P",IFERROR(INDEX(Mapping!$E$3:$E$6,MATCH($G3701,Mapping!$D$3:$D$6,0)),IFERROR(INDEX(Mapping!$B$3:$B$13,MATCH($J3701,Mapping!$A$3:$A$13,0)),"(unmapped)")),IFERROR(INDEX(Mapping!$B$17:$B$22,MATCH($F3701,Mapping!$A$17:$A$22,0)),$F3701)&amp;" "&amp;IF($G3701="Banking","Banking",IFERROR(INDEX(Mapping!$E$17:$E$28,MATCH($J3701,Mapping!$D$17:$D$28,0)),"(unmapped)")))))</f>
        <v/>
      </c>
    </row>
    <row r="3702" spans="11:11" x14ac:dyDescent="0.3">
      <c r="K3702" t="str">
        <f>IF($D3702="","",IFERROR(INDEX(Mapping!$H$3:$H$32,MATCH($B3702,Mapping!$G$3:$G$32,0)),IF(LEFT($F3702,3)="P2P",IFERROR(INDEX(Mapping!$E$3:$E$6,MATCH($G3702,Mapping!$D$3:$D$6,0)),IFERROR(INDEX(Mapping!$B$3:$B$13,MATCH($J3702,Mapping!$A$3:$A$13,0)),"(unmapped)")),IFERROR(INDEX(Mapping!$B$17:$B$22,MATCH($F3702,Mapping!$A$17:$A$22,0)),$F3702)&amp;" "&amp;IF($G3702="Banking","Banking",IFERROR(INDEX(Mapping!$E$17:$E$28,MATCH($J3702,Mapping!$D$17:$D$28,0)),"(unmapped)")))))</f>
        <v/>
      </c>
    </row>
    <row r="3703" spans="11:11" x14ac:dyDescent="0.3">
      <c r="K3703" t="str">
        <f>IF($D3703="","",IFERROR(INDEX(Mapping!$H$3:$H$32,MATCH($B3703,Mapping!$G$3:$G$32,0)),IF(LEFT($F3703,3)="P2P",IFERROR(INDEX(Mapping!$E$3:$E$6,MATCH($G3703,Mapping!$D$3:$D$6,0)),IFERROR(INDEX(Mapping!$B$3:$B$13,MATCH($J3703,Mapping!$A$3:$A$13,0)),"(unmapped)")),IFERROR(INDEX(Mapping!$B$17:$B$22,MATCH($F3703,Mapping!$A$17:$A$22,0)),$F3703)&amp;" "&amp;IF($G3703="Banking","Banking",IFERROR(INDEX(Mapping!$E$17:$E$28,MATCH($J3703,Mapping!$D$17:$D$28,0)),"(unmapped)")))))</f>
        <v/>
      </c>
    </row>
    <row r="3704" spans="11:11" x14ac:dyDescent="0.3">
      <c r="K3704" t="str">
        <f>IF($D3704="","",IFERROR(INDEX(Mapping!$H$3:$H$32,MATCH($B3704,Mapping!$G$3:$G$32,0)),IF(LEFT($F3704,3)="P2P",IFERROR(INDEX(Mapping!$E$3:$E$6,MATCH($G3704,Mapping!$D$3:$D$6,0)),IFERROR(INDEX(Mapping!$B$3:$B$13,MATCH($J3704,Mapping!$A$3:$A$13,0)),"(unmapped)")),IFERROR(INDEX(Mapping!$B$17:$B$22,MATCH($F3704,Mapping!$A$17:$A$22,0)),$F3704)&amp;" "&amp;IF($G3704="Banking","Banking",IFERROR(INDEX(Mapping!$E$17:$E$28,MATCH($J3704,Mapping!$D$17:$D$28,0)),"(unmapped)")))))</f>
        <v/>
      </c>
    </row>
    <row r="3705" spans="11:11" x14ac:dyDescent="0.3">
      <c r="K3705" t="str">
        <f>IF($D3705="","",IFERROR(INDEX(Mapping!$H$3:$H$32,MATCH($B3705,Mapping!$G$3:$G$32,0)),IF(LEFT($F3705,3)="P2P",IFERROR(INDEX(Mapping!$E$3:$E$6,MATCH($G3705,Mapping!$D$3:$D$6,0)),IFERROR(INDEX(Mapping!$B$3:$B$13,MATCH($J3705,Mapping!$A$3:$A$13,0)),"(unmapped)")),IFERROR(INDEX(Mapping!$B$17:$B$22,MATCH($F3705,Mapping!$A$17:$A$22,0)),$F3705)&amp;" "&amp;IF($G3705="Banking","Banking",IFERROR(INDEX(Mapping!$E$17:$E$28,MATCH($J3705,Mapping!$D$17:$D$28,0)),"(unmapped)")))))</f>
        <v/>
      </c>
    </row>
    <row r="3706" spans="11:11" x14ac:dyDescent="0.3">
      <c r="K3706" t="str">
        <f>IF($D3706="","",IFERROR(INDEX(Mapping!$H$3:$H$32,MATCH($B3706,Mapping!$G$3:$G$32,0)),IF(LEFT($F3706,3)="P2P",IFERROR(INDEX(Mapping!$E$3:$E$6,MATCH($G3706,Mapping!$D$3:$D$6,0)),IFERROR(INDEX(Mapping!$B$3:$B$13,MATCH($J3706,Mapping!$A$3:$A$13,0)),"(unmapped)")),IFERROR(INDEX(Mapping!$B$17:$B$22,MATCH($F3706,Mapping!$A$17:$A$22,0)),$F3706)&amp;" "&amp;IF($G3706="Banking","Banking",IFERROR(INDEX(Mapping!$E$17:$E$28,MATCH($J3706,Mapping!$D$17:$D$28,0)),"(unmapped)")))))</f>
        <v/>
      </c>
    </row>
    <row r="3707" spans="11:11" x14ac:dyDescent="0.3">
      <c r="K3707" t="str">
        <f>IF($D3707="","",IFERROR(INDEX(Mapping!$H$3:$H$32,MATCH($B3707,Mapping!$G$3:$G$32,0)),IF(LEFT($F3707,3)="P2P",IFERROR(INDEX(Mapping!$E$3:$E$6,MATCH($G3707,Mapping!$D$3:$D$6,0)),IFERROR(INDEX(Mapping!$B$3:$B$13,MATCH($J3707,Mapping!$A$3:$A$13,0)),"(unmapped)")),IFERROR(INDEX(Mapping!$B$17:$B$22,MATCH($F3707,Mapping!$A$17:$A$22,0)),$F3707)&amp;" "&amp;IF($G3707="Banking","Banking",IFERROR(INDEX(Mapping!$E$17:$E$28,MATCH($J3707,Mapping!$D$17:$D$28,0)),"(unmapped)")))))</f>
        <v/>
      </c>
    </row>
    <row r="3708" spans="11:11" x14ac:dyDescent="0.3">
      <c r="K3708" t="str">
        <f>IF($D3708="","",IFERROR(INDEX(Mapping!$H$3:$H$32,MATCH($B3708,Mapping!$G$3:$G$32,0)),IF(LEFT($F3708,3)="P2P",IFERROR(INDEX(Mapping!$E$3:$E$6,MATCH($G3708,Mapping!$D$3:$D$6,0)),IFERROR(INDEX(Mapping!$B$3:$B$13,MATCH($J3708,Mapping!$A$3:$A$13,0)),"(unmapped)")),IFERROR(INDEX(Mapping!$B$17:$B$22,MATCH($F3708,Mapping!$A$17:$A$22,0)),$F3708)&amp;" "&amp;IF($G3708="Banking","Banking",IFERROR(INDEX(Mapping!$E$17:$E$28,MATCH($J3708,Mapping!$D$17:$D$28,0)),"(unmapped)")))))</f>
        <v/>
      </c>
    </row>
    <row r="3709" spans="11:11" x14ac:dyDescent="0.3">
      <c r="K3709" t="str">
        <f>IF($D3709="","",IFERROR(INDEX(Mapping!$H$3:$H$32,MATCH($B3709,Mapping!$G$3:$G$32,0)),IF(LEFT($F3709,3)="P2P",IFERROR(INDEX(Mapping!$E$3:$E$6,MATCH($G3709,Mapping!$D$3:$D$6,0)),IFERROR(INDEX(Mapping!$B$3:$B$13,MATCH($J3709,Mapping!$A$3:$A$13,0)),"(unmapped)")),IFERROR(INDEX(Mapping!$B$17:$B$22,MATCH($F3709,Mapping!$A$17:$A$22,0)),$F3709)&amp;" "&amp;IF($G3709="Banking","Banking",IFERROR(INDEX(Mapping!$E$17:$E$28,MATCH($J3709,Mapping!$D$17:$D$28,0)),"(unmapped)")))))</f>
        <v/>
      </c>
    </row>
    <row r="3710" spans="11:11" x14ac:dyDescent="0.3">
      <c r="K3710" t="str">
        <f>IF($D3710="","",IFERROR(INDEX(Mapping!$H$3:$H$32,MATCH($B3710,Mapping!$G$3:$G$32,0)),IF(LEFT($F3710,3)="P2P",IFERROR(INDEX(Mapping!$E$3:$E$6,MATCH($G3710,Mapping!$D$3:$D$6,0)),IFERROR(INDEX(Mapping!$B$3:$B$13,MATCH($J3710,Mapping!$A$3:$A$13,0)),"(unmapped)")),IFERROR(INDEX(Mapping!$B$17:$B$22,MATCH($F3710,Mapping!$A$17:$A$22,0)),$F3710)&amp;" "&amp;IF($G3710="Banking","Banking",IFERROR(INDEX(Mapping!$E$17:$E$28,MATCH($J3710,Mapping!$D$17:$D$28,0)),"(unmapped)")))))</f>
        <v/>
      </c>
    </row>
    <row r="3711" spans="11:11" x14ac:dyDescent="0.3">
      <c r="K3711" t="str">
        <f>IF($D3711="","",IFERROR(INDEX(Mapping!$H$3:$H$32,MATCH($B3711,Mapping!$G$3:$G$32,0)),IF(LEFT($F3711,3)="P2P",IFERROR(INDEX(Mapping!$E$3:$E$6,MATCH($G3711,Mapping!$D$3:$D$6,0)),IFERROR(INDEX(Mapping!$B$3:$B$13,MATCH($J3711,Mapping!$A$3:$A$13,0)),"(unmapped)")),IFERROR(INDEX(Mapping!$B$17:$B$22,MATCH($F3711,Mapping!$A$17:$A$22,0)),$F3711)&amp;" "&amp;IF($G3711="Banking","Banking",IFERROR(INDEX(Mapping!$E$17:$E$28,MATCH($J3711,Mapping!$D$17:$D$28,0)),"(unmapped)")))))</f>
        <v/>
      </c>
    </row>
    <row r="3712" spans="11:11" x14ac:dyDescent="0.3">
      <c r="K3712" t="str">
        <f>IF($D3712="","",IFERROR(INDEX(Mapping!$H$3:$H$32,MATCH($B3712,Mapping!$G$3:$G$32,0)),IF(LEFT($F3712,3)="P2P",IFERROR(INDEX(Mapping!$E$3:$E$6,MATCH($G3712,Mapping!$D$3:$D$6,0)),IFERROR(INDEX(Mapping!$B$3:$B$13,MATCH($J3712,Mapping!$A$3:$A$13,0)),"(unmapped)")),IFERROR(INDEX(Mapping!$B$17:$B$22,MATCH($F3712,Mapping!$A$17:$A$22,0)),$F3712)&amp;" "&amp;IF($G3712="Banking","Banking",IFERROR(INDEX(Mapping!$E$17:$E$28,MATCH($J3712,Mapping!$D$17:$D$28,0)),"(unmapped)")))))</f>
        <v/>
      </c>
    </row>
    <row r="3713" spans="11:11" x14ac:dyDescent="0.3">
      <c r="K3713" t="str">
        <f>IF($D3713="","",IFERROR(INDEX(Mapping!$H$3:$H$32,MATCH($B3713,Mapping!$G$3:$G$32,0)),IF(LEFT($F3713,3)="P2P",IFERROR(INDEX(Mapping!$E$3:$E$6,MATCH($G3713,Mapping!$D$3:$D$6,0)),IFERROR(INDEX(Mapping!$B$3:$B$13,MATCH($J3713,Mapping!$A$3:$A$13,0)),"(unmapped)")),IFERROR(INDEX(Mapping!$B$17:$B$22,MATCH($F3713,Mapping!$A$17:$A$22,0)),$F3713)&amp;" "&amp;IF($G3713="Banking","Banking",IFERROR(INDEX(Mapping!$E$17:$E$28,MATCH($J3713,Mapping!$D$17:$D$28,0)),"(unmapped)")))))</f>
        <v/>
      </c>
    </row>
    <row r="3714" spans="11:11" x14ac:dyDescent="0.3">
      <c r="K3714" t="str">
        <f>IF($D3714="","",IFERROR(INDEX(Mapping!$H$3:$H$32,MATCH($B3714,Mapping!$G$3:$G$32,0)),IF(LEFT($F3714,3)="P2P",IFERROR(INDEX(Mapping!$E$3:$E$6,MATCH($G3714,Mapping!$D$3:$D$6,0)),IFERROR(INDEX(Mapping!$B$3:$B$13,MATCH($J3714,Mapping!$A$3:$A$13,0)),"(unmapped)")),IFERROR(INDEX(Mapping!$B$17:$B$22,MATCH($F3714,Mapping!$A$17:$A$22,0)),$F3714)&amp;" "&amp;IF($G3714="Banking","Banking",IFERROR(INDEX(Mapping!$E$17:$E$28,MATCH($J3714,Mapping!$D$17:$D$28,0)),"(unmapped)")))))</f>
        <v/>
      </c>
    </row>
    <row r="3715" spans="11:11" x14ac:dyDescent="0.3">
      <c r="K3715" t="str">
        <f>IF($D3715="","",IFERROR(INDEX(Mapping!$H$3:$H$32,MATCH($B3715,Mapping!$G$3:$G$32,0)),IF(LEFT($F3715,3)="P2P",IFERROR(INDEX(Mapping!$E$3:$E$6,MATCH($G3715,Mapping!$D$3:$D$6,0)),IFERROR(INDEX(Mapping!$B$3:$B$13,MATCH($J3715,Mapping!$A$3:$A$13,0)),"(unmapped)")),IFERROR(INDEX(Mapping!$B$17:$B$22,MATCH($F3715,Mapping!$A$17:$A$22,0)),$F3715)&amp;" "&amp;IF($G3715="Banking","Banking",IFERROR(INDEX(Mapping!$E$17:$E$28,MATCH($J3715,Mapping!$D$17:$D$28,0)),"(unmapped)")))))</f>
        <v/>
      </c>
    </row>
    <row r="3716" spans="11:11" x14ac:dyDescent="0.3">
      <c r="K3716" t="str">
        <f>IF($D3716="","",IFERROR(INDEX(Mapping!$H$3:$H$32,MATCH($B3716,Mapping!$G$3:$G$32,0)),IF(LEFT($F3716,3)="P2P",IFERROR(INDEX(Mapping!$E$3:$E$6,MATCH($G3716,Mapping!$D$3:$D$6,0)),IFERROR(INDEX(Mapping!$B$3:$B$13,MATCH($J3716,Mapping!$A$3:$A$13,0)),"(unmapped)")),IFERROR(INDEX(Mapping!$B$17:$B$22,MATCH($F3716,Mapping!$A$17:$A$22,0)),$F3716)&amp;" "&amp;IF($G3716="Banking","Banking",IFERROR(INDEX(Mapping!$E$17:$E$28,MATCH($J3716,Mapping!$D$17:$D$28,0)),"(unmapped)")))))</f>
        <v/>
      </c>
    </row>
    <row r="3717" spans="11:11" x14ac:dyDescent="0.3">
      <c r="K3717" t="str">
        <f>IF($D3717="","",IFERROR(INDEX(Mapping!$H$3:$H$32,MATCH($B3717,Mapping!$G$3:$G$32,0)),IF(LEFT($F3717,3)="P2P",IFERROR(INDEX(Mapping!$E$3:$E$6,MATCH($G3717,Mapping!$D$3:$D$6,0)),IFERROR(INDEX(Mapping!$B$3:$B$13,MATCH($J3717,Mapping!$A$3:$A$13,0)),"(unmapped)")),IFERROR(INDEX(Mapping!$B$17:$B$22,MATCH($F3717,Mapping!$A$17:$A$22,0)),$F3717)&amp;" "&amp;IF($G3717="Banking","Banking",IFERROR(INDEX(Mapping!$E$17:$E$28,MATCH($J3717,Mapping!$D$17:$D$28,0)),"(unmapped)")))))</f>
        <v/>
      </c>
    </row>
    <row r="3718" spans="11:11" x14ac:dyDescent="0.3">
      <c r="K3718" t="str">
        <f>IF($D3718="","",IFERROR(INDEX(Mapping!$H$3:$H$32,MATCH($B3718,Mapping!$G$3:$G$32,0)),IF(LEFT($F3718,3)="P2P",IFERROR(INDEX(Mapping!$E$3:$E$6,MATCH($G3718,Mapping!$D$3:$D$6,0)),IFERROR(INDEX(Mapping!$B$3:$B$13,MATCH($J3718,Mapping!$A$3:$A$13,0)),"(unmapped)")),IFERROR(INDEX(Mapping!$B$17:$B$22,MATCH($F3718,Mapping!$A$17:$A$22,0)),$F3718)&amp;" "&amp;IF($G3718="Banking","Banking",IFERROR(INDEX(Mapping!$E$17:$E$28,MATCH($J3718,Mapping!$D$17:$D$28,0)),"(unmapped)")))))</f>
        <v/>
      </c>
    </row>
    <row r="3719" spans="11:11" x14ac:dyDescent="0.3">
      <c r="K3719" t="str">
        <f>IF($D3719="","",IFERROR(INDEX(Mapping!$H$3:$H$32,MATCH($B3719,Mapping!$G$3:$G$32,0)),IF(LEFT($F3719,3)="P2P",IFERROR(INDEX(Mapping!$E$3:$E$6,MATCH($G3719,Mapping!$D$3:$D$6,0)),IFERROR(INDEX(Mapping!$B$3:$B$13,MATCH($J3719,Mapping!$A$3:$A$13,0)),"(unmapped)")),IFERROR(INDEX(Mapping!$B$17:$B$22,MATCH($F3719,Mapping!$A$17:$A$22,0)),$F3719)&amp;" "&amp;IF($G3719="Banking","Banking",IFERROR(INDEX(Mapping!$E$17:$E$28,MATCH($J3719,Mapping!$D$17:$D$28,0)),"(unmapped)")))))</f>
        <v/>
      </c>
    </row>
    <row r="3720" spans="11:11" x14ac:dyDescent="0.3">
      <c r="K3720" t="str">
        <f>IF($D3720="","",IFERROR(INDEX(Mapping!$H$3:$H$32,MATCH($B3720,Mapping!$G$3:$G$32,0)),IF(LEFT($F3720,3)="P2P",IFERROR(INDEX(Mapping!$E$3:$E$6,MATCH($G3720,Mapping!$D$3:$D$6,0)),IFERROR(INDEX(Mapping!$B$3:$B$13,MATCH($J3720,Mapping!$A$3:$A$13,0)),"(unmapped)")),IFERROR(INDEX(Mapping!$B$17:$B$22,MATCH($F3720,Mapping!$A$17:$A$22,0)),$F3720)&amp;" "&amp;IF($G3720="Banking","Banking",IFERROR(INDEX(Mapping!$E$17:$E$28,MATCH($J3720,Mapping!$D$17:$D$28,0)),"(unmapped)")))))</f>
        <v/>
      </c>
    </row>
    <row r="3721" spans="11:11" x14ac:dyDescent="0.3">
      <c r="K3721" t="str">
        <f>IF($D3721="","",IFERROR(INDEX(Mapping!$H$3:$H$32,MATCH($B3721,Mapping!$G$3:$G$32,0)),IF(LEFT($F3721,3)="P2P",IFERROR(INDEX(Mapping!$E$3:$E$6,MATCH($G3721,Mapping!$D$3:$D$6,0)),IFERROR(INDEX(Mapping!$B$3:$B$13,MATCH($J3721,Mapping!$A$3:$A$13,0)),"(unmapped)")),IFERROR(INDEX(Mapping!$B$17:$B$22,MATCH($F3721,Mapping!$A$17:$A$22,0)),$F3721)&amp;" "&amp;IF($G3721="Banking","Banking",IFERROR(INDEX(Mapping!$E$17:$E$28,MATCH($J3721,Mapping!$D$17:$D$28,0)),"(unmapped)")))))</f>
        <v/>
      </c>
    </row>
    <row r="3722" spans="11:11" x14ac:dyDescent="0.3">
      <c r="K3722" t="str">
        <f>IF($D3722="","",IFERROR(INDEX(Mapping!$H$3:$H$32,MATCH($B3722,Mapping!$G$3:$G$32,0)),IF(LEFT($F3722,3)="P2P",IFERROR(INDEX(Mapping!$E$3:$E$6,MATCH($G3722,Mapping!$D$3:$D$6,0)),IFERROR(INDEX(Mapping!$B$3:$B$13,MATCH($J3722,Mapping!$A$3:$A$13,0)),"(unmapped)")),IFERROR(INDEX(Mapping!$B$17:$B$22,MATCH($F3722,Mapping!$A$17:$A$22,0)),$F3722)&amp;" "&amp;IF($G3722="Banking","Banking",IFERROR(INDEX(Mapping!$E$17:$E$28,MATCH($J3722,Mapping!$D$17:$D$28,0)),"(unmapped)")))))</f>
        <v/>
      </c>
    </row>
    <row r="3723" spans="11:11" x14ac:dyDescent="0.3">
      <c r="K3723" t="str">
        <f>IF($D3723="","",IFERROR(INDEX(Mapping!$H$3:$H$32,MATCH($B3723,Mapping!$G$3:$G$32,0)),IF(LEFT($F3723,3)="P2P",IFERROR(INDEX(Mapping!$E$3:$E$6,MATCH($G3723,Mapping!$D$3:$D$6,0)),IFERROR(INDEX(Mapping!$B$3:$B$13,MATCH($J3723,Mapping!$A$3:$A$13,0)),"(unmapped)")),IFERROR(INDEX(Mapping!$B$17:$B$22,MATCH($F3723,Mapping!$A$17:$A$22,0)),$F3723)&amp;" "&amp;IF($G3723="Banking","Banking",IFERROR(INDEX(Mapping!$E$17:$E$28,MATCH($J3723,Mapping!$D$17:$D$28,0)),"(unmapped)")))))</f>
        <v/>
      </c>
    </row>
    <row r="3724" spans="11:11" x14ac:dyDescent="0.3">
      <c r="K3724" t="str">
        <f>IF($D3724="","",IFERROR(INDEX(Mapping!$H$3:$H$32,MATCH($B3724,Mapping!$G$3:$G$32,0)),IF(LEFT($F3724,3)="P2P",IFERROR(INDEX(Mapping!$E$3:$E$6,MATCH($G3724,Mapping!$D$3:$D$6,0)),IFERROR(INDEX(Mapping!$B$3:$B$13,MATCH($J3724,Mapping!$A$3:$A$13,0)),"(unmapped)")),IFERROR(INDEX(Mapping!$B$17:$B$22,MATCH($F3724,Mapping!$A$17:$A$22,0)),$F3724)&amp;" "&amp;IF($G3724="Banking","Banking",IFERROR(INDEX(Mapping!$E$17:$E$28,MATCH($J3724,Mapping!$D$17:$D$28,0)),"(unmapped)")))))</f>
        <v/>
      </c>
    </row>
    <row r="3725" spans="11:11" x14ac:dyDescent="0.3">
      <c r="K3725" t="str">
        <f>IF($D3725="","",IFERROR(INDEX(Mapping!$H$3:$H$32,MATCH($B3725,Mapping!$G$3:$G$32,0)),IF(LEFT($F3725,3)="P2P",IFERROR(INDEX(Mapping!$E$3:$E$6,MATCH($G3725,Mapping!$D$3:$D$6,0)),IFERROR(INDEX(Mapping!$B$3:$B$13,MATCH($J3725,Mapping!$A$3:$A$13,0)),"(unmapped)")),IFERROR(INDEX(Mapping!$B$17:$B$22,MATCH($F3725,Mapping!$A$17:$A$22,0)),$F3725)&amp;" "&amp;IF($G3725="Banking","Banking",IFERROR(INDEX(Mapping!$E$17:$E$28,MATCH($J3725,Mapping!$D$17:$D$28,0)),"(unmapped)")))))</f>
        <v/>
      </c>
    </row>
    <row r="3726" spans="11:11" x14ac:dyDescent="0.3">
      <c r="K3726" t="str">
        <f>IF($D3726="","",IFERROR(INDEX(Mapping!$H$3:$H$32,MATCH($B3726,Mapping!$G$3:$G$32,0)),IF(LEFT($F3726,3)="P2P",IFERROR(INDEX(Mapping!$E$3:$E$6,MATCH($G3726,Mapping!$D$3:$D$6,0)),IFERROR(INDEX(Mapping!$B$3:$B$13,MATCH($J3726,Mapping!$A$3:$A$13,0)),"(unmapped)")),IFERROR(INDEX(Mapping!$B$17:$B$22,MATCH($F3726,Mapping!$A$17:$A$22,0)),$F3726)&amp;" "&amp;IF($G3726="Banking","Banking",IFERROR(INDEX(Mapping!$E$17:$E$28,MATCH($J3726,Mapping!$D$17:$D$28,0)),"(unmapped)")))))</f>
        <v/>
      </c>
    </row>
    <row r="3727" spans="11:11" x14ac:dyDescent="0.3">
      <c r="K3727" t="str">
        <f>IF($D3727="","",IFERROR(INDEX(Mapping!$H$3:$H$32,MATCH($B3727,Mapping!$G$3:$G$32,0)),IF(LEFT($F3727,3)="P2P",IFERROR(INDEX(Mapping!$E$3:$E$6,MATCH($G3727,Mapping!$D$3:$D$6,0)),IFERROR(INDEX(Mapping!$B$3:$B$13,MATCH($J3727,Mapping!$A$3:$A$13,0)),"(unmapped)")),IFERROR(INDEX(Mapping!$B$17:$B$22,MATCH($F3727,Mapping!$A$17:$A$22,0)),$F3727)&amp;" "&amp;IF($G3727="Banking","Banking",IFERROR(INDEX(Mapping!$E$17:$E$28,MATCH($J3727,Mapping!$D$17:$D$28,0)),"(unmapped)")))))</f>
        <v/>
      </c>
    </row>
    <row r="3728" spans="11:11" x14ac:dyDescent="0.3">
      <c r="K3728" t="str">
        <f>IF($D3728="","",IFERROR(INDEX(Mapping!$H$3:$H$32,MATCH($B3728,Mapping!$G$3:$G$32,0)),IF(LEFT($F3728,3)="P2P",IFERROR(INDEX(Mapping!$E$3:$E$6,MATCH($G3728,Mapping!$D$3:$D$6,0)),IFERROR(INDEX(Mapping!$B$3:$B$13,MATCH($J3728,Mapping!$A$3:$A$13,0)),"(unmapped)")),IFERROR(INDEX(Mapping!$B$17:$B$22,MATCH($F3728,Mapping!$A$17:$A$22,0)),$F3728)&amp;" "&amp;IF($G3728="Banking","Banking",IFERROR(INDEX(Mapping!$E$17:$E$28,MATCH($J3728,Mapping!$D$17:$D$28,0)),"(unmapped)")))))</f>
        <v/>
      </c>
    </row>
    <row r="3729" spans="11:11" x14ac:dyDescent="0.3">
      <c r="K3729" t="str">
        <f>IF($D3729="","",IFERROR(INDEX(Mapping!$H$3:$H$32,MATCH($B3729,Mapping!$G$3:$G$32,0)),IF(LEFT($F3729,3)="P2P",IFERROR(INDEX(Mapping!$E$3:$E$6,MATCH($G3729,Mapping!$D$3:$D$6,0)),IFERROR(INDEX(Mapping!$B$3:$B$13,MATCH($J3729,Mapping!$A$3:$A$13,0)),"(unmapped)")),IFERROR(INDEX(Mapping!$B$17:$B$22,MATCH($F3729,Mapping!$A$17:$A$22,0)),$F3729)&amp;" "&amp;IF($G3729="Banking","Banking",IFERROR(INDEX(Mapping!$E$17:$E$28,MATCH($J3729,Mapping!$D$17:$D$28,0)),"(unmapped)")))))</f>
        <v/>
      </c>
    </row>
    <row r="3730" spans="11:11" x14ac:dyDescent="0.3">
      <c r="K3730" t="str">
        <f>IF($D3730="","",IFERROR(INDEX(Mapping!$H$3:$H$32,MATCH($B3730,Mapping!$G$3:$G$32,0)),IF(LEFT($F3730,3)="P2P",IFERROR(INDEX(Mapping!$E$3:$E$6,MATCH($G3730,Mapping!$D$3:$D$6,0)),IFERROR(INDEX(Mapping!$B$3:$B$13,MATCH($J3730,Mapping!$A$3:$A$13,0)),"(unmapped)")),IFERROR(INDEX(Mapping!$B$17:$B$22,MATCH($F3730,Mapping!$A$17:$A$22,0)),$F3730)&amp;" "&amp;IF($G3730="Banking","Banking",IFERROR(INDEX(Mapping!$E$17:$E$28,MATCH($J3730,Mapping!$D$17:$D$28,0)),"(unmapped)")))))</f>
        <v/>
      </c>
    </row>
    <row r="3731" spans="11:11" x14ac:dyDescent="0.3">
      <c r="K3731" t="str">
        <f>IF($D3731="","",IFERROR(INDEX(Mapping!$H$3:$H$32,MATCH($B3731,Mapping!$G$3:$G$32,0)),IF(LEFT($F3731,3)="P2P",IFERROR(INDEX(Mapping!$E$3:$E$6,MATCH($G3731,Mapping!$D$3:$D$6,0)),IFERROR(INDEX(Mapping!$B$3:$B$13,MATCH($J3731,Mapping!$A$3:$A$13,0)),"(unmapped)")),IFERROR(INDEX(Mapping!$B$17:$B$22,MATCH($F3731,Mapping!$A$17:$A$22,0)),$F3731)&amp;" "&amp;IF($G3731="Banking","Banking",IFERROR(INDEX(Mapping!$E$17:$E$28,MATCH($J3731,Mapping!$D$17:$D$28,0)),"(unmapped)")))))</f>
        <v/>
      </c>
    </row>
    <row r="3732" spans="11:11" x14ac:dyDescent="0.3">
      <c r="K3732" t="str">
        <f>IF($D3732="","",IFERROR(INDEX(Mapping!$H$3:$H$32,MATCH($B3732,Mapping!$G$3:$G$32,0)),IF(LEFT($F3732,3)="P2P",IFERROR(INDEX(Mapping!$E$3:$E$6,MATCH($G3732,Mapping!$D$3:$D$6,0)),IFERROR(INDEX(Mapping!$B$3:$B$13,MATCH($J3732,Mapping!$A$3:$A$13,0)),"(unmapped)")),IFERROR(INDEX(Mapping!$B$17:$B$22,MATCH($F3732,Mapping!$A$17:$A$22,0)),$F3732)&amp;" "&amp;IF($G3732="Banking","Banking",IFERROR(INDEX(Mapping!$E$17:$E$28,MATCH($J3732,Mapping!$D$17:$D$28,0)),"(unmapped)")))))</f>
        <v/>
      </c>
    </row>
    <row r="3733" spans="11:11" x14ac:dyDescent="0.3">
      <c r="K3733" t="str">
        <f>IF($D3733="","",IFERROR(INDEX(Mapping!$H$3:$H$32,MATCH($B3733,Mapping!$G$3:$G$32,0)),IF(LEFT($F3733,3)="P2P",IFERROR(INDEX(Mapping!$E$3:$E$6,MATCH($G3733,Mapping!$D$3:$D$6,0)),IFERROR(INDEX(Mapping!$B$3:$B$13,MATCH($J3733,Mapping!$A$3:$A$13,0)),"(unmapped)")),IFERROR(INDEX(Mapping!$B$17:$B$22,MATCH($F3733,Mapping!$A$17:$A$22,0)),$F3733)&amp;" "&amp;IF($G3733="Banking","Banking",IFERROR(INDEX(Mapping!$E$17:$E$28,MATCH($J3733,Mapping!$D$17:$D$28,0)),"(unmapped)")))))</f>
        <v/>
      </c>
    </row>
    <row r="3734" spans="11:11" x14ac:dyDescent="0.3">
      <c r="K3734" t="str">
        <f>IF($D3734="","",IFERROR(INDEX(Mapping!$H$3:$H$32,MATCH($B3734,Mapping!$G$3:$G$32,0)),IF(LEFT($F3734,3)="P2P",IFERROR(INDEX(Mapping!$E$3:$E$6,MATCH($G3734,Mapping!$D$3:$D$6,0)),IFERROR(INDEX(Mapping!$B$3:$B$13,MATCH($J3734,Mapping!$A$3:$A$13,0)),"(unmapped)")),IFERROR(INDEX(Mapping!$B$17:$B$22,MATCH($F3734,Mapping!$A$17:$A$22,0)),$F3734)&amp;" "&amp;IF($G3734="Banking","Banking",IFERROR(INDEX(Mapping!$E$17:$E$28,MATCH($J3734,Mapping!$D$17:$D$28,0)),"(unmapped)")))))</f>
        <v/>
      </c>
    </row>
    <row r="3735" spans="11:11" x14ac:dyDescent="0.3">
      <c r="K3735" t="str">
        <f>IF($D3735="","",IFERROR(INDEX(Mapping!$H$3:$H$32,MATCH($B3735,Mapping!$G$3:$G$32,0)),IF(LEFT($F3735,3)="P2P",IFERROR(INDEX(Mapping!$E$3:$E$6,MATCH($G3735,Mapping!$D$3:$D$6,0)),IFERROR(INDEX(Mapping!$B$3:$B$13,MATCH($J3735,Mapping!$A$3:$A$13,0)),"(unmapped)")),IFERROR(INDEX(Mapping!$B$17:$B$22,MATCH($F3735,Mapping!$A$17:$A$22,0)),$F3735)&amp;" "&amp;IF($G3735="Banking","Banking",IFERROR(INDEX(Mapping!$E$17:$E$28,MATCH($J3735,Mapping!$D$17:$D$28,0)),"(unmapped)")))))</f>
        <v/>
      </c>
    </row>
    <row r="3736" spans="11:11" x14ac:dyDescent="0.3">
      <c r="K3736" t="str">
        <f>IF($D3736="","",IFERROR(INDEX(Mapping!$H$3:$H$32,MATCH($B3736,Mapping!$G$3:$G$32,0)),IF(LEFT($F3736,3)="P2P",IFERROR(INDEX(Mapping!$E$3:$E$6,MATCH($G3736,Mapping!$D$3:$D$6,0)),IFERROR(INDEX(Mapping!$B$3:$B$13,MATCH($J3736,Mapping!$A$3:$A$13,0)),"(unmapped)")),IFERROR(INDEX(Mapping!$B$17:$B$22,MATCH($F3736,Mapping!$A$17:$A$22,0)),$F3736)&amp;" "&amp;IF($G3736="Banking","Banking",IFERROR(INDEX(Mapping!$E$17:$E$28,MATCH($J3736,Mapping!$D$17:$D$28,0)),"(unmapped)")))))</f>
        <v/>
      </c>
    </row>
    <row r="3737" spans="11:11" x14ac:dyDescent="0.3">
      <c r="K3737" t="str">
        <f>IF($D3737="","",IFERROR(INDEX(Mapping!$H$3:$H$32,MATCH($B3737,Mapping!$G$3:$G$32,0)),IF(LEFT($F3737,3)="P2P",IFERROR(INDEX(Mapping!$E$3:$E$6,MATCH($G3737,Mapping!$D$3:$D$6,0)),IFERROR(INDEX(Mapping!$B$3:$B$13,MATCH($J3737,Mapping!$A$3:$A$13,0)),"(unmapped)")),IFERROR(INDEX(Mapping!$B$17:$B$22,MATCH($F3737,Mapping!$A$17:$A$22,0)),$F3737)&amp;" "&amp;IF($G3737="Banking","Banking",IFERROR(INDEX(Mapping!$E$17:$E$28,MATCH($J3737,Mapping!$D$17:$D$28,0)),"(unmapped)")))))</f>
        <v/>
      </c>
    </row>
    <row r="3738" spans="11:11" x14ac:dyDescent="0.3">
      <c r="K3738" t="str">
        <f>IF($D3738="","",IFERROR(INDEX(Mapping!$H$3:$H$32,MATCH($B3738,Mapping!$G$3:$G$32,0)),IF(LEFT($F3738,3)="P2P",IFERROR(INDEX(Mapping!$E$3:$E$6,MATCH($G3738,Mapping!$D$3:$D$6,0)),IFERROR(INDEX(Mapping!$B$3:$B$13,MATCH($J3738,Mapping!$A$3:$A$13,0)),"(unmapped)")),IFERROR(INDEX(Mapping!$B$17:$B$22,MATCH($F3738,Mapping!$A$17:$A$22,0)),$F3738)&amp;" "&amp;IF($G3738="Banking","Banking",IFERROR(INDEX(Mapping!$E$17:$E$28,MATCH($J3738,Mapping!$D$17:$D$28,0)),"(unmapped)")))))</f>
        <v/>
      </c>
    </row>
    <row r="3739" spans="11:11" x14ac:dyDescent="0.3">
      <c r="K3739" t="str">
        <f>IF($D3739="","",IFERROR(INDEX(Mapping!$H$3:$H$32,MATCH($B3739,Mapping!$G$3:$G$32,0)),IF(LEFT($F3739,3)="P2P",IFERROR(INDEX(Mapping!$E$3:$E$6,MATCH($G3739,Mapping!$D$3:$D$6,0)),IFERROR(INDEX(Mapping!$B$3:$B$13,MATCH($J3739,Mapping!$A$3:$A$13,0)),"(unmapped)")),IFERROR(INDEX(Mapping!$B$17:$B$22,MATCH($F3739,Mapping!$A$17:$A$22,0)),$F3739)&amp;" "&amp;IF($G3739="Banking","Banking",IFERROR(INDEX(Mapping!$E$17:$E$28,MATCH($J3739,Mapping!$D$17:$D$28,0)),"(unmapped)")))))</f>
        <v/>
      </c>
    </row>
    <row r="3740" spans="11:11" x14ac:dyDescent="0.3">
      <c r="K3740" t="str">
        <f>IF($D3740="","",IFERROR(INDEX(Mapping!$H$3:$H$32,MATCH($B3740,Mapping!$G$3:$G$32,0)),IF(LEFT($F3740,3)="P2P",IFERROR(INDEX(Mapping!$E$3:$E$6,MATCH($G3740,Mapping!$D$3:$D$6,0)),IFERROR(INDEX(Mapping!$B$3:$B$13,MATCH($J3740,Mapping!$A$3:$A$13,0)),"(unmapped)")),IFERROR(INDEX(Mapping!$B$17:$B$22,MATCH($F3740,Mapping!$A$17:$A$22,0)),$F3740)&amp;" "&amp;IF($G3740="Banking","Banking",IFERROR(INDEX(Mapping!$E$17:$E$28,MATCH($J3740,Mapping!$D$17:$D$28,0)),"(unmapped)")))))</f>
        <v/>
      </c>
    </row>
    <row r="3741" spans="11:11" x14ac:dyDescent="0.3">
      <c r="K3741" t="str">
        <f>IF($D3741="","",IFERROR(INDEX(Mapping!$H$3:$H$32,MATCH($B3741,Mapping!$G$3:$G$32,0)),IF(LEFT($F3741,3)="P2P",IFERROR(INDEX(Mapping!$E$3:$E$6,MATCH($G3741,Mapping!$D$3:$D$6,0)),IFERROR(INDEX(Mapping!$B$3:$B$13,MATCH($J3741,Mapping!$A$3:$A$13,0)),"(unmapped)")),IFERROR(INDEX(Mapping!$B$17:$B$22,MATCH($F3741,Mapping!$A$17:$A$22,0)),$F3741)&amp;" "&amp;IF($G3741="Banking","Banking",IFERROR(INDEX(Mapping!$E$17:$E$28,MATCH($J3741,Mapping!$D$17:$D$28,0)),"(unmapped)")))))</f>
        <v/>
      </c>
    </row>
    <row r="3742" spans="11:11" x14ac:dyDescent="0.3">
      <c r="K3742" t="str">
        <f>IF($D3742="","",IFERROR(INDEX(Mapping!$H$3:$H$32,MATCH($B3742,Mapping!$G$3:$G$32,0)),IF(LEFT($F3742,3)="P2P",IFERROR(INDEX(Mapping!$E$3:$E$6,MATCH($G3742,Mapping!$D$3:$D$6,0)),IFERROR(INDEX(Mapping!$B$3:$B$13,MATCH($J3742,Mapping!$A$3:$A$13,0)),"(unmapped)")),IFERROR(INDEX(Mapping!$B$17:$B$22,MATCH($F3742,Mapping!$A$17:$A$22,0)),$F3742)&amp;" "&amp;IF($G3742="Banking","Banking",IFERROR(INDEX(Mapping!$E$17:$E$28,MATCH($J3742,Mapping!$D$17:$D$28,0)),"(unmapped)")))))</f>
        <v/>
      </c>
    </row>
    <row r="3743" spans="11:11" x14ac:dyDescent="0.3">
      <c r="K3743" t="str">
        <f>IF($D3743="","",IFERROR(INDEX(Mapping!$H$3:$H$32,MATCH($B3743,Mapping!$G$3:$G$32,0)),IF(LEFT($F3743,3)="P2P",IFERROR(INDEX(Mapping!$E$3:$E$6,MATCH($G3743,Mapping!$D$3:$D$6,0)),IFERROR(INDEX(Mapping!$B$3:$B$13,MATCH($J3743,Mapping!$A$3:$A$13,0)),"(unmapped)")),IFERROR(INDEX(Mapping!$B$17:$B$22,MATCH($F3743,Mapping!$A$17:$A$22,0)),$F3743)&amp;" "&amp;IF($G3743="Banking","Banking",IFERROR(INDEX(Mapping!$E$17:$E$28,MATCH($J3743,Mapping!$D$17:$D$28,0)),"(unmapped)")))))</f>
        <v/>
      </c>
    </row>
    <row r="3744" spans="11:11" x14ac:dyDescent="0.3">
      <c r="K3744" t="str">
        <f>IF($D3744="","",IFERROR(INDEX(Mapping!$H$3:$H$32,MATCH($B3744,Mapping!$G$3:$G$32,0)),IF(LEFT($F3744,3)="P2P",IFERROR(INDEX(Mapping!$E$3:$E$6,MATCH($G3744,Mapping!$D$3:$D$6,0)),IFERROR(INDEX(Mapping!$B$3:$B$13,MATCH($J3744,Mapping!$A$3:$A$13,0)),"(unmapped)")),IFERROR(INDEX(Mapping!$B$17:$B$22,MATCH($F3744,Mapping!$A$17:$A$22,0)),$F3744)&amp;" "&amp;IF($G3744="Banking","Banking",IFERROR(INDEX(Mapping!$E$17:$E$28,MATCH($J3744,Mapping!$D$17:$D$28,0)),"(unmapped)")))))</f>
        <v/>
      </c>
    </row>
    <row r="3745" spans="11:11" x14ac:dyDescent="0.3">
      <c r="K3745" t="str">
        <f>IF($D3745="","",IFERROR(INDEX(Mapping!$H$3:$H$32,MATCH($B3745,Mapping!$G$3:$G$32,0)),IF(LEFT($F3745,3)="P2P",IFERROR(INDEX(Mapping!$E$3:$E$6,MATCH($G3745,Mapping!$D$3:$D$6,0)),IFERROR(INDEX(Mapping!$B$3:$B$13,MATCH($J3745,Mapping!$A$3:$A$13,0)),"(unmapped)")),IFERROR(INDEX(Mapping!$B$17:$B$22,MATCH($F3745,Mapping!$A$17:$A$22,0)),$F3745)&amp;" "&amp;IF($G3745="Banking","Banking",IFERROR(INDEX(Mapping!$E$17:$E$28,MATCH($J3745,Mapping!$D$17:$D$28,0)),"(unmapped)")))))</f>
        <v/>
      </c>
    </row>
    <row r="3746" spans="11:11" x14ac:dyDescent="0.3">
      <c r="K3746" t="str">
        <f>IF($D3746="","",IFERROR(INDEX(Mapping!$H$3:$H$32,MATCH($B3746,Mapping!$G$3:$G$32,0)),IF(LEFT($F3746,3)="P2P",IFERROR(INDEX(Mapping!$E$3:$E$6,MATCH($G3746,Mapping!$D$3:$D$6,0)),IFERROR(INDEX(Mapping!$B$3:$B$13,MATCH($J3746,Mapping!$A$3:$A$13,0)),"(unmapped)")),IFERROR(INDEX(Mapping!$B$17:$B$22,MATCH($F3746,Mapping!$A$17:$A$22,0)),$F3746)&amp;" "&amp;IF($G3746="Banking","Banking",IFERROR(INDEX(Mapping!$E$17:$E$28,MATCH($J3746,Mapping!$D$17:$D$28,0)),"(unmapped)")))))</f>
        <v/>
      </c>
    </row>
    <row r="3747" spans="11:11" x14ac:dyDescent="0.3">
      <c r="K3747" t="str">
        <f>IF($D3747="","",IFERROR(INDEX(Mapping!$H$3:$H$32,MATCH($B3747,Mapping!$G$3:$G$32,0)),IF(LEFT($F3747,3)="P2P",IFERROR(INDEX(Mapping!$E$3:$E$6,MATCH($G3747,Mapping!$D$3:$D$6,0)),IFERROR(INDEX(Mapping!$B$3:$B$13,MATCH($J3747,Mapping!$A$3:$A$13,0)),"(unmapped)")),IFERROR(INDEX(Mapping!$B$17:$B$22,MATCH($F3747,Mapping!$A$17:$A$22,0)),$F3747)&amp;" "&amp;IF($G3747="Banking","Banking",IFERROR(INDEX(Mapping!$E$17:$E$28,MATCH($J3747,Mapping!$D$17:$D$28,0)),"(unmapped)")))))</f>
        <v/>
      </c>
    </row>
    <row r="3748" spans="11:11" x14ac:dyDescent="0.3">
      <c r="K3748" t="str">
        <f>IF($D3748="","",IFERROR(INDEX(Mapping!$H$3:$H$32,MATCH($B3748,Mapping!$G$3:$G$32,0)),IF(LEFT($F3748,3)="P2P",IFERROR(INDEX(Mapping!$E$3:$E$6,MATCH($G3748,Mapping!$D$3:$D$6,0)),IFERROR(INDEX(Mapping!$B$3:$B$13,MATCH($J3748,Mapping!$A$3:$A$13,0)),"(unmapped)")),IFERROR(INDEX(Mapping!$B$17:$B$22,MATCH($F3748,Mapping!$A$17:$A$22,0)),$F3748)&amp;" "&amp;IF($G3748="Banking","Banking",IFERROR(INDEX(Mapping!$E$17:$E$28,MATCH($J3748,Mapping!$D$17:$D$28,0)),"(unmapped)")))))</f>
        <v/>
      </c>
    </row>
    <row r="3749" spans="11:11" x14ac:dyDescent="0.3">
      <c r="K3749" t="str">
        <f>IF($D3749="","",IFERROR(INDEX(Mapping!$H$3:$H$32,MATCH($B3749,Mapping!$G$3:$G$32,0)),IF(LEFT($F3749,3)="P2P",IFERROR(INDEX(Mapping!$E$3:$E$6,MATCH($G3749,Mapping!$D$3:$D$6,0)),IFERROR(INDEX(Mapping!$B$3:$B$13,MATCH($J3749,Mapping!$A$3:$A$13,0)),"(unmapped)")),IFERROR(INDEX(Mapping!$B$17:$B$22,MATCH($F3749,Mapping!$A$17:$A$22,0)),$F3749)&amp;" "&amp;IF($G3749="Banking","Banking",IFERROR(INDEX(Mapping!$E$17:$E$28,MATCH($J3749,Mapping!$D$17:$D$28,0)),"(unmapped)")))))</f>
        <v/>
      </c>
    </row>
    <row r="3750" spans="11:11" x14ac:dyDescent="0.3">
      <c r="K3750" t="str">
        <f>IF($D3750="","",IFERROR(INDEX(Mapping!$H$3:$H$32,MATCH($B3750,Mapping!$G$3:$G$32,0)),IF(LEFT($F3750,3)="P2P",IFERROR(INDEX(Mapping!$E$3:$E$6,MATCH($G3750,Mapping!$D$3:$D$6,0)),IFERROR(INDEX(Mapping!$B$3:$B$13,MATCH($J3750,Mapping!$A$3:$A$13,0)),"(unmapped)")),IFERROR(INDEX(Mapping!$B$17:$B$22,MATCH($F3750,Mapping!$A$17:$A$22,0)),$F3750)&amp;" "&amp;IF($G3750="Banking","Banking",IFERROR(INDEX(Mapping!$E$17:$E$28,MATCH($J3750,Mapping!$D$17:$D$28,0)),"(unmapped)")))))</f>
        <v/>
      </c>
    </row>
    <row r="3751" spans="11:11" x14ac:dyDescent="0.3">
      <c r="K3751" t="str">
        <f>IF($D3751="","",IFERROR(INDEX(Mapping!$H$3:$H$32,MATCH($B3751,Mapping!$G$3:$G$32,0)),IF(LEFT($F3751,3)="P2P",IFERROR(INDEX(Mapping!$E$3:$E$6,MATCH($G3751,Mapping!$D$3:$D$6,0)),IFERROR(INDEX(Mapping!$B$3:$B$13,MATCH($J3751,Mapping!$A$3:$A$13,0)),"(unmapped)")),IFERROR(INDEX(Mapping!$B$17:$B$22,MATCH($F3751,Mapping!$A$17:$A$22,0)),$F3751)&amp;" "&amp;IF($G3751="Banking","Banking",IFERROR(INDEX(Mapping!$E$17:$E$28,MATCH($J3751,Mapping!$D$17:$D$28,0)),"(unmapped)")))))</f>
        <v/>
      </c>
    </row>
    <row r="3752" spans="11:11" x14ac:dyDescent="0.3">
      <c r="K3752" t="str">
        <f>IF($D3752="","",IFERROR(INDEX(Mapping!$H$3:$H$32,MATCH($B3752,Mapping!$G$3:$G$32,0)),IF(LEFT($F3752,3)="P2P",IFERROR(INDEX(Mapping!$E$3:$E$6,MATCH($G3752,Mapping!$D$3:$D$6,0)),IFERROR(INDEX(Mapping!$B$3:$B$13,MATCH($J3752,Mapping!$A$3:$A$13,0)),"(unmapped)")),IFERROR(INDEX(Mapping!$B$17:$B$22,MATCH($F3752,Mapping!$A$17:$A$22,0)),$F3752)&amp;" "&amp;IF($G3752="Banking","Banking",IFERROR(INDEX(Mapping!$E$17:$E$28,MATCH($J3752,Mapping!$D$17:$D$28,0)),"(unmapped)")))))</f>
        <v/>
      </c>
    </row>
    <row r="3753" spans="11:11" x14ac:dyDescent="0.3">
      <c r="K3753" t="str">
        <f>IF($D3753="","",IFERROR(INDEX(Mapping!$H$3:$H$32,MATCH($B3753,Mapping!$G$3:$G$32,0)),IF(LEFT($F3753,3)="P2P",IFERROR(INDEX(Mapping!$E$3:$E$6,MATCH($G3753,Mapping!$D$3:$D$6,0)),IFERROR(INDEX(Mapping!$B$3:$B$13,MATCH($J3753,Mapping!$A$3:$A$13,0)),"(unmapped)")),IFERROR(INDEX(Mapping!$B$17:$B$22,MATCH($F3753,Mapping!$A$17:$A$22,0)),$F3753)&amp;" "&amp;IF($G3753="Banking","Banking",IFERROR(INDEX(Mapping!$E$17:$E$28,MATCH($J3753,Mapping!$D$17:$D$28,0)),"(unmapped)")))))</f>
        <v/>
      </c>
    </row>
    <row r="3754" spans="11:11" x14ac:dyDescent="0.3">
      <c r="K3754" t="str">
        <f>IF($D3754="","",IFERROR(INDEX(Mapping!$H$3:$H$32,MATCH($B3754,Mapping!$G$3:$G$32,0)),IF(LEFT($F3754,3)="P2P",IFERROR(INDEX(Mapping!$E$3:$E$6,MATCH($G3754,Mapping!$D$3:$D$6,0)),IFERROR(INDEX(Mapping!$B$3:$B$13,MATCH($J3754,Mapping!$A$3:$A$13,0)),"(unmapped)")),IFERROR(INDEX(Mapping!$B$17:$B$22,MATCH($F3754,Mapping!$A$17:$A$22,0)),$F3754)&amp;" "&amp;IF($G3754="Banking","Banking",IFERROR(INDEX(Mapping!$E$17:$E$28,MATCH($J3754,Mapping!$D$17:$D$28,0)),"(unmapped)")))))</f>
        <v/>
      </c>
    </row>
    <row r="3755" spans="11:11" x14ac:dyDescent="0.3">
      <c r="K3755" t="str">
        <f>IF($D3755="","",IFERROR(INDEX(Mapping!$H$3:$H$32,MATCH($B3755,Mapping!$G$3:$G$32,0)),IF(LEFT($F3755,3)="P2P",IFERROR(INDEX(Mapping!$E$3:$E$6,MATCH($G3755,Mapping!$D$3:$D$6,0)),IFERROR(INDEX(Mapping!$B$3:$B$13,MATCH($J3755,Mapping!$A$3:$A$13,0)),"(unmapped)")),IFERROR(INDEX(Mapping!$B$17:$B$22,MATCH($F3755,Mapping!$A$17:$A$22,0)),$F3755)&amp;" "&amp;IF($G3755="Banking","Banking",IFERROR(INDEX(Mapping!$E$17:$E$28,MATCH($J3755,Mapping!$D$17:$D$28,0)),"(unmapped)")))))</f>
        <v/>
      </c>
    </row>
    <row r="3756" spans="11:11" x14ac:dyDescent="0.3">
      <c r="K3756" t="str">
        <f>IF($D3756="","",IFERROR(INDEX(Mapping!$H$3:$H$32,MATCH($B3756,Mapping!$G$3:$G$32,0)),IF(LEFT($F3756,3)="P2P",IFERROR(INDEX(Mapping!$E$3:$E$6,MATCH($G3756,Mapping!$D$3:$D$6,0)),IFERROR(INDEX(Mapping!$B$3:$B$13,MATCH($J3756,Mapping!$A$3:$A$13,0)),"(unmapped)")),IFERROR(INDEX(Mapping!$B$17:$B$22,MATCH($F3756,Mapping!$A$17:$A$22,0)),$F3756)&amp;" "&amp;IF($G3756="Banking","Banking",IFERROR(INDEX(Mapping!$E$17:$E$28,MATCH($J3756,Mapping!$D$17:$D$28,0)),"(unmapped)")))))</f>
        <v/>
      </c>
    </row>
    <row r="3757" spans="11:11" x14ac:dyDescent="0.3">
      <c r="K3757" t="str">
        <f>IF($D3757="","",IFERROR(INDEX(Mapping!$H$3:$H$32,MATCH($B3757,Mapping!$G$3:$G$32,0)),IF(LEFT($F3757,3)="P2P",IFERROR(INDEX(Mapping!$E$3:$E$6,MATCH($G3757,Mapping!$D$3:$D$6,0)),IFERROR(INDEX(Mapping!$B$3:$B$13,MATCH($J3757,Mapping!$A$3:$A$13,0)),"(unmapped)")),IFERROR(INDEX(Mapping!$B$17:$B$22,MATCH($F3757,Mapping!$A$17:$A$22,0)),$F3757)&amp;" "&amp;IF($G3757="Banking","Banking",IFERROR(INDEX(Mapping!$E$17:$E$28,MATCH($J3757,Mapping!$D$17:$D$28,0)),"(unmapped)")))))</f>
        <v/>
      </c>
    </row>
    <row r="3758" spans="11:11" x14ac:dyDescent="0.3">
      <c r="K3758" t="str">
        <f>IF($D3758="","",IFERROR(INDEX(Mapping!$H$3:$H$32,MATCH($B3758,Mapping!$G$3:$G$32,0)),IF(LEFT($F3758,3)="P2P",IFERROR(INDEX(Mapping!$E$3:$E$6,MATCH($G3758,Mapping!$D$3:$D$6,0)),IFERROR(INDEX(Mapping!$B$3:$B$13,MATCH($J3758,Mapping!$A$3:$A$13,0)),"(unmapped)")),IFERROR(INDEX(Mapping!$B$17:$B$22,MATCH($F3758,Mapping!$A$17:$A$22,0)),$F3758)&amp;" "&amp;IF($G3758="Banking","Banking",IFERROR(INDEX(Mapping!$E$17:$E$28,MATCH($J3758,Mapping!$D$17:$D$28,0)),"(unmapped)")))))</f>
        <v/>
      </c>
    </row>
    <row r="3759" spans="11:11" x14ac:dyDescent="0.3">
      <c r="K3759" t="str">
        <f>IF($D3759="","",IFERROR(INDEX(Mapping!$H$3:$H$32,MATCH($B3759,Mapping!$G$3:$G$32,0)),IF(LEFT($F3759,3)="P2P",IFERROR(INDEX(Mapping!$E$3:$E$6,MATCH($G3759,Mapping!$D$3:$D$6,0)),IFERROR(INDEX(Mapping!$B$3:$B$13,MATCH($J3759,Mapping!$A$3:$A$13,0)),"(unmapped)")),IFERROR(INDEX(Mapping!$B$17:$B$22,MATCH($F3759,Mapping!$A$17:$A$22,0)),$F3759)&amp;" "&amp;IF($G3759="Banking","Banking",IFERROR(INDEX(Mapping!$E$17:$E$28,MATCH($J3759,Mapping!$D$17:$D$28,0)),"(unmapped)")))))</f>
        <v/>
      </c>
    </row>
    <row r="3760" spans="11:11" x14ac:dyDescent="0.3">
      <c r="K3760" t="str">
        <f>IF($D3760="","",IFERROR(INDEX(Mapping!$H$3:$H$32,MATCH($B3760,Mapping!$G$3:$G$32,0)),IF(LEFT($F3760,3)="P2P",IFERROR(INDEX(Mapping!$E$3:$E$6,MATCH($G3760,Mapping!$D$3:$D$6,0)),IFERROR(INDEX(Mapping!$B$3:$B$13,MATCH($J3760,Mapping!$A$3:$A$13,0)),"(unmapped)")),IFERROR(INDEX(Mapping!$B$17:$B$22,MATCH($F3760,Mapping!$A$17:$A$22,0)),$F3760)&amp;" "&amp;IF($G3760="Banking","Banking",IFERROR(INDEX(Mapping!$E$17:$E$28,MATCH($J3760,Mapping!$D$17:$D$28,0)),"(unmapped)")))))</f>
        <v/>
      </c>
    </row>
    <row r="3761" spans="11:11" x14ac:dyDescent="0.3">
      <c r="K3761" t="str">
        <f>IF($D3761="","",IFERROR(INDEX(Mapping!$H$3:$H$32,MATCH($B3761,Mapping!$G$3:$G$32,0)),IF(LEFT($F3761,3)="P2P",IFERROR(INDEX(Mapping!$E$3:$E$6,MATCH($G3761,Mapping!$D$3:$D$6,0)),IFERROR(INDEX(Mapping!$B$3:$B$13,MATCH($J3761,Mapping!$A$3:$A$13,0)),"(unmapped)")),IFERROR(INDEX(Mapping!$B$17:$B$22,MATCH($F3761,Mapping!$A$17:$A$22,0)),$F3761)&amp;" "&amp;IF($G3761="Banking","Banking",IFERROR(INDEX(Mapping!$E$17:$E$28,MATCH($J3761,Mapping!$D$17:$D$28,0)),"(unmapped)")))))</f>
        <v/>
      </c>
    </row>
    <row r="3762" spans="11:11" x14ac:dyDescent="0.3">
      <c r="K3762" t="str">
        <f>IF($D3762="","",IFERROR(INDEX(Mapping!$H$3:$H$32,MATCH($B3762,Mapping!$G$3:$G$32,0)),IF(LEFT($F3762,3)="P2P",IFERROR(INDEX(Mapping!$E$3:$E$6,MATCH($G3762,Mapping!$D$3:$D$6,0)),IFERROR(INDEX(Mapping!$B$3:$B$13,MATCH($J3762,Mapping!$A$3:$A$13,0)),"(unmapped)")),IFERROR(INDEX(Mapping!$B$17:$B$22,MATCH($F3762,Mapping!$A$17:$A$22,0)),$F3762)&amp;" "&amp;IF($G3762="Banking","Banking",IFERROR(INDEX(Mapping!$E$17:$E$28,MATCH($J3762,Mapping!$D$17:$D$28,0)),"(unmapped)")))))</f>
        <v/>
      </c>
    </row>
    <row r="3763" spans="11:11" x14ac:dyDescent="0.3">
      <c r="K3763" t="str">
        <f>IF($D3763="","",IFERROR(INDEX(Mapping!$H$3:$H$32,MATCH($B3763,Mapping!$G$3:$G$32,0)),IF(LEFT($F3763,3)="P2P",IFERROR(INDEX(Mapping!$E$3:$E$6,MATCH($G3763,Mapping!$D$3:$D$6,0)),IFERROR(INDEX(Mapping!$B$3:$B$13,MATCH($J3763,Mapping!$A$3:$A$13,0)),"(unmapped)")),IFERROR(INDEX(Mapping!$B$17:$B$22,MATCH($F3763,Mapping!$A$17:$A$22,0)),$F3763)&amp;" "&amp;IF($G3763="Banking","Banking",IFERROR(INDEX(Mapping!$E$17:$E$28,MATCH($J3763,Mapping!$D$17:$D$28,0)),"(unmapped)")))))</f>
        <v/>
      </c>
    </row>
    <row r="3764" spans="11:11" x14ac:dyDescent="0.3">
      <c r="K3764" t="str">
        <f>IF($D3764="","",IFERROR(INDEX(Mapping!$H$3:$H$32,MATCH($B3764,Mapping!$G$3:$G$32,0)),IF(LEFT($F3764,3)="P2P",IFERROR(INDEX(Mapping!$E$3:$E$6,MATCH($G3764,Mapping!$D$3:$D$6,0)),IFERROR(INDEX(Mapping!$B$3:$B$13,MATCH($J3764,Mapping!$A$3:$A$13,0)),"(unmapped)")),IFERROR(INDEX(Mapping!$B$17:$B$22,MATCH($F3764,Mapping!$A$17:$A$22,0)),$F3764)&amp;" "&amp;IF($G3764="Banking","Banking",IFERROR(INDEX(Mapping!$E$17:$E$28,MATCH($J3764,Mapping!$D$17:$D$28,0)),"(unmapped)")))))</f>
        <v/>
      </c>
    </row>
    <row r="3765" spans="11:11" x14ac:dyDescent="0.3">
      <c r="K3765" t="str">
        <f>IF($D3765="","",IFERROR(INDEX(Mapping!$H$3:$H$32,MATCH($B3765,Mapping!$G$3:$G$32,0)),IF(LEFT($F3765,3)="P2P",IFERROR(INDEX(Mapping!$E$3:$E$6,MATCH($G3765,Mapping!$D$3:$D$6,0)),IFERROR(INDEX(Mapping!$B$3:$B$13,MATCH($J3765,Mapping!$A$3:$A$13,0)),"(unmapped)")),IFERROR(INDEX(Mapping!$B$17:$B$22,MATCH($F3765,Mapping!$A$17:$A$22,0)),$F3765)&amp;" "&amp;IF($G3765="Banking","Banking",IFERROR(INDEX(Mapping!$E$17:$E$28,MATCH($J3765,Mapping!$D$17:$D$28,0)),"(unmapped)")))))</f>
        <v/>
      </c>
    </row>
    <row r="3766" spans="11:11" x14ac:dyDescent="0.3">
      <c r="K3766" t="str">
        <f>IF($D3766="","",IFERROR(INDEX(Mapping!$H$3:$H$32,MATCH($B3766,Mapping!$G$3:$G$32,0)),IF(LEFT($F3766,3)="P2P",IFERROR(INDEX(Mapping!$E$3:$E$6,MATCH($G3766,Mapping!$D$3:$D$6,0)),IFERROR(INDEX(Mapping!$B$3:$B$13,MATCH($J3766,Mapping!$A$3:$A$13,0)),"(unmapped)")),IFERROR(INDEX(Mapping!$B$17:$B$22,MATCH($F3766,Mapping!$A$17:$A$22,0)),$F3766)&amp;" "&amp;IF($G3766="Banking","Banking",IFERROR(INDEX(Mapping!$E$17:$E$28,MATCH($J3766,Mapping!$D$17:$D$28,0)),"(unmapped)")))))</f>
        <v/>
      </c>
    </row>
    <row r="3767" spans="11:11" x14ac:dyDescent="0.3">
      <c r="K3767" t="str">
        <f>IF($D3767="","",IFERROR(INDEX(Mapping!$H$3:$H$32,MATCH($B3767,Mapping!$G$3:$G$32,0)),IF(LEFT($F3767,3)="P2P",IFERROR(INDEX(Mapping!$E$3:$E$6,MATCH($G3767,Mapping!$D$3:$D$6,0)),IFERROR(INDEX(Mapping!$B$3:$B$13,MATCH($J3767,Mapping!$A$3:$A$13,0)),"(unmapped)")),IFERROR(INDEX(Mapping!$B$17:$B$22,MATCH($F3767,Mapping!$A$17:$A$22,0)),$F3767)&amp;" "&amp;IF($G3767="Banking","Banking",IFERROR(INDEX(Mapping!$E$17:$E$28,MATCH($J3767,Mapping!$D$17:$D$28,0)),"(unmapped)")))))</f>
        <v/>
      </c>
    </row>
    <row r="3768" spans="11:11" x14ac:dyDescent="0.3">
      <c r="K3768" t="str">
        <f>IF($D3768="","",IFERROR(INDEX(Mapping!$H$3:$H$32,MATCH($B3768,Mapping!$G$3:$G$32,0)),IF(LEFT($F3768,3)="P2P",IFERROR(INDEX(Mapping!$E$3:$E$6,MATCH($G3768,Mapping!$D$3:$D$6,0)),IFERROR(INDEX(Mapping!$B$3:$B$13,MATCH($J3768,Mapping!$A$3:$A$13,0)),"(unmapped)")),IFERROR(INDEX(Mapping!$B$17:$B$22,MATCH($F3768,Mapping!$A$17:$A$22,0)),$F3768)&amp;" "&amp;IF($G3768="Banking","Banking",IFERROR(INDEX(Mapping!$E$17:$E$28,MATCH($J3768,Mapping!$D$17:$D$28,0)),"(unmapped)")))))</f>
        <v/>
      </c>
    </row>
    <row r="3769" spans="11:11" x14ac:dyDescent="0.3">
      <c r="K3769" t="str">
        <f>IF($D3769="","",IFERROR(INDEX(Mapping!$H$3:$H$32,MATCH($B3769,Mapping!$G$3:$G$32,0)),IF(LEFT($F3769,3)="P2P",IFERROR(INDEX(Mapping!$E$3:$E$6,MATCH($G3769,Mapping!$D$3:$D$6,0)),IFERROR(INDEX(Mapping!$B$3:$B$13,MATCH($J3769,Mapping!$A$3:$A$13,0)),"(unmapped)")),IFERROR(INDEX(Mapping!$B$17:$B$22,MATCH($F3769,Mapping!$A$17:$A$22,0)),$F3769)&amp;" "&amp;IF($G3769="Banking","Banking",IFERROR(INDEX(Mapping!$E$17:$E$28,MATCH($J3769,Mapping!$D$17:$D$28,0)),"(unmapped)")))))</f>
        <v/>
      </c>
    </row>
    <row r="3770" spans="11:11" x14ac:dyDescent="0.3">
      <c r="K3770" t="str">
        <f>IF($D3770="","",IFERROR(INDEX(Mapping!$H$3:$H$32,MATCH($B3770,Mapping!$G$3:$G$32,0)),IF(LEFT($F3770,3)="P2P",IFERROR(INDEX(Mapping!$E$3:$E$6,MATCH($G3770,Mapping!$D$3:$D$6,0)),IFERROR(INDEX(Mapping!$B$3:$B$13,MATCH($J3770,Mapping!$A$3:$A$13,0)),"(unmapped)")),IFERROR(INDEX(Mapping!$B$17:$B$22,MATCH($F3770,Mapping!$A$17:$A$22,0)),$F3770)&amp;" "&amp;IF($G3770="Banking","Banking",IFERROR(INDEX(Mapping!$E$17:$E$28,MATCH($J3770,Mapping!$D$17:$D$28,0)),"(unmapped)")))))</f>
        <v/>
      </c>
    </row>
    <row r="3771" spans="11:11" x14ac:dyDescent="0.3">
      <c r="K3771" t="str">
        <f>IF($D3771="","",IFERROR(INDEX(Mapping!$H$3:$H$32,MATCH($B3771,Mapping!$G$3:$G$32,0)),IF(LEFT($F3771,3)="P2P",IFERROR(INDEX(Mapping!$E$3:$E$6,MATCH($G3771,Mapping!$D$3:$D$6,0)),IFERROR(INDEX(Mapping!$B$3:$B$13,MATCH($J3771,Mapping!$A$3:$A$13,0)),"(unmapped)")),IFERROR(INDEX(Mapping!$B$17:$B$22,MATCH($F3771,Mapping!$A$17:$A$22,0)),$F3771)&amp;" "&amp;IF($G3771="Banking","Banking",IFERROR(INDEX(Mapping!$E$17:$E$28,MATCH($J3771,Mapping!$D$17:$D$28,0)),"(unmapped)")))))</f>
        <v/>
      </c>
    </row>
    <row r="3772" spans="11:11" x14ac:dyDescent="0.3">
      <c r="K3772" t="str">
        <f>IF($D3772="","",IFERROR(INDEX(Mapping!$H$3:$H$32,MATCH($B3772,Mapping!$G$3:$G$32,0)),IF(LEFT($F3772,3)="P2P",IFERROR(INDEX(Mapping!$E$3:$E$6,MATCH($G3772,Mapping!$D$3:$D$6,0)),IFERROR(INDEX(Mapping!$B$3:$B$13,MATCH($J3772,Mapping!$A$3:$A$13,0)),"(unmapped)")),IFERROR(INDEX(Mapping!$B$17:$B$22,MATCH($F3772,Mapping!$A$17:$A$22,0)),$F3772)&amp;" "&amp;IF($G3772="Banking","Banking",IFERROR(INDEX(Mapping!$E$17:$E$28,MATCH($J3772,Mapping!$D$17:$D$28,0)),"(unmapped)")))))</f>
        <v/>
      </c>
    </row>
    <row r="3773" spans="11:11" x14ac:dyDescent="0.3">
      <c r="K3773" t="str">
        <f>IF($D3773="","",IFERROR(INDEX(Mapping!$H$3:$H$32,MATCH($B3773,Mapping!$G$3:$G$32,0)),IF(LEFT($F3773,3)="P2P",IFERROR(INDEX(Mapping!$E$3:$E$6,MATCH($G3773,Mapping!$D$3:$D$6,0)),IFERROR(INDEX(Mapping!$B$3:$B$13,MATCH($J3773,Mapping!$A$3:$A$13,0)),"(unmapped)")),IFERROR(INDEX(Mapping!$B$17:$B$22,MATCH($F3773,Mapping!$A$17:$A$22,0)),$F3773)&amp;" "&amp;IF($G3773="Banking","Banking",IFERROR(INDEX(Mapping!$E$17:$E$28,MATCH($J3773,Mapping!$D$17:$D$28,0)),"(unmapped)")))))</f>
        <v/>
      </c>
    </row>
    <row r="3774" spans="11:11" x14ac:dyDescent="0.3">
      <c r="K3774" t="str">
        <f>IF($D3774="","",IFERROR(INDEX(Mapping!$H$3:$H$32,MATCH($B3774,Mapping!$G$3:$G$32,0)),IF(LEFT($F3774,3)="P2P",IFERROR(INDEX(Mapping!$E$3:$E$6,MATCH($G3774,Mapping!$D$3:$D$6,0)),IFERROR(INDEX(Mapping!$B$3:$B$13,MATCH($J3774,Mapping!$A$3:$A$13,0)),"(unmapped)")),IFERROR(INDEX(Mapping!$B$17:$B$22,MATCH($F3774,Mapping!$A$17:$A$22,0)),$F3774)&amp;" "&amp;IF($G3774="Banking","Banking",IFERROR(INDEX(Mapping!$E$17:$E$28,MATCH($J3774,Mapping!$D$17:$D$28,0)),"(unmapped)")))))</f>
        <v/>
      </c>
    </row>
    <row r="3775" spans="11:11" x14ac:dyDescent="0.3">
      <c r="K3775" t="str">
        <f>IF($D3775="","",IFERROR(INDEX(Mapping!$H$3:$H$32,MATCH($B3775,Mapping!$G$3:$G$32,0)),IF(LEFT($F3775,3)="P2P",IFERROR(INDEX(Mapping!$E$3:$E$6,MATCH($G3775,Mapping!$D$3:$D$6,0)),IFERROR(INDEX(Mapping!$B$3:$B$13,MATCH($J3775,Mapping!$A$3:$A$13,0)),"(unmapped)")),IFERROR(INDEX(Mapping!$B$17:$B$22,MATCH($F3775,Mapping!$A$17:$A$22,0)),$F3775)&amp;" "&amp;IF($G3775="Banking","Banking",IFERROR(INDEX(Mapping!$E$17:$E$28,MATCH($J3775,Mapping!$D$17:$D$28,0)),"(unmapped)")))))</f>
        <v/>
      </c>
    </row>
    <row r="3776" spans="11:11" x14ac:dyDescent="0.3">
      <c r="K3776" t="str">
        <f>IF($D3776="","",IFERROR(INDEX(Mapping!$H$3:$H$32,MATCH($B3776,Mapping!$G$3:$G$32,0)),IF(LEFT($F3776,3)="P2P",IFERROR(INDEX(Mapping!$E$3:$E$6,MATCH($G3776,Mapping!$D$3:$D$6,0)),IFERROR(INDEX(Mapping!$B$3:$B$13,MATCH($J3776,Mapping!$A$3:$A$13,0)),"(unmapped)")),IFERROR(INDEX(Mapping!$B$17:$B$22,MATCH($F3776,Mapping!$A$17:$A$22,0)),$F3776)&amp;" "&amp;IF($G3776="Banking","Banking",IFERROR(INDEX(Mapping!$E$17:$E$28,MATCH($J3776,Mapping!$D$17:$D$28,0)),"(unmapped)")))))</f>
        <v/>
      </c>
    </row>
    <row r="3777" spans="11:11" x14ac:dyDescent="0.3">
      <c r="K3777" t="str">
        <f>IF($D3777="","",IFERROR(INDEX(Mapping!$H$3:$H$32,MATCH($B3777,Mapping!$G$3:$G$32,0)),IF(LEFT($F3777,3)="P2P",IFERROR(INDEX(Mapping!$E$3:$E$6,MATCH($G3777,Mapping!$D$3:$D$6,0)),IFERROR(INDEX(Mapping!$B$3:$B$13,MATCH($J3777,Mapping!$A$3:$A$13,0)),"(unmapped)")),IFERROR(INDEX(Mapping!$B$17:$B$22,MATCH($F3777,Mapping!$A$17:$A$22,0)),$F3777)&amp;" "&amp;IF($G3777="Banking","Banking",IFERROR(INDEX(Mapping!$E$17:$E$28,MATCH($J3777,Mapping!$D$17:$D$28,0)),"(unmapped)")))))</f>
        <v/>
      </c>
    </row>
    <row r="3778" spans="11:11" x14ac:dyDescent="0.3">
      <c r="K3778" t="str">
        <f>IF($D3778="","",IFERROR(INDEX(Mapping!$H$3:$H$32,MATCH($B3778,Mapping!$G$3:$G$32,0)),IF(LEFT($F3778,3)="P2P",IFERROR(INDEX(Mapping!$E$3:$E$6,MATCH($G3778,Mapping!$D$3:$D$6,0)),IFERROR(INDEX(Mapping!$B$3:$B$13,MATCH($J3778,Mapping!$A$3:$A$13,0)),"(unmapped)")),IFERROR(INDEX(Mapping!$B$17:$B$22,MATCH($F3778,Mapping!$A$17:$A$22,0)),$F3778)&amp;" "&amp;IF($G3778="Banking","Banking",IFERROR(INDEX(Mapping!$E$17:$E$28,MATCH($J3778,Mapping!$D$17:$D$28,0)),"(unmapped)")))))</f>
        <v/>
      </c>
    </row>
    <row r="3779" spans="11:11" x14ac:dyDescent="0.3">
      <c r="K3779" t="str">
        <f>IF($D3779="","",IFERROR(INDEX(Mapping!$H$3:$H$32,MATCH($B3779,Mapping!$G$3:$G$32,0)),IF(LEFT($F3779,3)="P2P",IFERROR(INDEX(Mapping!$E$3:$E$6,MATCH($G3779,Mapping!$D$3:$D$6,0)),IFERROR(INDEX(Mapping!$B$3:$B$13,MATCH($J3779,Mapping!$A$3:$A$13,0)),"(unmapped)")),IFERROR(INDEX(Mapping!$B$17:$B$22,MATCH($F3779,Mapping!$A$17:$A$22,0)),$F3779)&amp;" "&amp;IF($G3779="Banking","Banking",IFERROR(INDEX(Mapping!$E$17:$E$28,MATCH($J3779,Mapping!$D$17:$D$28,0)),"(unmapped)")))))</f>
        <v/>
      </c>
    </row>
    <row r="3780" spans="11:11" x14ac:dyDescent="0.3">
      <c r="K3780" t="str">
        <f>IF($D3780="","",IFERROR(INDEX(Mapping!$H$3:$H$32,MATCH($B3780,Mapping!$G$3:$G$32,0)),IF(LEFT($F3780,3)="P2P",IFERROR(INDEX(Mapping!$E$3:$E$6,MATCH($G3780,Mapping!$D$3:$D$6,0)),IFERROR(INDEX(Mapping!$B$3:$B$13,MATCH($J3780,Mapping!$A$3:$A$13,0)),"(unmapped)")),IFERROR(INDEX(Mapping!$B$17:$B$22,MATCH($F3780,Mapping!$A$17:$A$22,0)),$F3780)&amp;" "&amp;IF($G3780="Banking","Banking",IFERROR(INDEX(Mapping!$E$17:$E$28,MATCH($J3780,Mapping!$D$17:$D$28,0)),"(unmapped)")))))</f>
        <v/>
      </c>
    </row>
    <row r="3781" spans="11:11" x14ac:dyDescent="0.3">
      <c r="K3781" t="str">
        <f>IF($D3781="","",IFERROR(INDEX(Mapping!$H$3:$H$32,MATCH($B3781,Mapping!$G$3:$G$32,0)),IF(LEFT($F3781,3)="P2P",IFERROR(INDEX(Mapping!$E$3:$E$6,MATCH($G3781,Mapping!$D$3:$D$6,0)),IFERROR(INDEX(Mapping!$B$3:$B$13,MATCH($J3781,Mapping!$A$3:$A$13,0)),"(unmapped)")),IFERROR(INDEX(Mapping!$B$17:$B$22,MATCH($F3781,Mapping!$A$17:$A$22,0)),$F3781)&amp;" "&amp;IF($G3781="Banking","Banking",IFERROR(INDEX(Mapping!$E$17:$E$28,MATCH($J3781,Mapping!$D$17:$D$28,0)),"(unmapped)")))))</f>
        <v/>
      </c>
    </row>
    <row r="3782" spans="11:11" x14ac:dyDescent="0.3">
      <c r="K3782" t="str">
        <f>IF($D3782="","",IFERROR(INDEX(Mapping!$H$3:$H$32,MATCH($B3782,Mapping!$G$3:$G$32,0)),IF(LEFT($F3782,3)="P2P",IFERROR(INDEX(Mapping!$E$3:$E$6,MATCH($G3782,Mapping!$D$3:$D$6,0)),IFERROR(INDEX(Mapping!$B$3:$B$13,MATCH($J3782,Mapping!$A$3:$A$13,0)),"(unmapped)")),IFERROR(INDEX(Mapping!$B$17:$B$22,MATCH($F3782,Mapping!$A$17:$A$22,0)),$F3782)&amp;" "&amp;IF($G3782="Banking","Banking",IFERROR(INDEX(Mapping!$E$17:$E$28,MATCH($J3782,Mapping!$D$17:$D$28,0)),"(unmapped)")))))</f>
        <v/>
      </c>
    </row>
    <row r="3783" spans="11:11" x14ac:dyDescent="0.3">
      <c r="K3783" t="str">
        <f>IF($D3783="","",IFERROR(INDEX(Mapping!$H$3:$H$32,MATCH($B3783,Mapping!$G$3:$G$32,0)),IF(LEFT($F3783,3)="P2P",IFERROR(INDEX(Mapping!$E$3:$E$6,MATCH($G3783,Mapping!$D$3:$D$6,0)),IFERROR(INDEX(Mapping!$B$3:$B$13,MATCH($J3783,Mapping!$A$3:$A$13,0)),"(unmapped)")),IFERROR(INDEX(Mapping!$B$17:$B$22,MATCH($F3783,Mapping!$A$17:$A$22,0)),$F3783)&amp;" "&amp;IF($G3783="Banking","Banking",IFERROR(INDEX(Mapping!$E$17:$E$28,MATCH($J3783,Mapping!$D$17:$D$28,0)),"(unmapped)")))))</f>
        <v/>
      </c>
    </row>
    <row r="3784" spans="11:11" x14ac:dyDescent="0.3">
      <c r="K3784" t="str">
        <f>IF($D3784="","",IFERROR(INDEX(Mapping!$H$3:$H$32,MATCH($B3784,Mapping!$G$3:$G$32,0)),IF(LEFT($F3784,3)="P2P",IFERROR(INDEX(Mapping!$E$3:$E$6,MATCH($G3784,Mapping!$D$3:$D$6,0)),IFERROR(INDEX(Mapping!$B$3:$B$13,MATCH($J3784,Mapping!$A$3:$A$13,0)),"(unmapped)")),IFERROR(INDEX(Mapping!$B$17:$B$22,MATCH($F3784,Mapping!$A$17:$A$22,0)),$F3784)&amp;" "&amp;IF($G3784="Banking","Banking",IFERROR(INDEX(Mapping!$E$17:$E$28,MATCH($J3784,Mapping!$D$17:$D$28,0)),"(unmapped)")))))</f>
        <v/>
      </c>
    </row>
    <row r="3785" spans="11:11" x14ac:dyDescent="0.3">
      <c r="K3785" t="str">
        <f>IF($D3785="","",IFERROR(INDEX(Mapping!$H$3:$H$32,MATCH($B3785,Mapping!$G$3:$G$32,0)),IF(LEFT($F3785,3)="P2P",IFERROR(INDEX(Mapping!$E$3:$E$6,MATCH($G3785,Mapping!$D$3:$D$6,0)),IFERROR(INDEX(Mapping!$B$3:$B$13,MATCH($J3785,Mapping!$A$3:$A$13,0)),"(unmapped)")),IFERROR(INDEX(Mapping!$B$17:$B$22,MATCH($F3785,Mapping!$A$17:$A$22,0)),$F3785)&amp;" "&amp;IF($G3785="Banking","Banking",IFERROR(INDEX(Mapping!$E$17:$E$28,MATCH($J3785,Mapping!$D$17:$D$28,0)),"(unmapped)")))))</f>
        <v/>
      </c>
    </row>
    <row r="3786" spans="11:11" x14ac:dyDescent="0.3">
      <c r="K3786" t="str">
        <f>IF($D3786="","",IFERROR(INDEX(Mapping!$H$3:$H$32,MATCH($B3786,Mapping!$G$3:$G$32,0)),IF(LEFT($F3786,3)="P2P",IFERROR(INDEX(Mapping!$E$3:$E$6,MATCH($G3786,Mapping!$D$3:$D$6,0)),IFERROR(INDEX(Mapping!$B$3:$B$13,MATCH($J3786,Mapping!$A$3:$A$13,0)),"(unmapped)")),IFERROR(INDEX(Mapping!$B$17:$B$22,MATCH($F3786,Mapping!$A$17:$A$22,0)),$F3786)&amp;" "&amp;IF($G3786="Banking","Banking",IFERROR(INDEX(Mapping!$E$17:$E$28,MATCH($J3786,Mapping!$D$17:$D$28,0)),"(unmapped)")))))</f>
        <v/>
      </c>
    </row>
    <row r="3787" spans="11:11" x14ac:dyDescent="0.3">
      <c r="K3787" t="str">
        <f>IF($D3787="","",IFERROR(INDEX(Mapping!$H$3:$H$32,MATCH($B3787,Mapping!$G$3:$G$32,0)),IF(LEFT($F3787,3)="P2P",IFERROR(INDEX(Mapping!$E$3:$E$6,MATCH($G3787,Mapping!$D$3:$D$6,0)),IFERROR(INDEX(Mapping!$B$3:$B$13,MATCH($J3787,Mapping!$A$3:$A$13,0)),"(unmapped)")),IFERROR(INDEX(Mapping!$B$17:$B$22,MATCH($F3787,Mapping!$A$17:$A$22,0)),$F3787)&amp;" "&amp;IF($G3787="Banking","Banking",IFERROR(INDEX(Mapping!$E$17:$E$28,MATCH($J3787,Mapping!$D$17:$D$28,0)),"(unmapped)")))))</f>
        <v/>
      </c>
    </row>
    <row r="3788" spans="11:11" x14ac:dyDescent="0.3">
      <c r="K3788" t="str">
        <f>IF($D3788="","",IFERROR(INDEX(Mapping!$H$3:$H$32,MATCH($B3788,Mapping!$G$3:$G$32,0)),IF(LEFT($F3788,3)="P2P",IFERROR(INDEX(Mapping!$E$3:$E$6,MATCH($G3788,Mapping!$D$3:$D$6,0)),IFERROR(INDEX(Mapping!$B$3:$B$13,MATCH($J3788,Mapping!$A$3:$A$13,0)),"(unmapped)")),IFERROR(INDEX(Mapping!$B$17:$B$22,MATCH($F3788,Mapping!$A$17:$A$22,0)),$F3788)&amp;" "&amp;IF($G3788="Banking","Banking",IFERROR(INDEX(Mapping!$E$17:$E$28,MATCH($J3788,Mapping!$D$17:$D$28,0)),"(unmapped)")))))</f>
        <v/>
      </c>
    </row>
    <row r="3789" spans="11:11" x14ac:dyDescent="0.3">
      <c r="K3789" t="str">
        <f>IF($D3789="","",IFERROR(INDEX(Mapping!$H$3:$H$32,MATCH($B3789,Mapping!$G$3:$G$32,0)),IF(LEFT($F3789,3)="P2P",IFERROR(INDEX(Mapping!$E$3:$E$6,MATCH($G3789,Mapping!$D$3:$D$6,0)),IFERROR(INDEX(Mapping!$B$3:$B$13,MATCH($J3789,Mapping!$A$3:$A$13,0)),"(unmapped)")),IFERROR(INDEX(Mapping!$B$17:$B$22,MATCH($F3789,Mapping!$A$17:$A$22,0)),$F3789)&amp;" "&amp;IF($G3789="Banking","Banking",IFERROR(INDEX(Mapping!$E$17:$E$28,MATCH($J3789,Mapping!$D$17:$D$28,0)),"(unmapped)")))))</f>
        <v/>
      </c>
    </row>
    <row r="3790" spans="11:11" x14ac:dyDescent="0.3">
      <c r="K3790" t="str">
        <f>IF($D3790="","",IFERROR(INDEX(Mapping!$H$3:$H$32,MATCH($B3790,Mapping!$G$3:$G$32,0)),IF(LEFT($F3790,3)="P2P",IFERROR(INDEX(Mapping!$E$3:$E$6,MATCH($G3790,Mapping!$D$3:$D$6,0)),IFERROR(INDEX(Mapping!$B$3:$B$13,MATCH($J3790,Mapping!$A$3:$A$13,0)),"(unmapped)")),IFERROR(INDEX(Mapping!$B$17:$B$22,MATCH($F3790,Mapping!$A$17:$A$22,0)),$F3790)&amp;" "&amp;IF($G3790="Banking","Banking",IFERROR(INDEX(Mapping!$E$17:$E$28,MATCH($J3790,Mapping!$D$17:$D$28,0)),"(unmapped)")))))</f>
        <v/>
      </c>
    </row>
    <row r="3791" spans="11:11" x14ac:dyDescent="0.3">
      <c r="K3791" t="str">
        <f>IF($D3791="","",IFERROR(INDEX(Mapping!$H$3:$H$32,MATCH($B3791,Mapping!$G$3:$G$32,0)),IF(LEFT($F3791,3)="P2P",IFERROR(INDEX(Mapping!$E$3:$E$6,MATCH($G3791,Mapping!$D$3:$D$6,0)),IFERROR(INDEX(Mapping!$B$3:$B$13,MATCH($J3791,Mapping!$A$3:$A$13,0)),"(unmapped)")),IFERROR(INDEX(Mapping!$B$17:$B$22,MATCH($F3791,Mapping!$A$17:$A$22,0)),$F3791)&amp;" "&amp;IF($G3791="Banking","Banking",IFERROR(INDEX(Mapping!$E$17:$E$28,MATCH($J3791,Mapping!$D$17:$D$28,0)),"(unmapped)")))))</f>
        <v/>
      </c>
    </row>
    <row r="3792" spans="11:11" x14ac:dyDescent="0.3">
      <c r="K3792" t="str">
        <f>IF($D3792="","",IFERROR(INDEX(Mapping!$H$3:$H$32,MATCH($B3792,Mapping!$G$3:$G$32,0)),IF(LEFT($F3792,3)="P2P",IFERROR(INDEX(Mapping!$E$3:$E$6,MATCH($G3792,Mapping!$D$3:$D$6,0)),IFERROR(INDEX(Mapping!$B$3:$B$13,MATCH($J3792,Mapping!$A$3:$A$13,0)),"(unmapped)")),IFERROR(INDEX(Mapping!$B$17:$B$22,MATCH($F3792,Mapping!$A$17:$A$22,0)),$F3792)&amp;" "&amp;IF($G3792="Banking","Banking",IFERROR(INDEX(Mapping!$E$17:$E$28,MATCH($J3792,Mapping!$D$17:$D$28,0)),"(unmapped)")))))</f>
        <v/>
      </c>
    </row>
    <row r="3793" spans="11:11" x14ac:dyDescent="0.3">
      <c r="K3793" t="str">
        <f>IF($D3793="","",IFERROR(INDEX(Mapping!$H$3:$H$32,MATCH($B3793,Mapping!$G$3:$G$32,0)),IF(LEFT($F3793,3)="P2P",IFERROR(INDEX(Mapping!$E$3:$E$6,MATCH($G3793,Mapping!$D$3:$D$6,0)),IFERROR(INDEX(Mapping!$B$3:$B$13,MATCH($J3793,Mapping!$A$3:$A$13,0)),"(unmapped)")),IFERROR(INDEX(Mapping!$B$17:$B$22,MATCH($F3793,Mapping!$A$17:$A$22,0)),$F3793)&amp;" "&amp;IF($G3793="Banking","Banking",IFERROR(INDEX(Mapping!$E$17:$E$28,MATCH($J3793,Mapping!$D$17:$D$28,0)),"(unmapped)")))))</f>
        <v/>
      </c>
    </row>
    <row r="3794" spans="11:11" x14ac:dyDescent="0.3">
      <c r="K3794" t="str">
        <f>IF($D3794="","",IFERROR(INDEX(Mapping!$H$3:$H$32,MATCH($B3794,Mapping!$G$3:$G$32,0)),IF(LEFT($F3794,3)="P2P",IFERROR(INDEX(Mapping!$E$3:$E$6,MATCH($G3794,Mapping!$D$3:$D$6,0)),IFERROR(INDEX(Mapping!$B$3:$B$13,MATCH($J3794,Mapping!$A$3:$A$13,0)),"(unmapped)")),IFERROR(INDEX(Mapping!$B$17:$B$22,MATCH($F3794,Mapping!$A$17:$A$22,0)),$F3794)&amp;" "&amp;IF($G3794="Banking","Banking",IFERROR(INDEX(Mapping!$E$17:$E$28,MATCH($J3794,Mapping!$D$17:$D$28,0)),"(unmapped)")))))</f>
        <v/>
      </c>
    </row>
    <row r="3795" spans="11:11" x14ac:dyDescent="0.3">
      <c r="K3795" t="str">
        <f>IF($D3795="","",IFERROR(INDEX(Mapping!$H$3:$H$32,MATCH($B3795,Mapping!$G$3:$G$32,0)),IF(LEFT($F3795,3)="P2P",IFERROR(INDEX(Mapping!$E$3:$E$6,MATCH($G3795,Mapping!$D$3:$D$6,0)),IFERROR(INDEX(Mapping!$B$3:$B$13,MATCH($J3795,Mapping!$A$3:$A$13,0)),"(unmapped)")),IFERROR(INDEX(Mapping!$B$17:$B$22,MATCH($F3795,Mapping!$A$17:$A$22,0)),$F3795)&amp;" "&amp;IF($G3795="Banking","Banking",IFERROR(INDEX(Mapping!$E$17:$E$28,MATCH($J3795,Mapping!$D$17:$D$28,0)),"(unmapped)")))))</f>
        <v/>
      </c>
    </row>
    <row r="3796" spans="11:11" x14ac:dyDescent="0.3">
      <c r="K3796" t="str">
        <f>IF($D3796="","",IFERROR(INDEX(Mapping!$H$3:$H$32,MATCH($B3796,Mapping!$G$3:$G$32,0)),IF(LEFT($F3796,3)="P2P",IFERROR(INDEX(Mapping!$E$3:$E$6,MATCH($G3796,Mapping!$D$3:$D$6,0)),IFERROR(INDEX(Mapping!$B$3:$B$13,MATCH($J3796,Mapping!$A$3:$A$13,0)),"(unmapped)")),IFERROR(INDEX(Mapping!$B$17:$B$22,MATCH($F3796,Mapping!$A$17:$A$22,0)),$F3796)&amp;" "&amp;IF($G3796="Banking","Banking",IFERROR(INDEX(Mapping!$E$17:$E$28,MATCH($J3796,Mapping!$D$17:$D$28,0)),"(unmapped)")))))</f>
        <v/>
      </c>
    </row>
    <row r="3797" spans="11:11" x14ac:dyDescent="0.3">
      <c r="K3797" t="str">
        <f>IF($D3797="","",IFERROR(INDEX(Mapping!$H$3:$H$32,MATCH($B3797,Mapping!$G$3:$G$32,0)),IF(LEFT($F3797,3)="P2P",IFERROR(INDEX(Mapping!$E$3:$E$6,MATCH($G3797,Mapping!$D$3:$D$6,0)),IFERROR(INDEX(Mapping!$B$3:$B$13,MATCH($J3797,Mapping!$A$3:$A$13,0)),"(unmapped)")),IFERROR(INDEX(Mapping!$B$17:$B$22,MATCH($F3797,Mapping!$A$17:$A$22,0)),$F3797)&amp;" "&amp;IF($G3797="Banking","Banking",IFERROR(INDEX(Mapping!$E$17:$E$28,MATCH($J3797,Mapping!$D$17:$D$28,0)),"(unmapped)")))))</f>
        <v/>
      </c>
    </row>
    <row r="3798" spans="11:11" x14ac:dyDescent="0.3">
      <c r="K3798" t="str">
        <f>IF($D3798="","",IFERROR(INDEX(Mapping!$H$3:$H$32,MATCH($B3798,Mapping!$G$3:$G$32,0)),IF(LEFT($F3798,3)="P2P",IFERROR(INDEX(Mapping!$E$3:$E$6,MATCH($G3798,Mapping!$D$3:$D$6,0)),IFERROR(INDEX(Mapping!$B$3:$B$13,MATCH($J3798,Mapping!$A$3:$A$13,0)),"(unmapped)")),IFERROR(INDEX(Mapping!$B$17:$B$22,MATCH($F3798,Mapping!$A$17:$A$22,0)),$F3798)&amp;" "&amp;IF($G3798="Banking","Banking",IFERROR(INDEX(Mapping!$E$17:$E$28,MATCH($J3798,Mapping!$D$17:$D$28,0)),"(unmapped)")))))</f>
        <v/>
      </c>
    </row>
    <row r="3799" spans="11:11" x14ac:dyDescent="0.3">
      <c r="K3799" t="str">
        <f>IF($D3799="","",IFERROR(INDEX(Mapping!$H$3:$H$32,MATCH($B3799,Mapping!$G$3:$G$32,0)),IF(LEFT($F3799,3)="P2P",IFERROR(INDEX(Mapping!$E$3:$E$6,MATCH($G3799,Mapping!$D$3:$D$6,0)),IFERROR(INDEX(Mapping!$B$3:$B$13,MATCH($J3799,Mapping!$A$3:$A$13,0)),"(unmapped)")),IFERROR(INDEX(Mapping!$B$17:$B$22,MATCH($F3799,Mapping!$A$17:$A$22,0)),$F3799)&amp;" "&amp;IF($G3799="Banking","Banking",IFERROR(INDEX(Mapping!$E$17:$E$28,MATCH($J3799,Mapping!$D$17:$D$28,0)),"(unmapped)")))))</f>
        <v/>
      </c>
    </row>
    <row r="3800" spans="11:11" x14ac:dyDescent="0.3">
      <c r="K3800" t="str">
        <f>IF($D3800="","",IFERROR(INDEX(Mapping!$H$3:$H$32,MATCH($B3800,Mapping!$G$3:$G$32,0)),IF(LEFT($F3800,3)="P2P",IFERROR(INDEX(Mapping!$E$3:$E$6,MATCH($G3800,Mapping!$D$3:$D$6,0)),IFERROR(INDEX(Mapping!$B$3:$B$13,MATCH($J3800,Mapping!$A$3:$A$13,0)),"(unmapped)")),IFERROR(INDEX(Mapping!$B$17:$B$22,MATCH($F3800,Mapping!$A$17:$A$22,0)),$F3800)&amp;" "&amp;IF($G3800="Banking","Banking",IFERROR(INDEX(Mapping!$E$17:$E$28,MATCH($J3800,Mapping!$D$17:$D$28,0)),"(unmapped)")))))</f>
        <v/>
      </c>
    </row>
    <row r="3801" spans="11:11" x14ac:dyDescent="0.3">
      <c r="K3801" t="str">
        <f>IF($D3801="","",IFERROR(INDEX(Mapping!$H$3:$H$32,MATCH($B3801,Mapping!$G$3:$G$32,0)),IF(LEFT($F3801,3)="P2P",IFERROR(INDEX(Mapping!$E$3:$E$6,MATCH($G3801,Mapping!$D$3:$D$6,0)),IFERROR(INDEX(Mapping!$B$3:$B$13,MATCH($J3801,Mapping!$A$3:$A$13,0)),"(unmapped)")),IFERROR(INDEX(Mapping!$B$17:$B$22,MATCH($F3801,Mapping!$A$17:$A$22,0)),$F3801)&amp;" "&amp;IF($G3801="Banking","Banking",IFERROR(INDEX(Mapping!$E$17:$E$28,MATCH($J3801,Mapping!$D$17:$D$28,0)),"(unmapped)")))))</f>
        <v/>
      </c>
    </row>
    <row r="3802" spans="11:11" x14ac:dyDescent="0.3">
      <c r="K3802" t="str">
        <f>IF($D3802="","",IFERROR(INDEX(Mapping!$H$3:$H$32,MATCH($B3802,Mapping!$G$3:$G$32,0)),IF(LEFT($F3802,3)="P2P",IFERROR(INDEX(Mapping!$E$3:$E$6,MATCH($G3802,Mapping!$D$3:$D$6,0)),IFERROR(INDEX(Mapping!$B$3:$B$13,MATCH($J3802,Mapping!$A$3:$A$13,0)),"(unmapped)")),IFERROR(INDEX(Mapping!$B$17:$B$22,MATCH($F3802,Mapping!$A$17:$A$22,0)),$F3802)&amp;" "&amp;IF($G3802="Banking","Banking",IFERROR(INDEX(Mapping!$E$17:$E$28,MATCH($J3802,Mapping!$D$17:$D$28,0)),"(unmapped)")))))</f>
        <v/>
      </c>
    </row>
    <row r="3803" spans="11:11" x14ac:dyDescent="0.3">
      <c r="K3803" t="str">
        <f>IF($D3803="","",IFERROR(INDEX(Mapping!$H$3:$H$32,MATCH($B3803,Mapping!$G$3:$G$32,0)),IF(LEFT($F3803,3)="P2P",IFERROR(INDEX(Mapping!$E$3:$E$6,MATCH($G3803,Mapping!$D$3:$D$6,0)),IFERROR(INDEX(Mapping!$B$3:$B$13,MATCH($J3803,Mapping!$A$3:$A$13,0)),"(unmapped)")),IFERROR(INDEX(Mapping!$B$17:$B$22,MATCH($F3803,Mapping!$A$17:$A$22,0)),$F3803)&amp;" "&amp;IF($G3803="Banking","Banking",IFERROR(INDEX(Mapping!$E$17:$E$28,MATCH($J3803,Mapping!$D$17:$D$28,0)),"(unmapped)")))))</f>
        <v/>
      </c>
    </row>
    <row r="3804" spans="11:11" x14ac:dyDescent="0.3">
      <c r="K3804" t="str">
        <f>IF($D3804="","",IFERROR(INDEX(Mapping!$H$3:$H$32,MATCH($B3804,Mapping!$G$3:$G$32,0)),IF(LEFT($F3804,3)="P2P",IFERROR(INDEX(Mapping!$E$3:$E$6,MATCH($G3804,Mapping!$D$3:$D$6,0)),IFERROR(INDEX(Mapping!$B$3:$B$13,MATCH($J3804,Mapping!$A$3:$A$13,0)),"(unmapped)")),IFERROR(INDEX(Mapping!$B$17:$B$22,MATCH($F3804,Mapping!$A$17:$A$22,0)),$F3804)&amp;" "&amp;IF($G3804="Banking","Banking",IFERROR(INDEX(Mapping!$E$17:$E$28,MATCH($J3804,Mapping!$D$17:$D$28,0)),"(unmapped)")))))</f>
        <v/>
      </c>
    </row>
    <row r="3805" spans="11:11" x14ac:dyDescent="0.3">
      <c r="K3805" t="str">
        <f>IF($D3805="","",IFERROR(INDEX(Mapping!$H$3:$H$32,MATCH($B3805,Mapping!$G$3:$G$32,0)),IF(LEFT($F3805,3)="P2P",IFERROR(INDEX(Mapping!$E$3:$E$6,MATCH($G3805,Mapping!$D$3:$D$6,0)),IFERROR(INDEX(Mapping!$B$3:$B$13,MATCH($J3805,Mapping!$A$3:$A$13,0)),"(unmapped)")),IFERROR(INDEX(Mapping!$B$17:$B$22,MATCH($F3805,Mapping!$A$17:$A$22,0)),$F3805)&amp;" "&amp;IF($G3805="Banking","Banking",IFERROR(INDEX(Mapping!$E$17:$E$28,MATCH($J3805,Mapping!$D$17:$D$28,0)),"(unmapped)")))))</f>
        <v/>
      </c>
    </row>
    <row r="3806" spans="11:11" x14ac:dyDescent="0.3">
      <c r="K3806" t="str">
        <f>IF($D3806="","",IFERROR(INDEX(Mapping!$H$3:$H$32,MATCH($B3806,Mapping!$G$3:$G$32,0)),IF(LEFT($F3806,3)="P2P",IFERROR(INDEX(Mapping!$E$3:$E$6,MATCH($G3806,Mapping!$D$3:$D$6,0)),IFERROR(INDEX(Mapping!$B$3:$B$13,MATCH($J3806,Mapping!$A$3:$A$13,0)),"(unmapped)")),IFERROR(INDEX(Mapping!$B$17:$B$22,MATCH($F3806,Mapping!$A$17:$A$22,0)),$F3806)&amp;" "&amp;IF($G3806="Banking","Banking",IFERROR(INDEX(Mapping!$E$17:$E$28,MATCH($J3806,Mapping!$D$17:$D$28,0)),"(unmapped)")))))</f>
        <v/>
      </c>
    </row>
    <row r="3807" spans="11:11" x14ac:dyDescent="0.3">
      <c r="K3807" t="str">
        <f>IF($D3807="","",IFERROR(INDEX(Mapping!$H$3:$H$32,MATCH($B3807,Mapping!$G$3:$G$32,0)),IF(LEFT($F3807,3)="P2P",IFERROR(INDEX(Mapping!$E$3:$E$6,MATCH($G3807,Mapping!$D$3:$D$6,0)),IFERROR(INDEX(Mapping!$B$3:$B$13,MATCH($J3807,Mapping!$A$3:$A$13,0)),"(unmapped)")),IFERROR(INDEX(Mapping!$B$17:$B$22,MATCH($F3807,Mapping!$A$17:$A$22,0)),$F3807)&amp;" "&amp;IF($G3807="Banking","Banking",IFERROR(INDEX(Mapping!$E$17:$E$28,MATCH($J3807,Mapping!$D$17:$D$28,0)),"(unmapped)")))))</f>
        <v/>
      </c>
    </row>
    <row r="3808" spans="11:11" x14ac:dyDescent="0.3">
      <c r="K3808" t="str">
        <f>IF($D3808="","",IFERROR(INDEX(Mapping!$H$3:$H$32,MATCH($B3808,Mapping!$G$3:$G$32,0)),IF(LEFT($F3808,3)="P2P",IFERROR(INDEX(Mapping!$E$3:$E$6,MATCH($G3808,Mapping!$D$3:$D$6,0)),IFERROR(INDEX(Mapping!$B$3:$B$13,MATCH($J3808,Mapping!$A$3:$A$13,0)),"(unmapped)")),IFERROR(INDEX(Mapping!$B$17:$B$22,MATCH($F3808,Mapping!$A$17:$A$22,0)),$F3808)&amp;" "&amp;IF($G3808="Banking","Banking",IFERROR(INDEX(Mapping!$E$17:$E$28,MATCH($J3808,Mapping!$D$17:$D$28,0)),"(unmapped)")))))</f>
        <v/>
      </c>
    </row>
    <row r="3809" spans="11:11" x14ac:dyDescent="0.3">
      <c r="K3809" t="str">
        <f>IF($D3809="","",IFERROR(INDEX(Mapping!$H$3:$H$32,MATCH($B3809,Mapping!$G$3:$G$32,0)),IF(LEFT($F3809,3)="P2P",IFERROR(INDEX(Mapping!$E$3:$E$6,MATCH($G3809,Mapping!$D$3:$D$6,0)),IFERROR(INDEX(Mapping!$B$3:$B$13,MATCH($J3809,Mapping!$A$3:$A$13,0)),"(unmapped)")),IFERROR(INDEX(Mapping!$B$17:$B$22,MATCH($F3809,Mapping!$A$17:$A$22,0)),$F3809)&amp;" "&amp;IF($G3809="Banking","Banking",IFERROR(INDEX(Mapping!$E$17:$E$28,MATCH($J3809,Mapping!$D$17:$D$28,0)),"(unmapped)")))))</f>
        <v/>
      </c>
    </row>
    <row r="3810" spans="11:11" x14ac:dyDescent="0.3">
      <c r="K3810" t="str">
        <f>IF($D3810="","",IFERROR(INDEX(Mapping!$H$3:$H$32,MATCH($B3810,Mapping!$G$3:$G$32,0)),IF(LEFT($F3810,3)="P2P",IFERROR(INDEX(Mapping!$E$3:$E$6,MATCH($G3810,Mapping!$D$3:$D$6,0)),IFERROR(INDEX(Mapping!$B$3:$B$13,MATCH($J3810,Mapping!$A$3:$A$13,0)),"(unmapped)")),IFERROR(INDEX(Mapping!$B$17:$B$22,MATCH($F3810,Mapping!$A$17:$A$22,0)),$F3810)&amp;" "&amp;IF($G3810="Banking","Banking",IFERROR(INDEX(Mapping!$E$17:$E$28,MATCH($J3810,Mapping!$D$17:$D$28,0)),"(unmapped)")))))</f>
        <v/>
      </c>
    </row>
    <row r="3811" spans="11:11" x14ac:dyDescent="0.3">
      <c r="K3811" t="str">
        <f>IF($D3811="","",IFERROR(INDEX(Mapping!$H$3:$H$32,MATCH($B3811,Mapping!$G$3:$G$32,0)),IF(LEFT($F3811,3)="P2P",IFERROR(INDEX(Mapping!$E$3:$E$6,MATCH($G3811,Mapping!$D$3:$D$6,0)),IFERROR(INDEX(Mapping!$B$3:$B$13,MATCH($J3811,Mapping!$A$3:$A$13,0)),"(unmapped)")),IFERROR(INDEX(Mapping!$B$17:$B$22,MATCH($F3811,Mapping!$A$17:$A$22,0)),$F3811)&amp;" "&amp;IF($G3811="Banking","Banking",IFERROR(INDEX(Mapping!$E$17:$E$28,MATCH($J3811,Mapping!$D$17:$D$28,0)),"(unmapped)")))))</f>
        <v/>
      </c>
    </row>
    <row r="3812" spans="11:11" x14ac:dyDescent="0.3">
      <c r="K3812" t="str">
        <f>IF($D3812="","",IFERROR(INDEX(Mapping!$H$3:$H$32,MATCH($B3812,Mapping!$G$3:$G$32,0)),IF(LEFT($F3812,3)="P2P",IFERROR(INDEX(Mapping!$E$3:$E$6,MATCH($G3812,Mapping!$D$3:$D$6,0)),IFERROR(INDEX(Mapping!$B$3:$B$13,MATCH($J3812,Mapping!$A$3:$A$13,0)),"(unmapped)")),IFERROR(INDEX(Mapping!$B$17:$B$22,MATCH($F3812,Mapping!$A$17:$A$22,0)),$F3812)&amp;" "&amp;IF($G3812="Banking","Banking",IFERROR(INDEX(Mapping!$E$17:$E$28,MATCH($J3812,Mapping!$D$17:$D$28,0)),"(unmapped)")))))</f>
        <v/>
      </c>
    </row>
    <row r="3813" spans="11:11" x14ac:dyDescent="0.3">
      <c r="K3813" t="str">
        <f>IF($D3813="","",IFERROR(INDEX(Mapping!$H$3:$H$32,MATCH($B3813,Mapping!$G$3:$G$32,0)),IF(LEFT($F3813,3)="P2P",IFERROR(INDEX(Mapping!$E$3:$E$6,MATCH($G3813,Mapping!$D$3:$D$6,0)),IFERROR(INDEX(Mapping!$B$3:$B$13,MATCH($J3813,Mapping!$A$3:$A$13,0)),"(unmapped)")),IFERROR(INDEX(Mapping!$B$17:$B$22,MATCH($F3813,Mapping!$A$17:$A$22,0)),$F3813)&amp;" "&amp;IF($G3813="Banking","Banking",IFERROR(INDEX(Mapping!$E$17:$E$28,MATCH($J3813,Mapping!$D$17:$D$28,0)),"(unmapped)")))))</f>
        <v/>
      </c>
    </row>
    <row r="3814" spans="11:11" x14ac:dyDescent="0.3">
      <c r="K3814" t="str">
        <f>IF($D3814="","",IFERROR(INDEX(Mapping!$H$3:$H$32,MATCH($B3814,Mapping!$G$3:$G$32,0)),IF(LEFT($F3814,3)="P2P",IFERROR(INDEX(Mapping!$E$3:$E$6,MATCH($G3814,Mapping!$D$3:$D$6,0)),IFERROR(INDEX(Mapping!$B$3:$B$13,MATCH($J3814,Mapping!$A$3:$A$13,0)),"(unmapped)")),IFERROR(INDEX(Mapping!$B$17:$B$22,MATCH($F3814,Mapping!$A$17:$A$22,0)),$F3814)&amp;" "&amp;IF($G3814="Banking","Banking",IFERROR(INDEX(Mapping!$E$17:$E$28,MATCH($J3814,Mapping!$D$17:$D$28,0)),"(unmapped)")))))</f>
        <v/>
      </c>
    </row>
    <row r="3815" spans="11:11" x14ac:dyDescent="0.3">
      <c r="K3815" t="str">
        <f>IF($D3815="","",IFERROR(INDEX(Mapping!$H$3:$H$32,MATCH($B3815,Mapping!$G$3:$G$32,0)),IF(LEFT($F3815,3)="P2P",IFERROR(INDEX(Mapping!$E$3:$E$6,MATCH($G3815,Mapping!$D$3:$D$6,0)),IFERROR(INDEX(Mapping!$B$3:$B$13,MATCH($J3815,Mapping!$A$3:$A$13,0)),"(unmapped)")),IFERROR(INDEX(Mapping!$B$17:$B$22,MATCH($F3815,Mapping!$A$17:$A$22,0)),$F3815)&amp;" "&amp;IF($G3815="Banking","Banking",IFERROR(INDEX(Mapping!$E$17:$E$28,MATCH($J3815,Mapping!$D$17:$D$28,0)),"(unmapped)")))))</f>
        <v/>
      </c>
    </row>
    <row r="3816" spans="11:11" x14ac:dyDescent="0.3">
      <c r="K3816" t="str">
        <f>IF($D3816="","",IFERROR(INDEX(Mapping!$H$3:$H$32,MATCH($B3816,Mapping!$G$3:$G$32,0)),IF(LEFT($F3816,3)="P2P",IFERROR(INDEX(Mapping!$E$3:$E$6,MATCH($G3816,Mapping!$D$3:$D$6,0)),IFERROR(INDEX(Mapping!$B$3:$B$13,MATCH($J3816,Mapping!$A$3:$A$13,0)),"(unmapped)")),IFERROR(INDEX(Mapping!$B$17:$B$22,MATCH($F3816,Mapping!$A$17:$A$22,0)),$F3816)&amp;" "&amp;IF($G3816="Banking","Banking",IFERROR(INDEX(Mapping!$E$17:$E$28,MATCH($J3816,Mapping!$D$17:$D$28,0)),"(unmapped)")))))</f>
        <v/>
      </c>
    </row>
    <row r="3817" spans="11:11" x14ac:dyDescent="0.3">
      <c r="K3817" t="str">
        <f>IF($D3817="","",IFERROR(INDEX(Mapping!$H$3:$H$32,MATCH($B3817,Mapping!$G$3:$G$32,0)),IF(LEFT($F3817,3)="P2P",IFERROR(INDEX(Mapping!$E$3:$E$6,MATCH($G3817,Mapping!$D$3:$D$6,0)),IFERROR(INDEX(Mapping!$B$3:$B$13,MATCH($J3817,Mapping!$A$3:$A$13,0)),"(unmapped)")),IFERROR(INDEX(Mapping!$B$17:$B$22,MATCH($F3817,Mapping!$A$17:$A$22,0)),$F3817)&amp;" "&amp;IF($G3817="Banking","Banking",IFERROR(INDEX(Mapping!$E$17:$E$28,MATCH($J3817,Mapping!$D$17:$D$28,0)),"(unmapped)")))))</f>
        <v/>
      </c>
    </row>
    <row r="3818" spans="11:11" x14ac:dyDescent="0.3">
      <c r="K3818" t="str">
        <f>IF($D3818="","",IFERROR(INDEX(Mapping!$H$3:$H$32,MATCH($B3818,Mapping!$G$3:$G$32,0)),IF(LEFT($F3818,3)="P2P",IFERROR(INDEX(Mapping!$E$3:$E$6,MATCH($G3818,Mapping!$D$3:$D$6,0)),IFERROR(INDEX(Mapping!$B$3:$B$13,MATCH($J3818,Mapping!$A$3:$A$13,0)),"(unmapped)")),IFERROR(INDEX(Mapping!$B$17:$B$22,MATCH($F3818,Mapping!$A$17:$A$22,0)),$F3818)&amp;" "&amp;IF($G3818="Banking","Banking",IFERROR(INDEX(Mapping!$E$17:$E$28,MATCH($J3818,Mapping!$D$17:$D$28,0)),"(unmapped)")))))</f>
        <v/>
      </c>
    </row>
    <row r="3819" spans="11:11" x14ac:dyDescent="0.3">
      <c r="K3819" t="str">
        <f>IF($D3819="","",IFERROR(INDEX(Mapping!$H$3:$H$32,MATCH($B3819,Mapping!$G$3:$G$32,0)),IF(LEFT($F3819,3)="P2P",IFERROR(INDEX(Mapping!$E$3:$E$6,MATCH($G3819,Mapping!$D$3:$D$6,0)),IFERROR(INDEX(Mapping!$B$3:$B$13,MATCH($J3819,Mapping!$A$3:$A$13,0)),"(unmapped)")),IFERROR(INDEX(Mapping!$B$17:$B$22,MATCH($F3819,Mapping!$A$17:$A$22,0)),$F3819)&amp;" "&amp;IF($G3819="Banking","Banking",IFERROR(INDEX(Mapping!$E$17:$E$28,MATCH($J3819,Mapping!$D$17:$D$28,0)),"(unmapped)")))))</f>
        <v/>
      </c>
    </row>
    <row r="3820" spans="11:11" x14ac:dyDescent="0.3">
      <c r="K3820" t="str">
        <f>IF($D3820="","",IFERROR(INDEX(Mapping!$H$3:$H$32,MATCH($B3820,Mapping!$G$3:$G$32,0)),IF(LEFT($F3820,3)="P2P",IFERROR(INDEX(Mapping!$E$3:$E$6,MATCH($G3820,Mapping!$D$3:$D$6,0)),IFERROR(INDEX(Mapping!$B$3:$B$13,MATCH($J3820,Mapping!$A$3:$A$13,0)),"(unmapped)")),IFERROR(INDEX(Mapping!$B$17:$B$22,MATCH($F3820,Mapping!$A$17:$A$22,0)),$F3820)&amp;" "&amp;IF($G3820="Banking","Banking",IFERROR(INDEX(Mapping!$E$17:$E$28,MATCH($J3820,Mapping!$D$17:$D$28,0)),"(unmapped)")))))</f>
        <v/>
      </c>
    </row>
    <row r="3821" spans="11:11" x14ac:dyDescent="0.3">
      <c r="K3821" t="str">
        <f>IF($D3821="","",IFERROR(INDEX(Mapping!$H$3:$H$32,MATCH($B3821,Mapping!$G$3:$G$32,0)),IF(LEFT($F3821,3)="P2P",IFERROR(INDEX(Mapping!$E$3:$E$6,MATCH($G3821,Mapping!$D$3:$D$6,0)),IFERROR(INDEX(Mapping!$B$3:$B$13,MATCH($J3821,Mapping!$A$3:$A$13,0)),"(unmapped)")),IFERROR(INDEX(Mapping!$B$17:$B$22,MATCH($F3821,Mapping!$A$17:$A$22,0)),$F3821)&amp;" "&amp;IF($G3821="Banking","Banking",IFERROR(INDEX(Mapping!$E$17:$E$28,MATCH($J3821,Mapping!$D$17:$D$28,0)),"(unmapped)")))))</f>
        <v/>
      </c>
    </row>
    <row r="3822" spans="11:11" x14ac:dyDescent="0.3">
      <c r="K3822" t="str">
        <f>IF($D3822="","",IFERROR(INDEX(Mapping!$H$3:$H$32,MATCH($B3822,Mapping!$G$3:$G$32,0)),IF(LEFT($F3822,3)="P2P",IFERROR(INDEX(Mapping!$E$3:$E$6,MATCH($G3822,Mapping!$D$3:$D$6,0)),IFERROR(INDEX(Mapping!$B$3:$B$13,MATCH($J3822,Mapping!$A$3:$A$13,0)),"(unmapped)")),IFERROR(INDEX(Mapping!$B$17:$B$22,MATCH($F3822,Mapping!$A$17:$A$22,0)),$F3822)&amp;" "&amp;IF($G3822="Banking","Banking",IFERROR(INDEX(Mapping!$E$17:$E$28,MATCH($J3822,Mapping!$D$17:$D$28,0)),"(unmapped)")))))</f>
        <v/>
      </c>
    </row>
    <row r="3823" spans="11:11" x14ac:dyDescent="0.3">
      <c r="K3823" t="str">
        <f>IF($D3823="","",IFERROR(INDEX(Mapping!$H$3:$H$32,MATCH($B3823,Mapping!$G$3:$G$32,0)),IF(LEFT($F3823,3)="P2P",IFERROR(INDEX(Mapping!$E$3:$E$6,MATCH($G3823,Mapping!$D$3:$D$6,0)),IFERROR(INDEX(Mapping!$B$3:$B$13,MATCH($J3823,Mapping!$A$3:$A$13,0)),"(unmapped)")),IFERROR(INDEX(Mapping!$B$17:$B$22,MATCH($F3823,Mapping!$A$17:$A$22,0)),$F3823)&amp;" "&amp;IF($G3823="Banking","Banking",IFERROR(INDEX(Mapping!$E$17:$E$28,MATCH($J3823,Mapping!$D$17:$D$28,0)),"(unmapped)")))))</f>
        <v/>
      </c>
    </row>
    <row r="3824" spans="11:11" x14ac:dyDescent="0.3">
      <c r="K3824" t="str">
        <f>IF($D3824="","",IFERROR(INDEX(Mapping!$H$3:$H$32,MATCH($B3824,Mapping!$G$3:$G$32,0)),IF(LEFT($F3824,3)="P2P",IFERROR(INDEX(Mapping!$E$3:$E$6,MATCH($G3824,Mapping!$D$3:$D$6,0)),IFERROR(INDEX(Mapping!$B$3:$B$13,MATCH($J3824,Mapping!$A$3:$A$13,0)),"(unmapped)")),IFERROR(INDEX(Mapping!$B$17:$B$22,MATCH($F3824,Mapping!$A$17:$A$22,0)),$F3824)&amp;" "&amp;IF($G3824="Banking","Banking",IFERROR(INDEX(Mapping!$E$17:$E$28,MATCH($J3824,Mapping!$D$17:$D$28,0)),"(unmapped)")))))</f>
        <v/>
      </c>
    </row>
    <row r="3825" spans="11:11" x14ac:dyDescent="0.3">
      <c r="K3825" t="str">
        <f>IF($D3825="","",IFERROR(INDEX(Mapping!$H$3:$H$32,MATCH($B3825,Mapping!$G$3:$G$32,0)),IF(LEFT($F3825,3)="P2P",IFERROR(INDEX(Mapping!$E$3:$E$6,MATCH($G3825,Mapping!$D$3:$D$6,0)),IFERROR(INDEX(Mapping!$B$3:$B$13,MATCH($J3825,Mapping!$A$3:$A$13,0)),"(unmapped)")),IFERROR(INDEX(Mapping!$B$17:$B$22,MATCH($F3825,Mapping!$A$17:$A$22,0)),$F3825)&amp;" "&amp;IF($G3825="Banking","Banking",IFERROR(INDEX(Mapping!$E$17:$E$28,MATCH($J3825,Mapping!$D$17:$D$28,0)),"(unmapped)")))))</f>
        <v/>
      </c>
    </row>
    <row r="3826" spans="11:11" x14ac:dyDescent="0.3">
      <c r="K3826" t="str">
        <f>IF($D3826="","",IFERROR(INDEX(Mapping!$H$3:$H$32,MATCH($B3826,Mapping!$G$3:$G$32,0)),IF(LEFT($F3826,3)="P2P",IFERROR(INDEX(Mapping!$E$3:$E$6,MATCH($G3826,Mapping!$D$3:$D$6,0)),IFERROR(INDEX(Mapping!$B$3:$B$13,MATCH($J3826,Mapping!$A$3:$A$13,0)),"(unmapped)")),IFERROR(INDEX(Mapping!$B$17:$B$22,MATCH($F3826,Mapping!$A$17:$A$22,0)),$F3826)&amp;" "&amp;IF($G3826="Banking","Banking",IFERROR(INDEX(Mapping!$E$17:$E$28,MATCH($J3826,Mapping!$D$17:$D$28,0)),"(unmapped)")))))</f>
        <v/>
      </c>
    </row>
    <row r="3827" spans="11:11" x14ac:dyDescent="0.3">
      <c r="K3827" t="str">
        <f>IF($D3827="","",IFERROR(INDEX(Mapping!$H$3:$H$32,MATCH($B3827,Mapping!$G$3:$G$32,0)),IF(LEFT($F3827,3)="P2P",IFERROR(INDEX(Mapping!$E$3:$E$6,MATCH($G3827,Mapping!$D$3:$D$6,0)),IFERROR(INDEX(Mapping!$B$3:$B$13,MATCH($J3827,Mapping!$A$3:$A$13,0)),"(unmapped)")),IFERROR(INDEX(Mapping!$B$17:$B$22,MATCH($F3827,Mapping!$A$17:$A$22,0)),$F3827)&amp;" "&amp;IF($G3827="Banking","Banking",IFERROR(INDEX(Mapping!$E$17:$E$28,MATCH($J3827,Mapping!$D$17:$D$28,0)),"(unmapped)")))))</f>
        <v/>
      </c>
    </row>
    <row r="3828" spans="11:11" x14ac:dyDescent="0.3">
      <c r="K3828" t="str">
        <f>IF($D3828="","",IFERROR(INDEX(Mapping!$H$3:$H$32,MATCH($B3828,Mapping!$G$3:$G$32,0)),IF(LEFT($F3828,3)="P2P",IFERROR(INDEX(Mapping!$E$3:$E$6,MATCH($G3828,Mapping!$D$3:$D$6,0)),IFERROR(INDEX(Mapping!$B$3:$B$13,MATCH($J3828,Mapping!$A$3:$A$13,0)),"(unmapped)")),IFERROR(INDEX(Mapping!$B$17:$B$22,MATCH($F3828,Mapping!$A$17:$A$22,0)),$F3828)&amp;" "&amp;IF($G3828="Banking","Banking",IFERROR(INDEX(Mapping!$E$17:$E$28,MATCH($J3828,Mapping!$D$17:$D$28,0)),"(unmapped)")))))</f>
        <v/>
      </c>
    </row>
    <row r="3829" spans="11:11" x14ac:dyDescent="0.3">
      <c r="K3829" t="str">
        <f>IF($D3829="","",IFERROR(INDEX(Mapping!$H$3:$H$32,MATCH($B3829,Mapping!$G$3:$G$32,0)),IF(LEFT($F3829,3)="P2P",IFERROR(INDEX(Mapping!$E$3:$E$6,MATCH($G3829,Mapping!$D$3:$D$6,0)),IFERROR(INDEX(Mapping!$B$3:$B$13,MATCH($J3829,Mapping!$A$3:$A$13,0)),"(unmapped)")),IFERROR(INDEX(Mapping!$B$17:$B$22,MATCH($F3829,Mapping!$A$17:$A$22,0)),$F3829)&amp;" "&amp;IF($G3829="Banking","Banking",IFERROR(INDEX(Mapping!$E$17:$E$28,MATCH($J3829,Mapping!$D$17:$D$28,0)),"(unmapped)")))))</f>
        <v/>
      </c>
    </row>
    <row r="3830" spans="11:11" x14ac:dyDescent="0.3">
      <c r="K3830" t="str">
        <f>IF($D3830="","",IFERROR(INDEX(Mapping!$H$3:$H$32,MATCH($B3830,Mapping!$G$3:$G$32,0)),IF(LEFT($F3830,3)="P2P",IFERROR(INDEX(Mapping!$E$3:$E$6,MATCH($G3830,Mapping!$D$3:$D$6,0)),IFERROR(INDEX(Mapping!$B$3:$B$13,MATCH($J3830,Mapping!$A$3:$A$13,0)),"(unmapped)")),IFERROR(INDEX(Mapping!$B$17:$B$22,MATCH($F3830,Mapping!$A$17:$A$22,0)),$F3830)&amp;" "&amp;IF($G3830="Banking","Banking",IFERROR(INDEX(Mapping!$E$17:$E$28,MATCH($J3830,Mapping!$D$17:$D$28,0)),"(unmapped)")))))</f>
        <v/>
      </c>
    </row>
    <row r="3831" spans="11:11" x14ac:dyDescent="0.3">
      <c r="K3831" t="str">
        <f>IF($D3831="","",IFERROR(INDEX(Mapping!$H$3:$H$32,MATCH($B3831,Mapping!$G$3:$G$32,0)),IF(LEFT($F3831,3)="P2P",IFERROR(INDEX(Mapping!$E$3:$E$6,MATCH($G3831,Mapping!$D$3:$D$6,0)),IFERROR(INDEX(Mapping!$B$3:$B$13,MATCH($J3831,Mapping!$A$3:$A$13,0)),"(unmapped)")),IFERROR(INDEX(Mapping!$B$17:$B$22,MATCH($F3831,Mapping!$A$17:$A$22,0)),$F3831)&amp;" "&amp;IF($G3831="Banking","Banking",IFERROR(INDEX(Mapping!$E$17:$E$28,MATCH($J3831,Mapping!$D$17:$D$28,0)),"(unmapped)")))))</f>
        <v/>
      </c>
    </row>
    <row r="3832" spans="11:11" x14ac:dyDescent="0.3">
      <c r="K3832" t="str">
        <f>IF($D3832="","",IFERROR(INDEX(Mapping!$H$3:$H$32,MATCH($B3832,Mapping!$G$3:$G$32,0)),IF(LEFT($F3832,3)="P2P",IFERROR(INDEX(Mapping!$E$3:$E$6,MATCH($G3832,Mapping!$D$3:$D$6,0)),IFERROR(INDEX(Mapping!$B$3:$B$13,MATCH($J3832,Mapping!$A$3:$A$13,0)),"(unmapped)")),IFERROR(INDEX(Mapping!$B$17:$B$22,MATCH($F3832,Mapping!$A$17:$A$22,0)),$F3832)&amp;" "&amp;IF($G3832="Banking","Banking",IFERROR(INDEX(Mapping!$E$17:$E$28,MATCH($J3832,Mapping!$D$17:$D$28,0)),"(unmapped)")))))</f>
        <v/>
      </c>
    </row>
    <row r="3833" spans="11:11" x14ac:dyDescent="0.3">
      <c r="K3833" t="str">
        <f>IF($D3833="","",IFERROR(INDEX(Mapping!$H$3:$H$32,MATCH($B3833,Mapping!$G$3:$G$32,0)),IF(LEFT($F3833,3)="P2P",IFERROR(INDEX(Mapping!$E$3:$E$6,MATCH($G3833,Mapping!$D$3:$D$6,0)),IFERROR(INDEX(Mapping!$B$3:$B$13,MATCH($J3833,Mapping!$A$3:$A$13,0)),"(unmapped)")),IFERROR(INDEX(Mapping!$B$17:$B$22,MATCH($F3833,Mapping!$A$17:$A$22,0)),$F3833)&amp;" "&amp;IF($G3833="Banking","Banking",IFERROR(INDEX(Mapping!$E$17:$E$28,MATCH($J3833,Mapping!$D$17:$D$28,0)),"(unmapped)")))))</f>
        <v/>
      </c>
    </row>
    <row r="3834" spans="11:11" x14ac:dyDescent="0.3">
      <c r="K3834" t="str">
        <f>IF($D3834="","",IFERROR(INDEX(Mapping!$H$3:$H$32,MATCH($B3834,Mapping!$G$3:$G$32,0)),IF(LEFT($F3834,3)="P2P",IFERROR(INDEX(Mapping!$E$3:$E$6,MATCH($G3834,Mapping!$D$3:$D$6,0)),IFERROR(INDEX(Mapping!$B$3:$B$13,MATCH($J3834,Mapping!$A$3:$A$13,0)),"(unmapped)")),IFERROR(INDEX(Mapping!$B$17:$B$22,MATCH($F3834,Mapping!$A$17:$A$22,0)),$F3834)&amp;" "&amp;IF($G3834="Banking","Banking",IFERROR(INDEX(Mapping!$E$17:$E$28,MATCH($J3834,Mapping!$D$17:$D$28,0)),"(unmapped)")))))</f>
        <v/>
      </c>
    </row>
    <row r="3835" spans="11:11" x14ac:dyDescent="0.3">
      <c r="K3835" t="str">
        <f>IF($D3835="","",IFERROR(INDEX(Mapping!$H$3:$H$32,MATCH($B3835,Mapping!$G$3:$G$32,0)),IF(LEFT($F3835,3)="P2P",IFERROR(INDEX(Mapping!$E$3:$E$6,MATCH($G3835,Mapping!$D$3:$D$6,0)),IFERROR(INDEX(Mapping!$B$3:$B$13,MATCH($J3835,Mapping!$A$3:$A$13,0)),"(unmapped)")),IFERROR(INDEX(Mapping!$B$17:$B$22,MATCH($F3835,Mapping!$A$17:$A$22,0)),$F3835)&amp;" "&amp;IF($G3835="Banking","Banking",IFERROR(INDEX(Mapping!$E$17:$E$28,MATCH($J3835,Mapping!$D$17:$D$28,0)),"(unmapped)")))))</f>
        <v/>
      </c>
    </row>
    <row r="3836" spans="11:11" x14ac:dyDescent="0.3">
      <c r="K3836" t="str">
        <f>IF($D3836="","",IFERROR(INDEX(Mapping!$H$3:$H$32,MATCH($B3836,Mapping!$G$3:$G$32,0)),IF(LEFT($F3836,3)="P2P",IFERROR(INDEX(Mapping!$E$3:$E$6,MATCH($G3836,Mapping!$D$3:$D$6,0)),IFERROR(INDEX(Mapping!$B$3:$B$13,MATCH($J3836,Mapping!$A$3:$A$13,0)),"(unmapped)")),IFERROR(INDEX(Mapping!$B$17:$B$22,MATCH($F3836,Mapping!$A$17:$A$22,0)),$F3836)&amp;" "&amp;IF($G3836="Banking","Banking",IFERROR(INDEX(Mapping!$E$17:$E$28,MATCH($J3836,Mapping!$D$17:$D$28,0)),"(unmapped)")))))</f>
        <v/>
      </c>
    </row>
    <row r="3837" spans="11:11" x14ac:dyDescent="0.3">
      <c r="K3837" t="str">
        <f>IF($D3837="","",IFERROR(INDEX(Mapping!$H$3:$H$32,MATCH($B3837,Mapping!$G$3:$G$32,0)),IF(LEFT($F3837,3)="P2P",IFERROR(INDEX(Mapping!$E$3:$E$6,MATCH($G3837,Mapping!$D$3:$D$6,0)),IFERROR(INDEX(Mapping!$B$3:$B$13,MATCH($J3837,Mapping!$A$3:$A$13,0)),"(unmapped)")),IFERROR(INDEX(Mapping!$B$17:$B$22,MATCH($F3837,Mapping!$A$17:$A$22,0)),$F3837)&amp;" "&amp;IF($G3837="Banking","Banking",IFERROR(INDEX(Mapping!$E$17:$E$28,MATCH($J3837,Mapping!$D$17:$D$28,0)),"(unmapped)")))))</f>
        <v/>
      </c>
    </row>
    <row r="3838" spans="11:11" x14ac:dyDescent="0.3">
      <c r="K3838" t="str">
        <f>IF($D3838="","",IFERROR(INDEX(Mapping!$H$3:$H$32,MATCH($B3838,Mapping!$G$3:$G$32,0)),IF(LEFT($F3838,3)="P2P",IFERROR(INDEX(Mapping!$E$3:$E$6,MATCH($G3838,Mapping!$D$3:$D$6,0)),IFERROR(INDEX(Mapping!$B$3:$B$13,MATCH($J3838,Mapping!$A$3:$A$13,0)),"(unmapped)")),IFERROR(INDEX(Mapping!$B$17:$B$22,MATCH($F3838,Mapping!$A$17:$A$22,0)),$F3838)&amp;" "&amp;IF($G3838="Banking","Banking",IFERROR(INDEX(Mapping!$E$17:$E$28,MATCH($J3838,Mapping!$D$17:$D$28,0)),"(unmapped)")))))</f>
        <v/>
      </c>
    </row>
    <row r="3839" spans="11:11" x14ac:dyDescent="0.3">
      <c r="K3839" t="str">
        <f>IF($D3839="","",IFERROR(INDEX(Mapping!$H$3:$H$32,MATCH($B3839,Mapping!$G$3:$G$32,0)),IF(LEFT($F3839,3)="P2P",IFERROR(INDEX(Mapping!$E$3:$E$6,MATCH($G3839,Mapping!$D$3:$D$6,0)),IFERROR(INDEX(Mapping!$B$3:$B$13,MATCH($J3839,Mapping!$A$3:$A$13,0)),"(unmapped)")),IFERROR(INDEX(Mapping!$B$17:$B$22,MATCH($F3839,Mapping!$A$17:$A$22,0)),$F3839)&amp;" "&amp;IF($G3839="Banking","Banking",IFERROR(INDEX(Mapping!$E$17:$E$28,MATCH($J3839,Mapping!$D$17:$D$28,0)),"(unmapped)")))))</f>
        <v/>
      </c>
    </row>
    <row r="3840" spans="11:11" x14ac:dyDescent="0.3">
      <c r="K3840" t="str">
        <f>IF($D3840="","",IFERROR(INDEX(Mapping!$H$3:$H$32,MATCH($B3840,Mapping!$G$3:$G$32,0)),IF(LEFT($F3840,3)="P2P",IFERROR(INDEX(Mapping!$E$3:$E$6,MATCH($G3840,Mapping!$D$3:$D$6,0)),IFERROR(INDEX(Mapping!$B$3:$B$13,MATCH($J3840,Mapping!$A$3:$A$13,0)),"(unmapped)")),IFERROR(INDEX(Mapping!$B$17:$B$22,MATCH($F3840,Mapping!$A$17:$A$22,0)),$F3840)&amp;" "&amp;IF($G3840="Banking","Banking",IFERROR(INDEX(Mapping!$E$17:$E$28,MATCH($J3840,Mapping!$D$17:$D$28,0)),"(unmapped)")))))</f>
        <v/>
      </c>
    </row>
    <row r="3841" spans="11:11" x14ac:dyDescent="0.3">
      <c r="K3841" t="str">
        <f>IF($D3841="","",IFERROR(INDEX(Mapping!$H$3:$H$32,MATCH($B3841,Mapping!$G$3:$G$32,0)),IF(LEFT($F3841,3)="P2P",IFERROR(INDEX(Mapping!$E$3:$E$6,MATCH($G3841,Mapping!$D$3:$D$6,0)),IFERROR(INDEX(Mapping!$B$3:$B$13,MATCH($J3841,Mapping!$A$3:$A$13,0)),"(unmapped)")),IFERROR(INDEX(Mapping!$B$17:$B$22,MATCH($F3841,Mapping!$A$17:$A$22,0)),$F3841)&amp;" "&amp;IF($G3841="Banking","Banking",IFERROR(INDEX(Mapping!$E$17:$E$28,MATCH($J3841,Mapping!$D$17:$D$28,0)),"(unmapped)")))))</f>
        <v/>
      </c>
    </row>
    <row r="3842" spans="11:11" x14ac:dyDescent="0.3">
      <c r="K3842" t="str">
        <f>IF($D3842="","",IFERROR(INDEX(Mapping!$H$3:$H$32,MATCH($B3842,Mapping!$G$3:$G$32,0)),IF(LEFT($F3842,3)="P2P",IFERROR(INDEX(Mapping!$E$3:$E$6,MATCH($G3842,Mapping!$D$3:$D$6,0)),IFERROR(INDEX(Mapping!$B$3:$B$13,MATCH($J3842,Mapping!$A$3:$A$13,0)),"(unmapped)")),IFERROR(INDEX(Mapping!$B$17:$B$22,MATCH($F3842,Mapping!$A$17:$A$22,0)),$F3842)&amp;" "&amp;IF($G3842="Banking","Banking",IFERROR(INDEX(Mapping!$E$17:$E$28,MATCH($J3842,Mapping!$D$17:$D$28,0)),"(unmapped)")))))</f>
        <v/>
      </c>
    </row>
    <row r="3843" spans="11:11" x14ac:dyDescent="0.3">
      <c r="K3843" t="str">
        <f>IF($D3843="","",IFERROR(INDEX(Mapping!$H$3:$H$32,MATCH($B3843,Mapping!$G$3:$G$32,0)),IF(LEFT($F3843,3)="P2P",IFERROR(INDEX(Mapping!$E$3:$E$6,MATCH($G3843,Mapping!$D$3:$D$6,0)),IFERROR(INDEX(Mapping!$B$3:$B$13,MATCH($J3843,Mapping!$A$3:$A$13,0)),"(unmapped)")),IFERROR(INDEX(Mapping!$B$17:$B$22,MATCH($F3843,Mapping!$A$17:$A$22,0)),$F3843)&amp;" "&amp;IF($G3843="Banking","Banking",IFERROR(INDEX(Mapping!$E$17:$E$28,MATCH($J3843,Mapping!$D$17:$D$28,0)),"(unmapped)")))))</f>
        <v/>
      </c>
    </row>
    <row r="3844" spans="11:11" x14ac:dyDescent="0.3">
      <c r="K3844" t="str">
        <f>IF($D3844="","",IFERROR(INDEX(Mapping!$H$3:$H$32,MATCH($B3844,Mapping!$G$3:$G$32,0)),IF(LEFT($F3844,3)="P2P",IFERROR(INDEX(Mapping!$E$3:$E$6,MATCH($G3844,Mapping!$D$3:$D$6,0)),IFERROR(INDEX(Mapping!$B$3:$B$13,MATCH($J3844,Mapping!$A$3:$A$13,0)),"(unmapped)")),IFERROR(INDEX(Mapping!$B$17:$B$22,MATCH($F3844,Mapping!$A$17:$A$22,0)),$F3844)&amp;" "&amp;IF($G3844="Banking","Banking",IFERROR(INDEX(Mapping!$E$17:$E$28,MATCH($J3844,Mapping!$D$17:$D$28,0)),"(unmapped)")))))</f>
        <v/>
      </c>
    </row>
    <row r="3845" spans="11:11" x14ac:dyDescent="0.3">
      <c r="K3845" t="str">
        <f>IF($D3845="","",IFERROR(INDEX(Mapping!$H$3:$H$32,MATCH($B3845,Mapping!$G$3:$G$32,0)),IF(LEFT($F3845,3)="P2P",IFERROR(INDEX(Mapping!$E$3:$E$6,MATCH($G3845,Mapping!$D$3:$D$6,0)),IFERROR(INDEX(Mapping!$B$3:$B$13,MATCH($J3845,Mapping!$A$3:$A$13,0)),"(unmapped)")),IFERROR(INDEX(Mapping!$B$17:$B$22,MATCH($F3845,Mapping!$A$17:$A$22,0)),$F3845)&amp;" "&amp;IF($G3845="Banking","Banking",IFERROR(INDEX(Mapping!$E$17:$E$28,MATCH($J3845,Mapping!$D$17:$D$28,0)),"(unmapped)")))))</f>
        <v/>
      </c>
    </row>
    <row r="3846" spans="11:11" x14ac:dyDescent="0.3">
      <c r="K3846" t="str">
        <f>IF($D3846="","",IFERROR(INDEX(Mapping!$H$3:$H$32,MATCH($B3846,Mapping!$G$3:$G$32,0)),IF(LEFT($F3846,3)="P2P",IFERROR(INDEX(Mapping!$E$3:$E$6,MATCH($G3846,Mapping!$D$3:$D$6,0)),IFERROR(INDEX(Mapping!$B$3:$B$13,MATCH($J3846,Mapping!$A$3:$A$13,0)),"(unmapped)")),IFERROR(INDEX(Mapping!$B$17:$B$22,MATCH($F3846,Mapping!$A$17:$A$22,0)),$F3846)&amp;" "&amp;IF($G3846="Banking","Banking",IFERROR(INDEX(Mapping!$E$17:$E$28,MATCH($J3846,Mapping!$D$17:$D$28,0)),"(unmapped)")))))</f>
        <v/>
      </c>
    </row>
    <row r="3847" spans="11:11" x14ac:dyDescent="0.3">
      <c r="K3847" t="str">
        <f>IF($D3847="","",IFERROR(INDEX(Mapping!$H$3:$H$32,MATCH($B3847,Mapping!$G$3:$G$32,0)),IF(LEFT($F3847,3)="P2P",IFERROR(INDEX(Mapping!$E$3:$E$6,MATCH($G3847,Mapping!$D$3:$D$6,0)),IFERROR(INDEX(Mapping!$B$3:$B$13,MATCH($J3847,Mapping!$A$3:$A$13,0)),"(unmapped)")),IFERROR(INDEX(Mapping!$B$17:$B$22,MATCH($F3847,Mapping!$A$17:$A$22,0)),$F3847)&amp;" "&amp;IF($G3847="Banking","Banking",IFERROR(INDEX(Mapping!$E$17:$E$28,MATCH($J3847,Mapping!$D$17:$D$28,0)),"(unmapped)")))))</f>
        <v/>
      </c>
    </row>
    <row r="3848" spans="11:11" x14ac:dyDescent="0.3">
      <c r="K3848" t="str">
        <f>IF($D3848="","",IFERROR(INDEX(Mapping!$H$3:$H$32,MATCH($B3848,Mapping!$G$3:$G$32,0)),IF(LEFT($F3848,3)="P2P",IFERROR(INDEX(Mapping!$E$3:$E$6,MATCH($G3848,Mapping!$D$3:$D$6,0)),IFERROR(INDEX(Mapping!$B$3:$B$13,MATCH($J3848,Mapping!$A$3:$A$13,0)),"(unmapped)")),IFERROR(INDEX(Mapping!$B$17:$B$22,MATCH($F3848,Mapping!$A$17:$A$22,0)),$F3848)&amp;" "&amp;IF($G3848="Banking","Banking",IFERROR(INDEX(Mapping!$E$17:$E$28,MATCH($J3848,Mapping!$D$17:$D$28,0)),"(unmapped)")))))</f>
        <v/>
      </c>
    </row>
    <row r="3849" spans="11:11" x14ac:dyDescent="0.3">
      <c r="K3849" t="str">
        <f>IF($D3849="","",IFERROR(INDEX(Mapping!$H$3:$H$32,MATCH($B3849,Mapping!$G$3:$G$32,0)),IF(LEFT($F3849,3)="P2P",IFERROR(INDEX(Mapping!$E$3:$E$6,MATCH($G3849,Mapping!$D$3:$D$6,0)),IFERROR(INDEX(Mapping!$B$3:$B$13,MATCH($J3849,Mapping!$A$3:$A$13,0)),"(unmapped)")),IFERROR(INDEX(Mapping!$B$17:$B$22,MATCH($F3849,Mapping!$A$17:$A$22,0)),$F3849)&amp;" "&amp;IF($G3849="Banking","Banking",IFERROR(INDEX(Mapping!$E$17:$E$28,MATCH($J3849,Mapping!$D$17:$D$28,0)),"(unmapped)")))))</f>
        <v/>
      </c>
    </row>
    <row r="3850" spans="11:11" x14ac:dyDescent="0.3">
      <c r="K3850" t="str">
        <f>IF($D3850="","",IFERROR(INDEX(Mapping!$H$3:$H$32,MATCH($B3850,Mapping!$G$3:$G$32,0)),IF(LEFT($F3850,3)="P2P",IFERROR(INDEX(Mapping!$E$3:$E$6,MATCH($G3850,Mapping!$D$3:$D$6,0)),IFERROR(INDEX(Mapping!$B$3:$B$13,MATCH($J3850,Mapping!$A$3:$A$13,0)),"(unmapped)")),IFERROR(INDEX(Mapping!$B$17:$B$22,MATCH($F3850,Mapping!$A$17:$A$22,0)),$F3850)&amp;" "&amp;IF($G3850="Banking","Banking",IFERROR(INDEX(Mapping!$E$17:$E$28,MATCH($J3850,Mapping!$D$17:$D$28,0)),"(unmapped)")))))</f>
        <v/>
      </c>
    </row>
    <row r="3851" spans="11:11" x14ac:dyDescent="0.3">
      <c r="K3851" t="str">
        <f>IF($D3851="","",IFERROR(INDEX(Mapping!$H$3:$H$32,MATCH($B3851,Mapping!$G$3:$G$32,0)),IF(LEFT($F3851,3)="P2P",IFERROR(INDEX(Mapping!$E$3:$E$6,MATCH($G3851,Mapping!$D$3:$D$6,0)),IFERROR(INDEX(Mapping!$B$3:$B$13,MATCH($J3851,Mapping!$A$3:$A$13,0)),"(unmapped)")),IFERROR(INDEX(Mapping!$B$17:$B$22,MATCH($F3851,Mapping!$A$17:$A$22,0)),$F3851)&amp;" "&amp;IF($G3851="Banking","Banking",IFERROR(INDEX(Mapping!$E$17:$E$28,MATCH($J3851,Mapping!$D$17:$D$28,0)),"(unmapped)")))))</f>
        <v/>
      </c>
    </row>
    <row r="3852" spans="11:11" x14ac:dyDescent="0.3">
      <c r="K3852" t="str">
        <f>IF($D3852="","",IFERROR(INDEX(Mapping!$H$3:$H$32,MATCH($B3852,Mapping!$G$3:$G$32,0)),IF(LEFT($F3852,3)="P2P",IFERROR(INDEX(Mapping!$E$3:$E$6,MATCH($G3852,Mapping!$D$3:$D$6,0)),IFERROR(INDEX(Mapping!$B$3:$B$13,MATCH($J3852,Mapping!$A$3:$A$13,0)),"(unmapped)")),IFERROR(INDEX(Mapping!$B$17:$B$22,MATCH($F3852,Mapping!$A$17:$A$22,0)),$F3852)&amp;" "&amp;IF($G3852="Banking","Banking",IFERROR(INDEX(Mapping!$E$17:$E$28,MATCH($J3852,Mapping!$D$17:$D$28,0)),"(unmapped)")))))</f>
        <v/>
      </c>
    </row>
    <row r="3853" spans="11:11" x14ac:dyDescent="0.3">
      <c r="K3853" t="str">
        <f>IF($D3853="","",IFERROR(INDEX(Mapping!$H$3:$H$32,MATCH($B3853,Mapping!$G$3:$G$32,0)),IF(LEFT($F3853,3)="P2P",IFERROR(INDEX(Mapping!$E$3:$E$6,MATCH($G3853,Mapping!$D$3:$D$6,0)),IFERROR(INDEX(Mapping!$B$3:$B$13,MATCH($J3853,Mapping!$A$3:$A$13,0)),"(unmapped)")),IFERROR(INDEX(Mapping!$B$17:$B$22,MATCH($F3853,Mapping!$A$17:$A$22,0)),$F3853)&amp;" "&amp;IF($G3853="Banking","Banking",IFERROR(INDEX(Mapping!$E$17:$E$28,MATCH($J3853,Mapping!$D$17:$D$28,0)),"(unmapped)")))))</f>
        <v/>
      </c>
    </row>
    <row r="3854" spans="11:11" x14ac:dyDescent="0.3">
      <c r="K3854" t="str">
        <f>IF($D3854="","",IFERROR(INDEX(Mapping!$H$3:$H$32,MATCH($B3854,Mapping!$G$3:$G$32,0)),IF(LEFT($F3854,3)="P2P",IFERROR(INDEX(Mapping!$E$3:$E$6,MATCH($G3854,Mapping!$D$3:$D$6,0)),IFERROR(INDEX(Mapping!$B$3:$B$13,MATCH($J3854,Mapping!$A$3:$A$13,0)),"(unmapped)")),IFERROR(INDEX(Mapping!$B$17:$B$22,MATCH($F3854,Mapping!$A$17:$A$22,0)),$F3854)&amp;" "&amp;IF($G3854="Banking","Banking",IFERROR(INDEX(Mapping!$E$17:$E$28,MATCH($J3854,Mapping!$D$17:$D$28,0)),"(unmapped)")))))</f>
        <v/>
      </c>
    </row>
    <row r="3855" spans="11:11" x14ac:dyDescent="0.3">
      <c r="K3855" t="str">
        <f>IF($D3855="","",IFERROR(INDEX(Mapping!$H$3:$H$32,MATCH($B3855,Mapping!$G$3:$G$32,0)),IF(LEFT($F3855,3)="P2P",IFERROR(INDEX(Mapping!$E$3:$E$6,MATCH($G3855,Mapping!$D$3:$D$6,0)),IFERROR(INDEX(Mapping!$B$3:$B$13,MATCH($J3855,Mapping!$A$3:$A$13,0)),"(unmapped)")),IFERROR(INDEX(Mapping!$B$17:$B$22,MATCH($F3855,Mapping!$A$17:$A$22,0)),$F3855)&amp;" "&amp;IF($G3855="Banking","Banking",IFERROR(INDEX(Mapping!$E$17:$E$28,MATCH($J3855,Mapping!$D$17:$D$28,0)),"(unmapped)")))))</f>
        <v/>
      </c>
    </row>
    <row r="3856" spans="11:11" x14ac:dyDescent="0.3">
      <c r="K3856" t="str">
        <f>IF($D3856="","",IFERROR(INDEX(Mapping!$H$3:$H$32,MATCH($B3856,Mapping!$G$3:$G$32,0)),IF(LEFT($F3856,3)="P2P",IFERROR(INDEX(Mapping!$E$3:$E$6,MATCH($G3856,Mapping!$D$3:$D$6,0)),IFERROR(INDEX(Mapping!$B$3:$B$13,MATCH($J3856,Mapping!$A$3:$A$13,0)),"(unmapped)")),IFERROR(INDEX(Mapping!$B$17:$B$22,MATCH($F3856,Mapping!$A$17:$A$22,0)),$F3856)&amp;" "&amp;IF($G3856="Banking","Banking",IFERROR(INDEX(Mapping!$E$17:$E$28,MATCH($J3856,Mapping!$D$17:$D$28,0)),"(unmapped)")))))</f>
        <v/>
      </c>
    </row>
    <row r="3857" spans="11:11" x14ac:dyDescent="0.3">
      <c r="K3857" t="str">
        <f>IF($D3857="","",IFERROR(INDEX(Mapping!$H$3:$H$32,MATCH($B3857,Mapping!$G$3:$G$32,0)),IF(LEFT($F3857,3)="P2P",IFERROR(INDEX(Mapping!$E$3:$E$6,MATCH($G3857,Mapping!$D$3:$D$6,0)),IFERROR(INDEX(Mapping!$B$3:$B$13,MATCH($J3857,Mapping!$A$3:$A$13,0)),"(unmapped)")),IFERROR(INDEX(Mapping!$B$17:$B$22,MATCH($F3857,Mapping!$A$17:$A$22,0)),$F3857)&amp;" "&amp;IF($G3857="Banking","Banking",IFERROR(INDEX(Mapping!$E$17:$E$28,MATCH($J3857,Mapping!$D$17:$D$28,0)),"(unmapped)")))))</f>
        <v/>
      </c>
    </row>
    <row r="3858" spans="11:11" x14ac:dyDescent="0.3">
      <c r="K3858" t="str">
        <f>IF($D3858="","",IFERROR(INDEX(Mapping!$H$3:$H$32,MATCH($B3858,Mapping!$G$3:$G$32,0)),IF(LEFT($F3858,3)="P2P",IFERROR(INDEX(Mapping!$E$3:$E$6,MATCH($G3858,Mapping!$D$3:$D$6,0)),IFERROR(INDEX(Mapping!$B$3:$B$13,MATCH($J3858,Mapping!$A$3:$A$13,0)),"(unmapped)")),IFERROR(INDEX(Mapping!$B$17:$B$22,MATCH($F3858,Mapping!$A$17:$A$22,0)),$F3858)&amp;" "&amp;IF($G3858="Banking","Banking",IFERROR(INDEX(Mapping!$E$17:$E$28,MATCH($J3858,Mapping!$D$17:$D$28,0)),"(unmapped)")))))</f>
        <v/>
      </c>
    </row>
    <row r="3859" spans="11:11" x14ac:dyDescent="0.3">
      <c r="K3859" t="str">
        <f>IF($D3859="","",IFERROR(INDEX(Mapping!$H$3:$H$32,MATCH($B3859,Mapping!$G$3:$G$32,0)),IF(LEFT($F3859,3)="P2P",IFERROR(INDEX(Mapping!$E$3:$E$6,MATCH($G3859,Mapping!$D$3:$D$6,0)),IFERROR(INDEX(Mapping!$B$3:$B$13,MATCH($J3859,Mapping!$A$3:$A$13,0)),"(unmapped)")),IFERROR(INDEX(Mapping!$B$17:$B$22,MATCH($F3859,Mapping!$A$17:$A$22,0)),$F3859)&amp;" "&amp;IF($G3859="Banking","Banking",IFERROR(INDEX(Mapping!$E$17:$E$28,MATCH($J3859,Mapping!$D$17:$D$28,0)),"(unmapped)")))))</f>
        <v/>
      </c>
    </row>
    <row r="3860" spans="11:11" x14ac:dyDescent="0.3">
      <c r="K3860" t="str">
        <f>IF($D3860="","",IFERROR(INDEX(Mapping!$H$3:$H$32,MATCH($B3860,Mapping!$G$3:$G$32,0)),IF(LEFT($F3860,3)="P2P",IFERROR(INDEX(Mapping!$E$3:$E$6,MATCH($G3860,Mapping!$D$3:$D$6,0)),IFERROR(INDEX(Mapping!$B$3:$B$13,MATCH($J3860,Mapping!$A$3:$A$13,0)),"(unmapped)")),IFERROR(INDEX(Mapping!$B$17:$B$22,MATCH($F3860,Mapping!$A$17:$A$22,0)),$F3860)&amp;" "&amp;IF($G3860="Banking","Banking",IFERROR(INDEX(Mapping!$E$17:$E$28,MATCH($J3860,Mapping!$D$17:$D$28,0)),"(unmapped)")))))</f>
        <v/>
      </c>
    </row>
    <row r="3861" spans="11:11" x14ac:dyDescent="0.3">
      <c r="K3861" t="str">
        <f>IF($D3861="","",IFERROR(INDEX(Mapping!$H$3:$H$32,MATCH($B3861,Mapping!$G$3:$G$32,0)),IF(LEFT($F3861,3)="P2P",IFERROR(INDEX(Mapping!$E$3:$E$6,MATCH($G3861,Mapping!$D$3:$D$6,0)),IFERROR(INDEX(Mapping!$B$3:$B$13,MATCH($J3861,Mapping!$A$3:$A$13,0)),"(unmapped)")),IFERROR(INDEX(Mapping!$B$17:$B$22,MATCH($F3861,Mapping!$A$17:$A$22,0)),$F3861)&amp;" "&amp;IF($G3861="Banking","Banking",IFERROR(INDEX(Mapping!$E$17:$E$28,MATCH($J3861,Mapping!$D$17:$D$28,0)),"(unmapped)")))))</f>
        <v/>
      </c>
    </row>
    <row r="3862" spans="11:11" x14ac:dyDescent="0.3">
      <c r="K3862" t="str">
        <f>IF($D3862="","",IFERROR(INDEX(Mapping!$H$3:$H$32,MATCH($B3862,Mapping!$G$3:$G$32,0)),IF(LEFT($F3862,3)="P2P",IFERROR(INDEX(Mapping!$E$3:$E$6,MATCH($G3862,Mapping!$D$3:$D$6,0)),IFERROR(INDEX(Mapping!$B$3:$B$13,MATCH($J3862,Mapping!$A$3:$A$13,0)),"(unmapped)")),IFERROR(INDEX(Mapping!$B$17:$B$22,MATCH($F3862,Mapping!$A$17:$A$22,0)),$F3862)&amp;" "&amp;IF($G3862="Banking","Banking",IFERROR(INDEX(Mapping!$E$17:$E$28,MATCH($J3862,Mapping!$D$17:$D$28,0)),"(unmapped)")))))</f>
        <v/>
      </c>
    </row>
    <row r="3863" spans="11:11" x14ac:dyDescent="0.3">
      <c r="K3863" t="str">
        <f>IF($D3863="","",IFERROR(INDEX(Mapping!$H$3:$H$32,MATCH($B3863,Mapping!$G$3:$G$32,0)),IF(LEFT($F3863,3)="P2P",IFERROR(INDEX(Mapping!$E$3:$E$6,MATCH($G3863,Mapping!$D$3:$D$6,0)),IFERROR(INDEX(Mapping!$B$3:$B$13,MATCH($J3863,Mapping!$A$3:$A$13,0)),"(unmapped)")),IFERROR(INDEX(Mapping!$B$17:$B$22,MATCH($F3863,Mapping!$A$17:$A$22,0)),$F3863)&amp;" "&amp;IF($G3863="Banking","Banking",IFERROR(INDEX(Mapping!$E$17:$E$28,MATCH($J3863,Mapping!$D$17:$D$28,0)),"(unmapped)")))))</f>
        <v/>
      </c>
    </row>
    <row r="3864" spans="11:11" x14ac:dyDescent="0.3">
      <c r="K3864" t="str">
        <f>IF($D3864="","",IFERROR(INDEX(Mapping!$H$3:$H$32,MATCH($B3864,Mapping!$G$3:$G$32,0)),IF(LEFT($F3864,3)="P2P",IFERROR(INDEX(Mapping!$E$3:$E$6,MATCH($G3864,Mapping!$D$3:$D$6,0)),IFERROR(INDEX(Mapping!$B$3:$B$13,MATCH($J3864,Mapping!$A$3:$A$13,0)),"(unmapped)")),IFERROR(INDEX(Mapping!$B$17:$B$22,MATCH($F3864,Mapping!$A$17:$A$22,0)),$F3864)&amp;" "&amp;IF($G3864="Banking","Banking",IFERROR(INDEX(Mapping!$E$17:$E$28,MATCH($J3864,Mapping!$D$17:$D$28,0)),"(unmapped)")))))</f>
        <v/>
      </c>
    </row>
    <row r="3865" spans="11:11" x14ac:dyDescent="0.3">
      <c r="K3865" t="str">
        <f>IF($D3865="","",IFERROR(INDEX(Mapping!$H$3:$H$32,MATCH($B3865,Mapping!$G$3:$G$32,0)),IF(LEFT($F3865,3)="P2P",IFERROR(INDEX(Mapping!$E$3:$E$6,MATCH($G3865,Mapping!$D$3:$D$6,0)),IFERROR(INDEX(Mapping!$B$3:$B$13,MATCH($J3865,Mapping!$A$3:$A$13,0)),"(unmapped)")),IFERROR(INDEX(Mapping!$B$17:$B$22,MATCH($F3865,Mapping!$A$17:$A$22,0)),$F3865)&amp;" "&amp;IF($G3865="Banking","Banking",IFERROR(INDEX(Mapping!$E$17:$E$28,MATCH($J3865,Mapping!$D$17:$D$28,0)),"(unmapped)")))))</f>
        <v/>
      </c>
    </row>
    <row r="3866" spans="11:11" x14ac:dyDescent="0.3">
      <c r="K3866" t="str">
        <f>IF($D3866="","",IFERROR(INDEX(Mapping!$H$3:$H$32,MATCH($B3866,Mapping!$G$3:$G$32,0)),IF(LEFT($F3866,3)="P2P",IFERROR(INDEX(Mapping!$E$3:$E$6,MATCH($G3866,Mapping!$D$3:$D$6,0)),IFERROR(INDEX(Mapping!$B$3:$B$13,MATCH($J3866,Mapping!$A$3:$A$13,0)),"(unmapped)")),IFERROR(INDEX(Mapping!$B$17:$B$22,MATCH($F3866,Mapping!$A$17:$A$22,0)),$F3866)&amp;" "&amp;IF($G3866="Banking","Banking",IFERROR(INDEX(Mapping!$E$17:$E$28,MATCH($J3866,Mapping!$D$17:$D$28,0)),"(unmapped)")))))</f>
        <v/>
      </c>
    </row>
    <row r="3867" spans="11:11" x14ac:dyDescent="0.3">
      <c r="K3867" t="str">
        <f>IF($D3867="","",IFERROR(INDEX(Mapping!$H$3:$H$32,MATCH($B3867,Mapping!$G$3:$G$32,0)),IF(LEFT($F3867,3)="P2P",IFERROR(INDEX(Mapping!$E$3:$E$6,MATCH($G3867,Mapping!$D$3:$D$6,0)),IFERROR(INDEX(Mapping!$B$3:$B$13,MATCH($J3867,Mapping!$A$3:$A$13,0)),"(unmapped)")),IFERROR(INDEX(Mapping!$B$17:$B$22,MATCH($F3867,Mapping!$A$17:$A$22,0)),$F3867)&amp;" "&amp;IF($G3867="Banking","Banking",IFERROR(INDEX(Mapping!$E$17:$E$28,MATCH($J3867,Mapping!$D$17:$D$28,0)),"(unmapped)")))))</f>
        <v/>
      </c>
    </row>
    <row r="3868" spans="11:11" x14ac:dyDescent="0.3">
      <c r="K3868" t="str">
        <f>IF($D3868="","",IFERROR(INDEX(Mapping!$H$3:$H$32,MATCH($B3868,Mapping!$G$3:$G$32,0)),IF(LEFT($F3868,3)="P2P",IFERROR(INDEX(Mapping!$E$3:$E$6,MATCH($G3868,Mapping!$D$3:$D$6,0)),IFERROR(INDEX(Mapping!$B$3:$B$13,MATCH($J3868,Mapping!$A$3:$A$13,0)),"(unmapped)")),IFERROR(INDEX(Mapping!$B$17:$B$22,MATCH($F3868,Mapping!$A$17:$A$22,0)),$F3868)&amp;" "&amp;IF($G3868="Banking","Banking",IFERROR(INDEX(Mapping!$E$17:$E$28,MATCH($J3868,Mapping!$D$17:$D$28,0)),"(unmapped)")))))</f>
        <v/>
      </c>
    </row>
    <row r="3869" spans="11:11" x14ac:dyDescent="0.3">
      <c r="K3869" t="str">
        <f>IF($D3869="","",IFERROR(INDEX(Mapping!$H$3:$H$32,MATCH($B3869,Mapping!$G$3:$G$32,0)),IF(LEFT($F3869,3)="P2P",IFERROR(INDEX(Mapping!$E$3:$E$6,MATCH($G3869,Mapping!$D$3:$D$6,0)),IFERROR(INDEX(Mapping!$B$3:$B$13,MATCH($J3869,Mapping!$A$3:$A$13,0)),"(unmapped)")),IFERROR(INDEX(Mapping!$B$17:$B$22,MATCH($F3869,Mapping!$A$17:$A$22,0)),$F3869)&amp;" "&amp;IF($G3869="Banking","Banking",IFERROR(INDEX(Mapping!$E$17:$E$28,MATCH($J3869,Mapping!$D$17:$D$28,0)),"(unmapped)")))))</f>
        <v/>
      </c>
    </row>
    <row r="3870" spans="11:11" x14ac:dyDescent="0.3">
      <c r="K3870" t="str">
        <f>IF($D3870="","",IFERROR(INDEX(Mapping!$H$3:$H$32,MATCH($B3870,Mapping!$G$3:$G$32,0)),IF(LEFT($F3870,3)="P2P",IFERROR(INDEX(Mapping!$E$3:$E$6,MATCH($G3870,Mapping!$D$3:$D$6,0)),IFERROR(INDEX(Mapping!$B$3:$B$13,MATCH($J3870,Mapping!$A$3:$A$13,0)),"(unmapped)")),IFERROR(INDEX(Mapping!$B$17:$B$22,MATCH($F3870,Mapping!$A$17:$A$22,0)),$F3870)&amp;" "&amp;IF($G3870="Banking","Banking",IFERROR(INDEX(Mapping!$E$17:$E$28,MATCH($J3870,Mapping!$D$17:$D$28,0)),"(unmapped)")))))</f>
        <v/>
      </c>
    </row>
    <row r="3871" spans="11:11" x14ac:dyDescent="0.3">
      <c r="K3871" t="str">
        <f>IF($D3871="","",IFERROR(INDEX(Mapping!$H$3:$H$32,MATCH($B3871,Mapping!$G$3:$G$32,0)),IF(LEFT($F3871,3)="P2P",IFERROR(INDEX(Mapping!$E$3:$E$6,MATCH($G3871,Mapping!$D$3:$D$6,0)),IFERROR(INDEX(Mapping!$B$3:$B$13,MATCH($J3871,Mapping!$A$3:$A$13,0)),"(unmapped)")),IFERROR(INDEX(Mapping!$B$17:$B$22,MATCH($F3871,Mapping!$A$17:$A$22,0)),$F3871)&amp;" "&amp;IF($G3871="Banking","Banking",IFERROR(INDEX(Mapping!$E$17:$E$28,MATCH($J3871,Mapping!$D$17:$D$28,0)),"(unmapped)")))))</f>
        <v/>
      </c>
    </row>
    <row r="3872" spans="11:11" x14ac:dyDescent="0.3">
      <c r="K3872" t="str">
        <f>IF($D3872="","",IFERROR(INDEX(Mapping!$H$3:$H$32,MATCH($B3872,Mapping!$G$3:$G$32,0)),IF(LEFT($F3872,3)="P2P",IFERROR(INDEX(Mapping!$E$3:$E$6,MATCH($G3872,Mapping!$D$3:$D$6,0)),IFERROR(INDEX(Mapping!$B$3:$B$13,MATCH($J3872,Mapping!$A$3:$A$13,0)),"(unmapped)")),IFERROR(INDEX(Mapping!$B$17:$B$22,MATCH($F3872,Mapping!$A$17:$A$22,0)),$F3872)&amp;" "&amp;IF($G3872="Banking","Banking",IFERROR(INDEX(Mapping!$E$17:$E$28,MATCH($J3872,Mapping!$D$17:$D$28,0)),"(unmapped)")))))</f>
        <v/>
      </c>
    </row>
    <row r="3873" spans="11:11" x14ac:dyDescent="0.3">
      <c r="K3873" t="str">
        <f>IF($D3873="","",IFERROR(INDEX(Mapping!$H$3:$H$32,MATCH($B3873,Mapping!$G$3:$G$32,0)),IF(LEFT($F3873,3)="P2P",IFERROR(INDEX(Mapping!$E$3:$E$6,MATCH($G3873,Mapping!$D$3:$D$6,0)),IFERROR(INDEX(Mapping!$B$3:$B$13,MATCH($J3873,Mapping!$A$3:$A$13,0)),"(unmapped)")),IFERROR(INDEX(Mapping!$B$17:$B$22,MATCH($F3873,Mapping!$A$17:$A$22,0)),$F3873)&amp;" "&amp;IF($G3873="Banking","Banking",IFERROR(INDEX(Mapping!$E$17:$E$28,MATCH($J3873,Mapping!$D$17:$D$28,0)),"(unmapped)")))))</f>
        <v/>
      </c>
    </row>
    <row r="3874" spans="11:11" x14ac:dyDescent="0.3">
      <c r="K3874" t="str">
        <f>IF($D3874="","",IFERROR(INDEX(Mapping!$H$3:$H$32,MATCH($B3874,Mapping!$G$3:$G$32,0)),IF(LEFT($F3874,3)="P2P",IFERROR(INDEX(Mapping!$E$3:$E$6,MATCH($G3874,Mapping!$D$3:$D$6,0)),IFERROR(INDEX(Mapping!$B$3:$B$13,MATCH($J3874,Mapping!$A$3:$A$13,0)),"(unmapped)")),IFERROR(INDEX(Mapping!$B$17:$B$22,MATCH($F3874,Mapping!$A$17:$A$22,0)),$F3874)&amp;" "&amp;IF($G3874="Banking","Banking",IFERROR(INDEX(Mapping!$E$17:$E$28,MATCH($J3874,Mapping!$D$17:$D$28,0)),"(unmapped)")))))</f>
        <v/>
      </c>
    </row>
    <row r="3875" spans="11:11" x14ac:dyDescent="0.3">
      <c r="K3875" t="str">
        <f>IF($D3875="","",IFERROR(INDEX(Mapping!$H$3:$H$32,MATCH($B3875,Mapping!$G$3:$G$32,0)),IF(LEFT($F3875,3)="P2P",IFERROR(INDEX(Mapping!$E$3:$E$6,MATCH($G3875,Mapping!$D$3:$D$6,0)),IFERROR(INDEX(Mapping!$B$3:$B$13,MATCH($J3875,Mapping!$A$3:$A$13,0)),"(unmapped)")),IFERROR(INDEX(Mapping!$B$17:$B$22,MATCH($F3875,Mapping!$A$17:$A$22,0)),$F3875)&amp;" "&amp;IF($G3875="Banking","Banking",IFERROR(INDEX(Mapping!$E$17:$E$28,MATCH($J3875,Mapping!$D$17:$D$28,0)),"(unmapped)")))))</f>
        <v/>
      </c>
    </row>
    <row r="3876" spans="11:11" x14ac:dyDescent="0.3">
      <c r="K3876" t="str">
        <f>IF($D3876="","",IFERROR(INDEX(Mapping!$H$3:$H$32,MATCH($B3876,Mapping!$G$3:$G$32,0)),IF(LEFT($F3876,3)="P2P",IFERROR(INDEX(Mapping!$E$3:$E$6,MATCH($G3876,Mapping!$D$3:$D$6,0)),IFERROR(INDEX(Mapping!$B$3:$B$13,MATCH($J3876,Mapping!$A$3:$A$13,0)),"(unmapped)")),IFERROR(INDEX(Mapping!$B$17:$B$22,MATCH($F3876,Mapping!$A$17:$A$22,0)),$F3876)&amp;" "&amp;IF($G3876="Banking","Banking",IFERROR(INDEX(Mapping!$E$17:$E$28,MATCH($J3876,Mapping!$D$17:$D$28,0)),"(unmapped)")))))</f>
        <v/>
      </c>
    </row>
    <row r="3877" spans="11:11" x14ac:dyDescent="0.3">
      <c r="K3877" t="str">
        <f>IF($D3877="","",IFERROR(INDEX(Mapping!$H$3:$H$32,MATCH($B3877,Mapping!$G$3:$G$32,0)),IF(LEFT($F3877,3)="P2P",IFERROR(INDEX(Mapping!$E$3:$E$6,MATCH($G3877,Mapping!$D$3:$D$6,0)),IFERROR(INDEX(Mapping!$B$3:$B$13,MATCH($J3877,Mapping!$A$3:$A$13,0)),"(unmapped)")),IFERROR(INDEX(Mapping!$B$17:$B$22,MATCH($F3877,Mapping!$A$17:$A$22,0)),$F3877)&amp;" "&amp;IF($G3877="Banking","Banking",IFERROR(INDEX(Mapping!$E$17:$E$28,MATCH($J3877,Mapping!$D$17:$D$28,0)),"(unmapped)")))))</f>
        <v/>
      </c>
    </row>
    <row r="3878" spans="11:11" x14ac:dyDescent="0.3">
      <c r="K3878" t="str">
        <f>IF($D3878="","",IFERROR(INDEX(Mapping!$H$3:$H$32,MATCH($B3878,Mapping!$G$3:$G$32,0)),IF(LEFT($F3878,3)="P2P",IFERROR(INDEX(Mapping!$E$3:$E$6,MATCH($G3878,Mapping!$D$3:$D$6,0)),IFERROR(INDEX(Mapping!$B$3:$B$13,MATCH($J3878,Mapping!$A$3:$A$13,0)),"(unmapped)")),IFERROR(INDEX(Mapping!$B$17:$B$22,MATCH($F3878,Mapping!$A$17:$A$22,0)),$F3878)&amp;" "&amp;IF($G3878="Banking","Banking",IFERROR(INDEX(Mapping!$E$17:$E$28,MATCH($J3878,Mapping!$D$17:$D$28,0)),"(unmapped)")))))</f>
        <v/>
      </c>
    </row>
    <row r="3879" spans="11:11" x14ac:dyDescent="0.3">
      <c r="K3879" t="str">
        <f>IF($D3879="","",IFERROR(INDEX(Mapping!$H$3:$H$32,MATCH($B3879,Mapping!$G$3:$G$32,0)),IF(LEFT($F3879,3)="P2P",IFERROR(INDEX(Mapping!$E$3:$E$6,MATCH($G3879,Mapping!$D$3:$D$6,0)),IFERROR(INDEX(Mapping!$B$3:$B$13,MATCH($J3879,Mapping!$A$3:$A$13,0)),"(unmapped)")),IFERROR(INDEX(Mapping!$B$17:$B$22,MATCH($F3879,Mapping!$A$17:$A$22,0)),$F3879)&amp;" "&amp;IF($G3879="Banking","Banking",IFERROR(INDEX(Mapping!$E$17:$E$28,MATCH($J3879,Mapping!$D$17:$D$28,0)),"(unmapped)")))))</f>
        <v/>
      </c>
    </row>
    <row r="3880" spans="11:11" x14ac:dyDescent="0.3">
      <c r="K3880" t="str">
        <f>IF($D3880="","",IFERROR(INDEX(Mapping!$H$3:$H$32,MATCH($B3880,Mapping!$G$3:$G$32,0)),IF(LEFT($F3880,3)="P2P",IFERROR(INDEX(Mapping!$E$3:$E$6,MATCH($G3880,Mapping!$D$3:$D$6,0)),IFERROR(INDEX(Mapping!$B$3:$B$13,MATCH($J3880,Mapping!$A$3:$A$13,0)),"(unmapped)")),IFERROR(INDEX(Mapping!$B$17:$B$22,MATCH($F3880,Mapping!$A$17:$A$22,0)),$F3880)&amp;" "&amp;IF($G3880="Banking","Banking",IFERROR(INDEX(Mapping!$E$17:$E$28,MATCH($J3880,Mapping!$D$17:$D$28,0)),"(unmapped)")))))</f>
        <v/>
      </c>
    </row>
    <row r="3881" spans="11:11" x14ac:dyDescent="0.3">
      <c r="K3881" t="str">
        <f>IF($D3881="","",IFERROR(INDEX(Mapping!$H$3:$H$32,MATCH($B3881,Mapping!$G$3:$G$32,0)),IF(LEFT($F3881,3)="P2P",IFERROR(INDEX(Mapping!$E$3:$E$6,MATCH($G3881,Mapping!$D$3:$D$6,0)),IFERROR(INDEX(Mapping!$B$3:$B$13,MATCH($J3881,Mapping!$A$3:$A$13,0)),"(unmapped)")),IFERROR(INDEX(Mapping!$B$17:$B$22,MATCH($F3881,Mapping!$A$17:$A$22,0)),$F3881)&amp;" "&amp;IF($G3881="Banking","Banking",IFERROR(INDEX(Mapping!$E$17:$E$28,MATCH($J3881,Mapping!$D$17:$D$28,0)),"(unmapped)")))))</f>
        <v/>
      </c>
    </row>
    <row r="3882" spans="11:11" x14ac:dyDescent="0.3">
      <c r="K3882" t="str">
        <f>IF($D3882="","",IFERROR(INDEX(Mapping!$H$3:$H$32,MATCH($B3882,Mapping!$G$3:$G$32,0)),IF(LEFT($F3882,3)="P2P",IFERROR(INDEX(Mapping!$E$3:$E$6,MATCH($G3882,Mapping!$D$3:$D$6,0)),IFERROR(INDEX(Mapping!$B$3:$B$13,MATCH($J3882,Mapping!$A$3:$A$13,0)),"(unmapped)")),IFERROR(INDEX(Mapping!$B$17:$B$22,MATCH($F3882,Mapping!$A$17:$A$22,0)),$F3882)&amp;" "&amp;IF($G3882="Banking","Banking",IFERROR(INDEX(Mapping!$E$17:$E$28,MATCH($J3882,Mapping!$D$17:$D$28,0)),"(unmapped)")))))</f>
        <v/>
      </c>
    </row>
    <row r="3883" spans="11:11" x14ac:dyDescent="0.3">
      <c r="K3883" t="str">
        <f>IF($D3883="","",IFERROR(INDEX(Mapping!$H$3:$H$32,MATCH($B3883,Mapping!$G$3:$G$32,0)),IF(LEFT($F3883,3)="P2P",IFERROR(INDEX(Mapping!$E$3:$E$6,MATCH($G3883,Mapping!$D$3:$D$6,0)),IFERROR(INDEX(Mapping!$B$3:$B$13,MATCH($J3883,Mapping!$A$3:$A$13,0)),"(unmapped)")),IFERROR(INDEX(Mapping!$B$17:$B$22,MATCH($F3883,Mapping!$A$17:$A$22,0)),$F3883)&amp;" "&amp;IF($G3883="Banking","Banking",IFERROR(INDEX(Mapping!$E$17:$E$28,MATCH($J3883,Mapping!$D$17:$D$28,0)),"(unmapped)")))))</f>
        <v/>
      </c>
    </row>
    <row r="3884" spans="11:11" x14ac:dyDescent="0.3">
      <c r="K3884" t="str">
        <f>IF($D3884="","",IFERROR(INDEX(Mapping!$H$3:$H$32,MATCH($B3884,Mapping!$G$3:$G$32,0)),IF(LEFT($F3884,3)="P2P",IFERROR(INDEX(Mapping!$E$3:$E$6,MATCH($G3884,Mapping!$D$3:$D$6,0)),IFERROR(INDEX(Mapping!$B$3:$B$13,MATCH($J3884,Mapping!$A$3:$A$13,0)),"(unmapped)")),IFERROR(INDEX(Mapping!$B$17:$B$22,MATCH($F3884,Mapping!$A$17:$A$22,0)),$F3884)&amp;" "&amp;IF($G3884="Banking","Banking",IFERROR(INDEX(Mapping!$E$17:$E$28,MATCH($J3884,Mapping!$D$17:$D$28,0)),"(unmapped)")))))</f>
        <v/>
      </c>
    </row>
    <row r="3885" spans="11:11" x14ac:dyDescent="0.3">
      <c r="K3885" t="str">
        <f>IF($D3885="","",IFERROR(INDEX(Mapping!$H$3:$H$32,MATCH($B3885,Mapping!$G$3:$G$32,0)),IF(LEFT($F3885,3)="P2P",IFERROR(INDEX(Mapping!$E$3:$E$6,MATCH($G3885,Mapping!$D$3:$D$6,0)),IFERROR(INDEX(Mapping!$B$3:$B$13,MATCH($J3885,Mapping!$A$3:$A$13,0)),"(unmapped)")),IFERROR(INDEX(Mapping!$B$17:$B$22,MATCH($F3885,Mapping!$A$17:$A$22,0)),$F3885)&amp;" "&amp;IF($G3885="Banking","Banking",IFERROR(INDEX(Mapping!$E$17:$E$28,MATCH($J3885,Mapping!$D$17:$D$28,0)),"(unmapped)")))))</f>
        <v/>
      </c>
    </row>
    <row r="3886" spans="11:11" x14ac:dyDescent="0.3">
      <c r="K3886" t="str">
        <f>IF($D3886="","",IFERROR(INDEX(Mapping!$H$3:$H$32,MATCH($B3886,Mapping!$G$3:$G$32,0)),IF(LEFT($F3886,3)="P2P",IFERROR(INDEX(Mapping!$E$3:$E$6,MATCH($G3886,Mapping!$D$3:$D$6,0)),IFERROR(INDEX(Mapping!$B$3:$B$13,MATCH($J3886,Mapping!$A$3:$A$13,0)),"(unmapped)")),IFERROR(INDEX(Mapping!$B$17:$B$22,MATCH($F3886,Mapping!$A$17:$A$22,0)),$F3886)&amp;" "&amp;IF($G3886="Banking","Banking",IFERROR(INDEX(Mapping!$E$17:$E$28,MATCH($J3886,Mapping!$D$17:$D$28,0)),"(unmapped)")))))</f>
        <v/>
      </c>
    </row>
    <row r="3887" spans="11:11" x14ac:dyDescent="0.3">
      <c r="K3887" t="str">
        <f>IF($D3887="","",IFERROR(INDEX(Mapping!$H$3:$H$32,MATCH($B3887,Mapping!$G$3:$G$32,0)),IF(LEFT($F3887,3)="P2P",IFERROR(INDEX(Mapping!$E$3:$E$6,MATCH($G3887,Mapping!$D$3:$D$6,0)),IFERROR(INDEX(Mapping!$B$3:$B$13,MATCH($J3887,Mapping!$A$3:$A$13,0)),"(unmapped)")),IFERROR(INDEX(Mapping!$B$17:$B$22,MATCH($F3887,Mapping!$A$17:$A$22,0)),$F3887)&amp;" "&amp;IF($G3887="Banking","Banking",IFERROR(INDEX(Mapping!$E$17:$E$28,MATCH($J3887,Mapping!$D$17:$D$28,0)),"(unmapped)")))))</f>
        <v/>
      </c>
    </row>
    <row r="3888" spans="11:11" x14ac:dyDescent="0.3">
      <c r="K3888" t="str">
        <f>IF($D3888="","",IFERROR(INDEX(Mapping!$H$3:$H$32,MATCH($B3888,Mapping!$G$3:$G$32,0)),IF(LEFT($F3888,3)="P2P",IFERROR(INDEX(Mapping!$E$3:$E$6,MATCH($G3888,Mapping!$D$3:$D$6,0)),IFERROR(INDEX(Mapping!$B$3:$B$13,MATCH($J3888,Mapping!$A$3:$A$13,0)),"(unmapped)")),IFERROR(INDEX(Mapping!$B$17:$B$22,MATCH($F3888,Mapping!$A$17:$A$22,0)),$F3888)&amp;" "&amp;IF($G3888="Banking","Banking",IFERROR(INDEX(Mapping!$E$17:$E$28,MATCH($J3888,Mapping!$D$17:$D$28,0)),"(unmapped)")))))</f>
        <v/>
      </c>
    </row>
    <row r="3889" spans="11:11" x14ac:dyDescent="0.3">
      <c r="K3889" t="str">
        <f>IF($D3889="","",IFERROR(INDEX(Mapping!$H$3:$H$32,MATCH($B3889,Mapping!$G$3:$G$32,0)),IF(LEFT($F3889,3)="P2P",IFERROR(INDEX(Mapping!$E$3:$E$6,MATCH($G3889,Mapping!$D$3:$D$6,0)),IFERROR(INDEX(Mapping!$B$3:$B$13,MATCH($J3889,Mapping!$A$3:$A$13,0)),"(unmapped)")),IFERROR(INDEX(Mapping!$B$17:$B$22,MATCH($F3889,Mapping!$A$17:$A$22,0)),$F3889)&amp;" "&amp;IF($G3889="Banking","Banking",IFERROR(INDEX(Mapping!$E$17:$E$28,MATCH($J3889,Mapping!$D$17:$D$28,0)),"(unmapped)")))))</f>
        <v/>
      </c>
    </row>
    <row r="3890" spans="11:11" x14ac:dyDescent="0.3">
      <c r="K3890" t="str">
        <f>IF($D3890="","",IFERROR(INDEX(Mapping!$H$3:$H$32,MATCH($B3890,Mapping!$G$3:$G$32,0)),IF(LEFT($F3890,3)="P2P",IFERROR(INDEX(Mapping!$E$3:$E$6,MATCH($G3890,Mapping!$D$3:$D$6,0)),IFERROR(INDEX(Mapping!$B$3:$B$13,MATCH($J3890,Mapping!$A$3:$A$13,0)),"(unmapped)")),IFERROR(INDEX(Mapping!$B$17:$B$22,MATCH($F3890,Mapping!$A$17:$A$22,0)),$F3890)&amp;" "&amp;IF($G3890="Banking","Banking",IFERROR(INDEX(Mapping!$E$17:$E$28,MATCH($J3890,Mapping!$D$17:$D$28,0)),"(unmapped)")))))</f>
        <v/>
      </c>
    </row>
    <row r="3891" spans="11:11" x14ac:dyDescent="0.3">
      <c r="K3891" t="str">
        <f>IF($D3891="","",IFERROR(INDEX(Mapping!$H$3:$H$32,MATCH($B3891,Mapping!$G$3:$G$32,0)),IF(LEFT($F3891,3)="P2P",IFERROR(INDEX(Mapping!$E$3:$E$6,MATCH($G3891,Mapping!$D$3:$D$6,0)),IFERROR(INDEX(Mapping!$B$3:$B$13,MATCH($J3891,Mapping!$A$3:$A$13,0)),"(unmapped)")),IFERROR(INDEX(Mapping!$B$17:$B$22,MATCH($F3891,Mapping!$A$17:$A$22,0)),$F3891)&amp;" "&amp;IF($G3891="Banking","Banking",IFERROR(INDEX(Mapping!$E$17:$E$28,MATCH($J3891,Mapping!$D$17:$D$28,0)),"(unmapped)")))))</f>
        <v/>
      </c>
    </row>
    <row r="3892" spans="11:11" x14ac:dyDescent="0.3">
      <c r="K3892" t="str">
        <f>IF($D3892="","",IFERROR(INDEX(Mapping!$H$3:$H$32,MATCH($B3892,Mapping!$G$3:$G$32,0)),IF(LEFT($F3892,3)="P2P",IFERROR(INDEX(Mapping!$E$3:$E$6,MATCH($G3892,Mapping!$D$3:$D$6,0)),IFERROR(INDEX(Mapping!$B$3:$B$13,MATCH($J3892,Mapping!$A$3:$A$13,0)),"(unmapped)")),IFERROR(INDEX(Mapping!$B$17:$B$22,MATCH($F3892,Mapping!$A$17:$A$22,0)),$F3892)&amp;" "&amp;IF($G3892="Banking","Banking",IFERROR(INDEX(Mapping!$E$17:$E$28,MATCH($J3892,Mapping!$D$17:$D$28,0)),"(unmapped)")))))</f>
        <v/>
      </c>
    </row>
    <row r="3893" spans="11:11" x14ac:dyDescent="0.3">
      <c r="K3893" t="str">
        <f>IF($D3893="","",IFERROR(INDEX(Mapping!$H$3:$H$32,MATCH($B3893,Mapping!$G$3:$G$32,0)),IF(LEFT($F3893,3)="P2P",IFERROR(INDEX(Mapping!$E$3:$E$6,MATCH($G3893,Mapping!$D$3:$D$6,0)),IFERROR(INDEX(Mapping!$B$3:$B$13,MATCH($J3893,Mapping!$A$3:$A$13,0)),"(unmapped)")),IFERROR(INDEX(Mapping!$B$17:$B$22,MATCH($F3893,Mapping!$A$17:$A$22,0)),$F3893)&amp;" "&amp;IF($G3893="Banking","Banking",IFERROR(INDEX(Mapping!$E$17:$E$28,MATCH($J3893,Mapping!$D$17:$D$28,0)),"(unmapped)")))))</f>
        <v/>
      </c>
    </row>
    <row r="3894" spans="11:11" x14ac:dyDescent="0.3">
      <c r="K3894" t="str">
        <f>IF($D3894="","",IFERROR(INDEX(Mapping!$H$3:$H$32,MATCH($B3894,Mapping!$G$3:$G$32,0)),IF(LEFT($F3894,3)="P2P",IFERROR(INDEX(Mapping!$E$3:$E$6,MATCH($G3894,Mapping!$D$3:$D$6,0)),IFERROR(INDEX(Mapping!$B$3:$B$13,MATCH($J3894,Mapping!$A$3:$A$13,0)),"(unmapped)")),IFERROR(INDEX(Mapping!$B$17:$B$22,MATCH($F3894,Mapping!$A$17:$A$22,0)),$F3894)&amp;" "&amp;IF($G3894="Banking","Banking",IFERROR(INDEX(Mapping!$E$17:$E$28,MATCH($J3894,Mapping!$D$17:$D$28,0)),"(unmapped)")))))</f>
        <v/>
      </c>
    </row>
    <row r="3895" spans="11:11" x14ac:dyDescent="0.3">
      <c r="K3895" t="str">
        <f>IF($D3895="","",IFERROR(INDEX(Mapping!$H$3:$H$32,MATCH($B3895,Mapping!$G$3:$G$32,0)),IF(LEFT($F3895,3)="P2P",IFERROR(INDEX(Mapping!$E$3:$E$6,MATCH($G3895,Mapping!$D$3:$D$6,0)),IFERROR(INDEX(Mapping!$B$3:$B$13,MATCH($J3895,Mapping!$A$3:$A$13,0)),"(unmapped)")),IFERROR(INDEX(Mapping!$B$17:$B$22,MATCH($F3895,Mapping!$A$17:$A$22,0)),$F3895)&amp;" "&amp;IF($G3895="Banking","Banking",IFERROR(INDEX(Mapping!$E$17:$E$28,MATCH($J3895,Mapping!$D$17:$D$28,0)),"(unmapped)")))))</f>
        <v/>
      </c>
    </row>
    <row r="3896" spans="11:11" x14ac:dyDescent="0.3">
      <c r="K3896" t="str">
        <f>IF($D3896="","",IFERROR(INDEX(Mapping!$H$3:$H$32,MATCH($B3896,Mapping!$G$3:$G$32,0)),IF(LEFT($F3896,3)="P2P",IFERROR(INDEX(Mapping!$E$3:$E$6,MATCH($G3896,Mapping!$D$3:$D$6,0)),IFERROR(INDEX(Mapping!$B$3:$B$13,MATCH($J3896,Mapping!$A$3:$A$13,0)),"(unmapped)")),IFERROR(INDEX(Mapping!$B$17:$B$22,MATCH($F3896,Mapping!$A$17:$A$22,0)),$F3896)&amp;" "&amp;IF($G3896="Banking","Banking",IFERROR(INDEX(Mapping!$E$17:$E$28,MATCH($J3896,Mapping!$D$17:$D$28,0)),"(unmapped)")))))</f>
        <v/>
      </c>
    </row>
    <row r="3897" spans="11:11" x14ac:dyDescent="0.3">
      <c r="K3897" t="str">
        <f>IF($D3897="","",IFERROR(INDEX(Mapping!$H$3:$H$32,MATCH($B3897,Mapping!$G$3:$G$32,0)),IF(LEFT($F3897,3)="P2P",IFERROR(INDEX(Mapping!$E$3:$E$6,MATCH($G3897,Mapping!$D$3:$D$6,0)),IFERROR(INDEX(Mapping!$B$3:$B$13,MATCH($J3897,Mapping!$A$3:$A$13,0)),"(unmapped)")),IFERROR(INDEX(Mapping!$B$17:$B$22,MATCH($F3897,Mapping!$A$17:$A$22,0)),$F3897)&amp;" "&amp;IF($G3897="Banking","Banking",IFERROR(INDEX(Mapping!$E$17:$E$28,MATCH($J3897,Mapping!$D$17:$D$28,0)),"(unmapped)")))))</f>
        <v/>
      </c>
    </row>
    <row r="3898" spans="11:11" x14ac:dyDescent="0.3">
      <c r="K3898" t="str">
        <f>IF($D3898="","",IFERROR(INDEX(Mapping!$H$3:$H$32,MATCH($B3898,Mapping!$G$3:$G$32,0)),IF(LEFT($F3898,3)="P2P",IFERROR(INDEX(Mapping!$E$3:$E$6,MATCH($G3898,Mapping!$D$3:$D$6,0)),IFERROR(INDEX(Mapping!$B$3:$B$13,MATCH($J3898,Mapping!$A$3:$A$13,0)),"(unmapped)")),IFERROR(INDEX(Mapping!$B$17:$B$22,MATCH($F3898,Mapping!$A$17:$A$22,0)),$F3898)&amp;" "&amp;IF($G3898="Banking","Banking",IFERROR(INDEX(Mapping!$E$17:$E$28,MATCH($J3898,Mapping!$D$17:$D$28,0)),"(unmapped)")))))</f>
        <v/>
      </c>
    </row>
    <row r="3899" spans="11:11" x14ac:dyDescent="0.3">
      <c r="K3899" t="str">
        <f>IF($D3899="","",IFERROR(INDEX(Mapping!$H$3:$H$32,MATCH($B3899,Mapping!$G$3:$G$32,0)),IF(LEFT($F3899,3)="P2P",IFERROR(INDEX(Mapping!$E$3:$E$6,MATCH($G3899,Mapping!$D$3:$D$6,0)),IFERROR(INDEX(Mapping!$B$3:$B$13,MATCH($J3899,Mapping!$A$3:$A$13,0)),"(unmapped)")),IFERROR(INDEX(Mapping!$B$17:$B$22,MATCH($F3899,Mapping!$A$17:$A$22,0)),$F3899)&amp;" "&amp;IF($G3899="Banking","Banking",IFERROR(INDEX(Mapping!$E$17:$E$28,MATCH($J3899,Mapping!$D$17:$D$28,0)),"(unmapped)")))))</f>
        <v/>
      </c>
    </row>
    <row r="3900" spans="11:11" x14ac:dyDescent="0.3">
      <c r="K3900" t="str">
        <f>IF($D3900="","",IFERROR(INDEX(Mapping!$H$3:$H$32,MATCH($B3900,Mapping!$G$3:$G$32,0)),IF(LEFT($F3900,3)="P2P",IFERROR(INDEX(Mapping!$E$3:$E$6,MATCH($G3900,Mapping!$D$3:$D$6,0)),IFERROR(INDEX(Mapping!$B$3:$B$13,MATCH($J3900,Mapping!$A$3:$A$13,0)),"(unmapped)")),IFERROR(INDEX(Mapping!$B$17:$B$22,MATCH($F3900,Mapping!$A$17:$A$22,0)),$F3900)&amp;" "&amp;IF($G3900="Banking","Banking",IFERROR(INDEX(Mapping!$E$17:$E$28,MATCH($J3900,Mapping!$D$17:$D$28,0)),"(unmapped)")))))</f>
        <v/>
      </c>
    </row>
    <row r="3901" spans="11:11" x14ac:dyDescent="0.3">
      <c r="K3901" t="str">
        <f>IF($D3901="","",IFERROR(INDEX(Mapping!$H$3:$H$32,MATCH($B3901,Mapping!$G$3:$G$32,0)),IF(LEFT($F3901,3)="P2P",IFERROR(INDEX(Mapping!$E$3:$E$6,MATCH($G3901,Mapping!$D$3:$D$6,0)),IFERROR(INDEX(Mapping!$B$3:$B$13,MATCH($J3901,Mapping!$A$3:$A$13,0)),"(unmapped)")),IFERROR(INDEX(Mapping!$B$17:$B$22,MATCH($F3901,Mapping!$A$17:$A$22,0)),$F3901)&amp;" "&amp;IF($G3901="Banking","Banking",IFERROR(INDEX(Mapping!$E$17:$E$28,MATCH($J3901,Mapping!$D$17:$D$28,0)),"(unmapped)")))))</f>
        <v/>
      </c>
    </row>
    <row r="3902" spans="11:11" x14ac:dyDescent="0.3">
      <c r="K3902" t="str">
        <f>IF($D3902="","",IFERROR(INDEX(Mapping!$H$3:$H$32,MATCH($B3902,Mapping!$G$3:$G$32,0)),IF(LEFT($F3902,3)="P2P",IFERROR(INDEX(Mapping!$E$3:$E$6,MATCH($G3902,Mapping!$D$3:$D$6,0)),IFERROR(INDEX(Mapping!$B$3:$B$13,MATCH($J3902,Mapping!$A$3:$A$13,0)),"(unmapped)")),IFERROR(INDEX(Mapping!$B$17:$B$22,MATCH($F3902,Mapping!$A$17:$A$22,0)),$F3902)&amp;" "&amp;IF($G3902="Banking","Banking",IFERROR(INDEX(Mapping!$E$17:$E$28,MATCH($J3902,Mapping!$D$17:$D$28,0)),"(unmapped)")))))</f>
        <v/>
      </c>
    </row>
    <row r="3903" spans="11:11" x14ac:dyDescent="0.3">
      <c r="K3903" t="str">
        <f>IF($D3903="","",IFERROR(INDEX(Mapping!$H$3:$H$32,MATCH($B3903,Mapping!$G$3:$G$32,0)),IF(LEFT($F3903,3)="P2P",IFERROR(INDEX(Mapping!$E$3:$E$6,MATCH($G3903,Mapping!$D$3:$D$6,0)),IFERROR(INDEX(Mapping!$B$3:$B$13,MATCH($J3903,Mapping!$A$3:$A$13,0)),"(unmapped)")),IFERROR(INDEX(Mapping!$B$17:$B$22,MATCH($F3903,Mapping!$A$17:$A$22,0)),$F3903)&amp;" "&amp;IF($G3903="Banking","Banking",IFERROR(INDEX(Mapping!$E$17:$E$28,MATCH($J3903,Mapping!$D$17:$D$28,0)),"(unmapped)")))))</f>
        <v/>
      </c>
    </row>
    <row r="3904" spans="11:11" x14ac:dyDescent="0.3">
      <c r="K3904" t="str">
        <f>IF($D3904="","",IFERROR(INDEX(Mapping!$H$3:$H$32,MATCH($B3904,Mapping!$G$3:$G$32,0)),IF(LEFT($F3904,3)="P2P",IFERROR(INDEX(Mapping!$E$3:$E$6,MATCH($G3904,Mapping!$D$3:$D$6,0)),IFERROR(INDEX(Mapping!$B$3:$B$13,MATCH($J3904,Mapping!$A$3:$A$13,0)),"(unmapped)")),IFERROR(INDEX(Mapping!$B$17:$B$22,MATCH($F3904,Mapping!$A$17:$A$22,0)),$F3904)&amp;" "&amp;IF($G3904="Banking","Banking",IFERROR(INDEX(Mapping!$E$17:$E$28,MATCH($J3904,Mapping!$D$17:$D$28,0)),"(unmapped)")))))</f>
        <v/>
      </c>
    </row>
    <row r="3905" spans="11:11" x14ac:dyDescent="0.3">
      <c r="K3905" t="str">
        <f>IF($D3905="","",IFERROR(INDEX(Mapping!$H$3:$H$32,MATCH($B3905,Mapping!$G$3:$G$32,0)),IF(LEFT($F3905,3)="P2P",IFERROR(INDEX(Mapping!$E$3:$E$6,MATCH($G3905,Mapping!$D$3:$D$6,0)),IFERROR(INDEX(Mapping!$B$3:$B$13,MATCH($J3905,Mapping!$A$3:$A$13,0)),"(unmapped)")),IFERROR(INDEX(Mapping!$B$17:$B$22,MATCH($F3905,Mapping!$A$17:$A$22,0)),$F3905)&amp;" "&amp;IF($G3905="Banking","Banking",IFERROR(INDEX(Mapping!$E$17:$E$28,MATCH($J3905,Mapping!$D$17:$D$28,0)),"(unmapped)")))))</f>
        <v/>
      </c>
    </row>
    <row r="3906" spans="11:11" x14ac:dyDescent="0.3">
      <c r="K3906" t="str">
        <f>IF($D3906="","",IFERROR(INDEX(Mapping!$H$3:$H$32,MATCH($B3906,Mapping!$G$3:$G$32,0)),IF(LEFT($F3906,3)="P2P",IFERROR(INDEX(Mapping!$E$3:$E$6,MATCH($G3906,Mapping!$D$3:$D$6,0)),IFERROR(INDEX(Mapping!$B$3:$B$13,MATCH($J3906,Mapping!$A$3:$A$13,0)),"(unmapped)")),IFERROR(INDEX(Mapping!$B$17:$B$22,MATCH($F3906,Mapping!$A$17:$A$22,0)),$F3906)&amp;" "&amp;IF($G3906="Banking","Banking",IFERROR(INDEX(Mapping!$E$17:$E$28,MATCH($J3906,Mapping!$D$17:$D$28,0)),"(unmapped)")))))</f>
        <v/>
      </c>
    </row>
    <row r="3907" spans="11:11" x14ac:dyDescent="0.3">
      <c r="K3907" t="str">
        <f>IF($D3907="","",IFERROR(INDEX(Mapping!$H$3:$H$32,MATCH($B3907,Mapping!$G$3:$G$32,0)),IF(LEFT($F3907,3)="P2P",IFERROR(INDEX(Mapping!$E$3:$E$6,MATCH($G3907,Mapping!$D$3:$D$6,0)),IFERROR(INDEX(Mapping!$B$3:$B$13,MATCH($J3907,Mapping!$A$3:$A$13,0)),"(unmapped)")),IFERROR(INDEX(Mapping!$B$17:$B$22,MATCH($F3907,Mapping!$A$17:$A$22,0)),$F3907)&amp;" "&amp;IF($G3907="Banking","Banking",IFERROR(INDEX(Mapping!$E$17:$E$28,MATCH($J3907,Mapping!$D$17:$D$28,0)),"(unmapped)")))))</f>
        <v/>
      </c>
    </row>
    <row r="3908" spans="11:11" x14ac:dyDescent="0.3">
      <c r="K3908" t="str">
        <f>IF($D3908="","",IFERROR(INDEX(Mapping!$H$3:$H$32,MATCH($B3908,Mapping!$G$3:$G$32,0)),IF(LEFT($F3908,3)="P2P",IFERROR(INDEX(Mapping!$E$3:$E$6,MATCH($G3908,Mapping!$D$3:$D$6,0)),IFERROR(INDEX(Mapping!$B$3:$B$13,MATCH($J3908,Mapping!$A$3:$A$13,0)),"(unmapped)")),IFERROR(INDEX(Mapping!$B$17:$B$22,MATCH($F3908,Mapping!$A$17:$A$22,0)),$F3908)&amp;" "&amp;IF($G3908="Banking","Banking",IFERROR(INDEX(Mapping!$E$17:$E$28,MATCH($J3908,Mapping!$D$17:$D$28,0)),"(unmapped)")))))</f>
        <v/>
      </c>
    </row>
    <row r="3909" spans="11:11" x14ac:dyDescent="0.3">
      <c r="K3909" t="str">
        <f>IF($D3909="","",IFERROR(INDEX(Mapping!$H$3:$H$32,MATCH($B3909,Mapping!$G$3:$G$32,0)),IF(LEFT($F3909,3)="P2P",IFERROR(INDEX(Mapping!$E$3:$E$6,MATCH($G3909,Mapping!$D$3:$D$6,0)),IFERROR(INDEX(Mapping!$B$3:$B$13,MATCH($J3909,Mapping!$A$3:$A$13,0)),"(unmapped)")),IFERROR(INDEX(Mapping!$B$17:$B$22,MATCH($F3909,Mapping!$A$17:$A$22,0)),$F3909)&amp;" "&amp;IF($G3909="Banking","Banking",IFERROR(INDEX(Mapping!$E$17:$E$28,MATCH($J3909,Mapping!$D$17:$D$28,0)),"(unmapped)")))))</f>
        <v/>
      </c>
    </row>
    <row r="3910" spans="11:11" x14ac:dyDescent="0.3">
      <c r="K3910" t="str">
        <f>IF($D3910="","",IFERROR(INDEX(Mapping!$H$3:$H$32,MATCH($B3910,Mapping!$G$3:$G$32,0)),IF(LEFT($F3910,3)="P2P",IFERROR(INDEX(Mapping!$E$3:$E$6,MATCH($G3910,Mapping!$D$3:$D$6,0)),IFERROR(INDEX(Mapping!$B$3:$B$13,MATCH($J3910,Mapping!$A$3:$A$13,0)),"(unmapped)")),IFERROR(INDEX(Mapping!$B$17:$B$22,MATCH($F3910,Mapping!$A$17:$A$22,0)),$F3910)&amp;" "&amp;IF($G3910="Banking","Banking",IFERROR(INDEX(Mapping!$E$17:$E$28,MATCH($J3910,Mapping!$D$17:$D$28,0)),"(unmapped)")))))</f>
        <v/>
      </c>
    </row>
    <row r="3911" spans="11:11" x14ac:dyDescent="0.3">
      <c r="K3911" t="str">
        <f>IF($D3911="","",IFERROR(INDEX(Mapping!$H$3:$H$32,MATCH($B3911,Mapping!$G$3:$G$32,0)),IF(LEFT($F3911,3)="P2P",IFERROR(INDEX(Mapping!$E$3:$E$6,MATCH($G3911,Mapping!$D$3:$D$6,0)),IFERROR(INDEX(Mapping!$B$3:$B$13,MATCH($J3911,Mapping!$A$3:$A$13,0)),"(unmapped)")),IFERROR(INDEX(Mapping!$B$17:$B$22,MATCH($F3911,Mapping!$A$17:$A$22,0)),$F3911)&amp;" "&amp;IF($G3911="Banking","Banking",IFERROR(INDEX(Mapping!$E$17:$E$28,MATCH($J3911,Mapping!$D$17:$D$28,0)),"(unmapped)")))))</f>
        <v/>
      </c>
    </row>
    <row r="3912" spans="11:11" x14ac:dyDescent="0.3">
      <c r="K3912" t="str">
        <f>IF($D3912="","",IFERROR(INDEX(Mapping!$H$3:$H$32,MATCH($B3912,Mapping!$G$3:$G$32,0)),IF(LEFT($F3912,3)="P2P",IFERROR(INDEX(Mapping!$E$3:$E$6,MATCH($G3912,Mapping!$D$3:$D$6,0)),IFERROR(INDEX(Mapping!$B$3:$B$13,MATCH($J3912,Mapping!$A$3:$A$13,0)),"(unmapped)")),IFERROR(INDEX(Mapping!$B$17:$B$22,MATCH($F3912,Mapping!$A$17:$A$22,0)),$F3912)&amp;" "&amp;IF($G3912="Banking","Banking",IFERROR(INDEX(Mapping!$E$17:$E$28,MATCH($J3912,Mapping!$D$17:$D$28,0)),"(unmapped)")))))</f>
        <v/>
      </c>
    </row>
    <row r="3913" spans="11:11" x14ac:dyDescent="0.3">
      <c r="K3913" t="str">
        <f>IF($D3913="","",IFERROR(INDEX(Mapping!$H$3:$H$32,MATCH($B3913,Mapping!$G$3:$G$32,0)),IF(LEFT($F3913,3)="P2P",IFERROR(INDEX(Mapping!$E$3:$E$6,MATCH($G3913,Mapping!$D$3:$D$6,0)),IFERROR(INDEX(Mapping!$B$3:$B$13,MATCH($J3913,Mapping!$A$3:$A$13,0)),"(unmapped)")),IFERROR(INDEX(Mapping!$B$17:$B$22,MATCH($F3913,Mapping!$A$17:$A$22,0)),$F3913)&amp;" "&amp;IF($G3913="Banking","Banking",IFERROR(INDEX(Mapping!$E$17:$E$28,MATCH($J3913,Mapping!$D$17:$D$28,0)),"(unmapped)")))))</f>
        <v/>
      </c>
    </row>
    <row r="3914" spans="11:11" x14ac:dyDescent="0.3">
      <c r="K3914" t="str">
        <f>IF($D3914="","",IFERROR(INDEX(Mapping!$H$3:$H$32,MATCH($B3914,Mapping!$G$3:$G$32,0)),IF(LEFT($F3914,3)="P2P",IFERROR(INDEX(Mapping!$E$3:$E$6,MATCH($G3914,Mapping!$D$3:$D$6,0)),IFERROR(INDEX(Mapping!$B$3:$B$13,MATCH($J3914,Mapping!$A$3:$A$13,0)),"(unmapped)")),IFERROR(INDEX(Mapping!$B$17:$B$22,MATCH($F3914,Mapping!$A$17:$A$22,0)),$F3914)&amp;" "&amp;IF($G3914="Banking","Banking",IFERROR(INDEX(Mapping!$E$17:$E$28,MATCH($J3914,Mapping!$D$17:$D$28,0)),"(unmapped)")))))</f>
        <v/>
      </c>
    </row>
    <row r="3915" spans="11:11" x14ac:dyDescent="0.3">
      <c r="K3915" t="str">
        <f>IF($D3915="","",IFERROR(INDEX(Mapping!$H$3:$H$32,MATCH($B3915,Mapping!$G$3:$G$32,0)),IF(LEFT($F3915,3)="P2P",IFERROR(INDEX(Mapping!$E$3:$E$6,MATCH($G3915,Mapping!$D$3:$D$6,0)),IFERROR(INDEX(Mapping!$B$3:$B$13,MATCH($J3915,Mapping!$A$3:$A$13,0)),"(unmapped)")),IFERROR(INDEX(Mapping!$B$17:$B$22,MATCH($F3915,Mapping!$A$17:$A$22,0)),$F3915)&amp;" "&amp;IF($G3915="Banking","Banking",IFERROR(INDEX(Mapping!$E$17:$E$28,MATCH($J3915,Mapping!$D$17:$D$28,0)),"(unmapped)")))))</f>
        <v/>
      </c>
    </row>
    <row r="3916" spans="11:11" x14ac:dyDescent="0.3">
      <c r="K3916" t="str">
        <f>IF($D3916="","",IFERROR(INDEX(Mapping!$H$3:$H$32,MATCH($B3916,Mapping!$G$3:$G$32,0)),IF(LEFT($F3916,3)="P2P",IFERROR(INDEX(Mapping!$E$3:$E$6,MATCH($G3916,Mapping!$D$3:$D$6,0)),IFERROR(INDEX(Mapping!$B$3:$B$13,MATCH($J3916,Mapping!$A$3:$A$13,0)),"(unmapped)")),IFERROR(INDEX(Mapping!$B$17:$B$22,MATCH($F3916,Mapping!$A$17:$A$22,0)),$F3916)&amp;" "&amp;IF($G3916="Banking","Banking",IFERROR(INDEX(Mapping!$E$17:$E$28,MATCH($J3916,Mapping!$D$17:$D$28,0)),"(unmapped)")))))</f>
        <v/>
      </c>
    </row>
    <row r="3917" spans="11:11" x14ac:dyDescent="0.3">
      <c r="K3917" t="str">
        <f>IF($D3917="","",IFERROR(INDEX(Mapping!$H$3:$H$32,MATCH($B3917,Mapping!$G$3:$G$32,0)),IF(LEFT($F3917,3)="P2P",IFERROR(INDEX(Mapping!$E$3:$E$6,MATCH($G3917,Mapping!$D$3:$D$6,0)),IFERROR(INDEX(Mapping!$B$3:$B$13,MATCH($J3917,Mapping!$A$3:$A$13,0)),"(unmapped)")),IFERROR(INDEX(Mapping!$B$17:$B$22,MATCH($F3917,Mapping!$A$17:$A$22,0)),$F3917)&amp;" "&amp;IF($G3917="Banking","Banking",IFERROR(INDEX(Mapping!$E$17:$E$28,MATCH($J3917,Mapping!$D$17:$D$28,0)),"(unmapped)")))))</f>
        <v/>
      </c>
    </row>
    <row r="3918" spans="11:11" x14ac:dyDescent="0.3">
      <c r="K3918" t="str">
        <f>IF($D3918="","",IFERROR(INDEX(Mapping!$H$3:$H$32,MATCH($B3918,Mapping!$G$3:$G$32,0)),IF(LEFT($F3918,3)="P2P",IFERROR(INDEX(Mapping!$E$3:$E$6,MATCH($G3918,Mapping!$D$3:$D$6,0)),IFERROR(INDEX(Mapping!$B$3:$B$13,MATCH($J3918,Mapping!$A$3:$A$13,0)),"(unmapped)")),IFERROR(INDEX(Mapping!$B$17:$B$22,MATCH($F3918,Mapping!$A$17:$A$22,0)),$F3918)&amp;" "&amp;IF($G3918="Banking","Banking",IFERROR(INDEX(Mapping!$E$17:$E$28,MATCH($J3918,Mapping!$D$17:$D$28,0)),"(unmapped)")))))</f>
        <v/>
      </c>
    </row>
    <row r="3919" spans="11:11" x14ac:dyDescent="0.3">
      <c r="K3919" t="str">
        <f>IF($D3919="","",IFERROR(INDEX(Mapping!$H$3:$H$32,MATCH($B3919,Mapping!$G$3:$G$32,0)),IF(LEFT($F3919,3)="P2P",IFERROR(INDEX(Mapping!$E$3:$E$6,MATCH($G3919,Mapping!$D$3:$D$6,0)),IFERROR(INDEX(Mapping!$B$3:$B$13,MATCH($J3919,Mapping!$A$3:$A$13,0)),"(unmapped)")),IFERROR(INDEX(Mapping!$B$17:$B$22,MATCH($F3919,Mapping!$A$17:$A$22,0)),$F3919)&amp;" "&amp;IF($G3919="Banking","Banking",IFERROR(INDEX(Mapping!$E$17:$E$28,MATCH($J3919,Mapping!$D$17:$D$28,0)),"(unmapped)")))))</f>
        <v/>
      </c>
    </row>
    <row r="3920" spans="11:11" x14ac:dyDescent="0.3">
      <c r="K3920" t="str">
        <f>IF($D3920="","",IFERROR(INDEX(Mapping!$H$3:$H$32,MATCH($B3920,Mapping!$G$3:$G$32,0)),IF(LEFT($F3920,3)="P2P",IFERROR(INDEX(Mapping!$E$3:$E$6,MATCH($G3920,Mapping!$D$3:$D$6,0)),IFERROR(INDEX(Mapping!$B$3:$B$13,MATCH($J3920,Mapping!$A$3:$A$13,0)),"(unmapped)")),IFERROR(INDEX(Mapping!$B$17:$B$22,MATCH($F3920,Mapping!$A$17:$A$22,0)),$F3920)&amp;" "&amp;IF($G3920="Banking","Banking",IFERROR(INDEX(Mapping!$E$17:$E$28,MATCH($J3920,Mapping!$D$17:$D$28,0)),"(unmapped)")))))</f>
        <v/>
      </c>
    </row>
    <row r="3921" spans="11:11" x14ac:dyDescent="0.3">
      <c r="K3921" t="str">
        <f>IF($D3921="","",IFERROR(INDEX(Mapping!$H$3:$H$32,MATCH($B3921,Mapping!$G$3:$G$32,0)),IF(LEFT($F3921,3)="P2P",IFERROR(INDEX(Mapping!$E$3:$E$6,MATCH($G3921,Mapping!$D$3:$D$6,0)),IFERROR(INDEX(Mapping!$B$3:$B$13,MATCH($J3921,Mapping!$A$3:$A$13,0)),"(unmapped)")),IFERROR(INDEX(Mapping!$B$17:$B$22,MATCH($F3921,Mapping!$A$17:$A$22,0)),$F3921)&amp;" "&amp;IF($G3921="Banking","Banking",IFERROR(INDEX(Mapping!$E$17:$E$28,MATCH($J3921,Mapping!$D$17:$D$28,0)),"(unmapped)")))))</f>
        <v/>
      </c>
    </row>
    <row r="3922" spans="11:11" x14ac:dyDescent="0.3">
      <c r="K3922" t="str">
        <f>IF($D3922="","",IFERROR(INDEX(Mapping!$H$3:$H$32,MATCH($B3922,Mapping!$G$3:$G$32,0)),IF(LEFT($F3922,3)="P2P",IFERROR(INDEX(Mapping!$E$3:$E$6,MATCH($G3922,Mapping!$D$3:$D$6,0)),IFERROR(INDEX(Mapping!$B$3:$B$13,MATCH($J3922,Mapping!$A$3:$A$13,0)),"(unmapped)")),IFERROR(INDEX(Mapping!$B$17:$B$22,MATCH($F3922,Mapping!$A$17:$A$22,0)),$F3922)&amp;" "&amp;IF($G3922="Banking","Banking",IFERROR(INDEX(Mapping!$E$17:$E$28,MATCH($J3922,Mapping!$D$17:$D$28,0)),"(unmapped)")))))</f>
        <v/>
      </c>
    </row>
    <row r="3923" spans="11:11" x14ac:dyDescent="0.3">
      <c r="K3923" t="str">
        <f>IF($D3923="","",IFERROR(INDEX(Mapping!$H$3:$H$32,MATCH($B3923,Mapping!$G$3:$G$32,0)),IF(LEFT($F3923,3)="P2P",IFERROR(INDEX(Mapping!$E$3:$E$6,MATCH($G3923,Mapping!$D$3:$D$6,0)),IFERROR(INDEX(Mapping!$B$3:$B$13,MATCH($J3923,Mapping!$A$3:$A$13,0)),"(unmapped)")),IFERROR(INDEX(Mapping!$B$17:$B$22,MATCH($F3923,Mapping!$A$17:$A$22,0)),$F3923)&amp;" "&amp;IF($G3923="Banking","Banking",IFERROR(INDEX(Mapping!$E$17:$E$28,MATCH($J3923,Mapping!$D$17:$D$28,0)),"(unmapped)")))))</f>
        <v/>
      </c>
    </row>
    <row r="3924" spans="11:11" x14ac:dyDescent="0.3">
      <c r="K3924" t="str">
        <f>IF($D3924="","",IFERROR(INDEX(Mapping!$H$3:$H$32,MATCH($B3924,Mapping!$G$3:$G$32,0)),IF(LEFT($F3924,3)="P2P",IFERROR(INDEX(Mapping!$E$3:$E$6,MATCH($G3924,Mapping!$D$3:$D$6,0)),IFERROR(INDEX(Mapping!$B$3:$B$13,MATCH($J3924,Mapping!$A$3:$A$13,0)),"(unmapped)")),IFERROR(INDEX(Mapping!$B$17:$B$22,MATCH($F3924,Mapping!$A$17:$A$22,0)),$F3924)&amp;" "&amp;IF($G3924="Banking","Banking",IFERROR(INDEX(Mapping!$E$17:$E$28,MATCH($J3924,Mapping!$D$17:$D$28,0)),"(unmapped)")))))</f>
        <v/>
      </c>
    </row>
    <row r="3925" spans="11:11" x14ac:dyDescent="0.3">
      <c r="K3925" t="str">
        <f>IF($D3925="","",IFERROR(INDEX(Mapping!$H$3:$H$32,MATCH($B3925,Mapping!$G$3:$G$32,0)),IF(LEFT($F3925,3)="P2P",IFERROR(INDEX(Mapping!$E$3:$E$6,MATCH($G3925,Mapping!$D$3:$D$6,0)),IFERROR(INDEX(Mapping!$B$3:$B$13,MATCH($J3925,Mapping!$A$3:$A$13,0)),"(unmapped)")),IFERROR(INDEX(Mapping!$B$17:$B$22,MATCH($F3925,Mapping!$A$17:$A$22,0)),$F3925)&amp;" "&amp;IF($G3925="Banking","Banking",IFERROR(INDEX(Mapping!$E$17:$E$28,MATCH($J3925,Mapping!$D$17:$D$28,0)),"(unmapped)")))))</f>
        <v/>
      </c>
    </row>
    <row r="3926" spans="11:11" x14ac:dyDescent="0.3">
      <c r="K3926" t="str">
        <f>IF($D3926="","",IFERROR(INDEX(Mapping!$H$3:$H$32,MATCH($B3926,Mapping!$G$3:$G$32,0)),IF(LEFT($F3926,3)="P2P",IFERROR(INDEX(Mapping!$E$3:$E$6,MATCH($G3926,Mapping!$D$3:$D$6,0)),IFERROR(INDEX(Mapping!$B$3:$B$13,MATCH($J3926,Mapping!$A$3:$A$13,0)),"(unmapped)")),IFERROR(INDEX(Mapping!$B$17:$B$22,MATCH($F3926,Mapping!$A$17:$A$22,0)),$F3926)&amp;" "&amp;IF($G3926="Banking","Banking",IFERROR(INDEX(Mapping!$E$17:$E$28,MATCH($J3926,Mapping!$D$17:$D$28,0)),"(unmapped)")))))</f>
        <v/>
      </c>
    </row>
    <row r="3927" spans="11:11" x14ac:dyDescent="0.3">
      <c r="K3927" t="str">
        <f>IF($D3927="","",IFERROR(INDEX(Mapping!$H$3:$H$32,MATCH($B3927,Mapping!$G$3:$G$32,0)),IF(LEFT($F3927,3)="P2P",IFERROR(INDEX(Mapping!$E$3:$E$6,MATCH($G3927,Mapping!$D$3:$D$6,0)),IFERROR(INDEX(Mapping!$B$3:$B$13,MATCH($J3927,Mapping!$A$3:$A$13,0)),"(unmapped)")),IFERROR(INDEX(Mapping!$B$17:$B$22,MATCH($F3927,Mapping!$A$17:$A$22,0)),$F3927)&amp;" "&amp;IF($G3927="Banking","Banking",IFERROR(INDEX(Mapping!$E$17:$E$28,MATCH($J3927,Mapping!$D$17:$D$28,0)),"(unmapped)")))))</f>
        <v/>
      </c>
    </row>
    <row r="3928" spans="11:11" x14ac:dyDescent="0.3">
      <c r="K3928" t="str">
        <f>IF($D3928="","",IFERROR(INDEX(Mapping!$H$3:$H$32,MATCH($B3928,Mapping!$G$3:$G$32,0)),IF(LEFT($F3928,3)="P2P",IFERROR(INDEX(Mapping!$E$3:$E$6,MATCH($G3928,Mapping!$D$3:$D$6,0)),IFERROR(INDEX(Mapping!$B$3:$B$13,MATCH($J3928,Mapping!$A$3:$A$13,0)),"(unmapped)")),IFERROR(INDEX(Mapping!$B$17:$B$22,MATCH($F3928,Mapping!$A$17:$A$22,0)),$F3928)&amp;" "&amp;IF($G3928="Banking","Banking",IFERROR(INDEX(Mapping!$E$17:$E$28,MATCH($J3928,Mapping!$D$17:$D$28,0)),"(unmapped)")))))</f>
        <v/>
      </c>
    </row>
    <row r="3929" spans="11:11" x14ac:dyDescent="0.3">
      <c r="K3929" t="str">
        <f>IF($D3929="","",IFERROR(INDEX(Mapping!$H$3:$H$32,MATCH($B3929,Mapping!$G$3:$G$32,0)),IF(LEFT($F3929,3)="P2P",IFERROR(INDEX(Mapping!$E$3:$E$6,MATCH($G3929,Mapping!$D$3:$D$6,0)),IFERROR(INDEX(Mapping!$B$3:$B$13,MATCH($J3929,Mapping!$A$3:$A$13,0)),"(unmapped)")),IFERROR(INDEX(Mapping!$B$17:$B$22,MATCH($F3929,Mapping!$A$17:$A$22,0)),$F3929)&amp;" "&amp;IF($G3929="Banking","Banking",IFERROR(INDEX(Mapping!$E$17:$E$28,MATCH($J3929,Mapping!$D$17:$D$28,0)),"(unmapped)")))))</f>
        <v/>
      </c>
    </row>
    <row r="3930" spans="11:11" x14ac:dyDescent="0.3">
      <c r="K3930" t="str">
        <f>IF($D3930="","",IFERROR(INDEX(Mapping!$H$3:$H$32,MATCH($B3930,Mapping!$G$3:$G$32,0)),IF(LEFT($F3930,3)="P2P",IFERROR(INDEX(Mapping!$E$3:$E$6,MATCH($G3930,Mapping!$D$3:$D$6,0)),IFERROR(INDEX(Mapping!$B$3:$B$13,MATCH($J3930,Mapping!$A$3:$A$13,0)),"(unmapped)")),IFERROR(INDEX(Mapping!$B$17:$B$22,MATCH($F3930,Mapping!$A$17:$A$22,0)),$F3930)&amp;" "&amp;IF($G3930="Banking","Banking",IFERROR(INDEX(Mapping!$E$17:$E$28,MATCH($J3930,Mapping!$D$17:$D$28,0)),"(unmapped)")))))</f>
        <v/>
      </c>
    </row>
    <row r="3931" spans="11:11" x14ac:dyDescent="0.3">
      <c r="K3931" t="str">
        <f>IF($D3931="","",IFERROR(INDEX(Mapping!$H$3:$H$32,MATCH($B3931,Mapping!$G$3:$G$32,0)),IF(LEFT($F3931,3)="P2P",IFERROR(INDEX(Mapping!$E$3:$E$6,MATCH($G3931,Mapping!$D$3:$D$6,0)),IFERROR(INDEX(Mapping!$B$3:$B$13,MATCH($J3931,Mapping!$A$3:$A$13,0)),"(unmapped)")),IFERROR(INDEX(Mapping!$B$17:$B$22,MATCH($F3931,Mapping!$A$17:$A$22,0)),$F3931)&amp;" "&amp;IF($G3931="Banking","Banking",IFERROR(INDEX(Mapping!$E$17:$E$28,MATCH($J3931,Mapping!$D$17:$D$28,0)),"(unmapped)")))))</f>
        <v/>
      </c>
    </row>
    <row r="3932" spans="11:11" x14ac:dyDescent="0.3">
      <c r="K3932" t="str">
        <f>IF($D3932="","",IFERROR(INDEX(Mapping!$H$3:$H$32,MATCH($B3932,Mapping!$G$3:$G$32,0)),IF(LEFT($F3932,3)="P2P",IFERROR(INDEX(Mapping!$E$3:$E$6,MATCH($G3932,Mapping!$D$3:$D$6,0)),IFERROR(INDEX(Mapping!$B$3:$B$13,MATCH($J3932,Mapping!$A$3:$A$13,0)),"(unmapped)")),IFERROR(INDEX(Mapping!$B$17:$B$22,MATCH($F3932,Mapping!$A$17:$A$22,0)),$F3932)&amp;" "&amp;IF($G3932="Banking","Banking",IFERROR(INDEX(Mapping!$E$17:$E$28,MATCH($J3932,Mapping!$D$17:$D$28,0)),"(unmapped)")))))</f>
        <v/>
      </c>
    </row>
    <row r="3933" spans="11:11" x14ac:dyDescent="0.3">
      <c r="K3933" t="str">
        <f>IF($D3933="","",IFERROR(INDEX(Mapping!$H$3:$H$32,MATCH($B3933,Mapping!$G$3:$G$32,0)),IF(LEFT($F3933,3)="P2P",IFERROR(INDEX(Mapping!$E$3:$E$6,MATCH($G3933,Mapping!$D$3:$D$6,0)),IFERROR(INDEX(Mapping!$B$3:$B$13,MATCH($J3933,Mapping!$A$3:$A$13,0)),"(unmapped)")),IFERROR(INDEX(Mapping!$B$17:$B$22,MATCH($F3933,Mapping!$A$17:$A$22,0)),$F3933)&amp;" "&amp;IF($G3933="Banking","Banking",IFERROR(INDEX(Mapping!$E$17:$E$28,MATCH($J3933,Mapping!$D$17:$D$28,0)),"(unmapped)")))))</f>
        <v/>
      </c>
    </row>
    <row r="3934" spans="11:11" x14ac:dyDescent="0.3">
      <c r="K3934" t="str">
        <f>IF($D3934="","",IFERROR(INDEX(Mapping!$H$3:$H$32,MATCH($B3934,Mapping!$G$3:$G$32,0)),IF(LEFT($F3934,3)="P2P",IFERROR(INDEX(Mapping!$E$3:$E$6,MATCH($G3934,Mapping!$D$3:$D$6,0)),IFERROR(INDEX(Mapping!$B$3:$B$13,MATCH($J3934,Mapping!$A$3:$A$13,0)),"(unmapped)")),IFERROR(INDEX(Mapping!$B$17:$B$22,MATCH($F3934,Mapping!$A$17:$A$22,0)),$F3934)&amp;" "&amp;IF($G3934="Banking","Banking",IFERROR(INDEX(Mapping!$E$17:$E$28,MATCH($J3934,Mapping!$D$17:$D$28,0)),"(unmapped)")))))</f>
        <v/>
      </c>
    </row>
    <row r="3935" spans="11:11" x14ac:dyDescent="0.3">
      <c r="K3935" t="str">
        <f>IF($D3935="","",IFERROR(INDEX(Mapping!$H$3:$H$32,MATCH($B3935,Mapping!$G$3:$G$32,0)),IF(LEFT($F3935,3)="P2P",IFERROR(INDEX(Mapping!$E$3:$E$6,MATCH($G3935,Mapping!$D$3:$D$6,0)),IFERROR(INDEX(Mapping!$B$3:$B$13,MATCH($J3935,Mapping!$A$3:$A$13,0)),"(unmapped)")),IFERROR(INDEX(Mapping!$B$17:$B$22,MATCH($F3935,Mapping!$A$17:$A$22,0)),$F3935)&amp;" "&amp;IF($G3935="Banking","Banking",IFERROR(INDEX(Mapping!$E$17:$E$28,MATCH($J3935,Mapping!$D$17:$D$28,0)),"(unmapped)")))))</f>
        <v/>
      </c>
    </row>
    <row r="3936" spans="11:11" x14ac:dyDescent="0.3">
      <c r="K3936" t="str">
        <f>IF($D3936="","",IFERROR(INDEX(Mapping!$H$3:$H$32,MATCH($B3936,Mapping!$G$3:$G$32,0)),IF(LEFT($F3936,3)="P2P",IFERROR(INDEX(Mapping!$E$3:$E$6,MATCH($G3936,Mapping!$D$3:$D$6,0)),IFERROR(INDEX(Mapping!$B$3:$B$13,MATCH($J3936,Mapping!$A$3:$A$13,0)),"(unmapped)")),IFERROR(INDEX(Mapping!$B$17:$B$22,MATCH($F3936,Mapping!$A$17:$A$22,0)),$F3936)&amp;" "&amp;IF($G3936="Banking","Banking",IFERROR(INDEX(Mapping!$E$17:$E$28,MATCH($J3936,Mapping!$D$17:$D$28,0)),"(unmapped)")))))</f>
        <v/>
      </c>
    </row>
    <row r="3937" spans="11:11" x14ac:dyDescent="0.3">
      <c r="K3937" t="str">
        <f>IF($D3937="","",IFERROR(INDEX(Mapping!$H$3:$H$32,MATCH($B3937,Mapping!$G$3:$G$32,0)),IF(LEFT($F3937,3)="P2P",IFERROR(INDEX(Mapping!$E$3:$E$6,MATCH($G3937,Mapping!$D$3:$D$6,0)),IFERROR(INDEX(Mapping!$B$3:$B$13,MATCH($J3937,Mapping!$A$3:$A$13,0)),"(unmapped)")),IFERROR(INDEX(Mapping!$B$17:$B$22,MATCH($F3937,Mapping!$A$17:$A$22,0)),$F3937)&amp;" "&amp;IF($G3937="Banking","Banking",IFERROR(INDEX(Mapping!$E$17:$E$28,MATCH($J3937,Mapping!$D$17:$D$28,0)),"(unmapped)")))))</f>
        <v/>
      </c>
    </row>
    <row r="3938" spans="11:11" x14ac:dyDescent="0.3">
      <c r="K3938" t="str">
        <f>IF($D3938="","",IFERROR(INDEX(Mapping!$H$3:$H$32,MATCH($B3938,Mapping!$G$3:$G$32,0)),IF(LEFT($F3938,3)="P2P",IFERROR(INDEX(Mapping!$E$3:$E$6,MATCH($G3938,Mapping!$D$3:$D$6,0)),IFERROR(INDEX(Mapping!$B$3:$B$13,MATCH($J3938,Mapping!$A$3:$A$13,0)),"(unmapped)")),IFERROR(INDEX(Mapping!$B$17:$B$22,MATCH($F3938,Mapping!$A$17:$A$22,0)),$F3938)&amp;" "&amp;IF($G3938="Banking","Banking",IFERROR(INDEX(Mapping!$E$17:$E$28,MATCH($J3938,Mapping!$D$17:$D$28,0)),"(unmapped)")))))</f>
        <v/>
      </c>
    </row>
    <row r="3939" spans="11:11" x14ac:dyDescent="0.3">
      <c r="K3939" t="str">
        <f>IF($D3939="","",IFERROR(INDEX(Mapping!$H$3:$H$32,MATCH($B3939,Mapping!$G$3:$G$32,0)),IF(LEFT($F3939,3)="P2P",IFERROR(INDEX(Mapping!$E$3:$E$6,MATCH($G3939,Mapping!$D$3:$D$6,0)),IFERROR(INDEX(Mapping!$B$3:$B$13,MATCH($J3939,Mapping!$A$3:$A$13,0)),"(unmapped)")),IFERROR(INDEX(Mapping!$B$17:$B$22,MATCH($F3939,Mapping!$A$17:$A$22,0)),$F3939)&amp;" "&amp;IF($G3939="Banking","Banking",IFERROR(INDEX(Mapping!$E$17:$E$28,MATCH($J3939,Mapping!$D$17:$D$28,0)),"(unmapped)")))))</f>
        <v/>
      </c>
    </row>
    <row r="3940" spans="11:11" x14ac:dyDescent="0.3">
      <c r="K3940" t="str">
        <f>IF($D3940="","",IFERROR(INDEX(Mapping!$H$3:$H$32,MATCH($B3940,Mapping!$G$3:$G$32,0)),IF(LEFT($F3940,3)="P2P",IFERROR(INDEX(Mapping!$E$3:$E$6,MATCH($G3940,Mapping!$D$3:$D$6,0)),IFERROR(INDEX(Mapping!$B$3:$B$13,MATCH($J3940,Mapping!$A$3:$A$13,0)),"(unmapped)")),IFERROR(INDEX(Mapping!$B$17:$B$22,MATCH($F3940,Mapping!$A$17:$A$22,0)),$F3940)&amp;" "&amp;IF($G3940="Banking","Banking",IFERROR(INDEX(Mapping!$E$17:$E$28,MATCH($J3940,Mapping!$D$17:$D$28,0)),"(unmapped)")))))</f>
        <v/>
      </c>
    </row>
    <row r="3941" spans="11:11" x14ac:dyDescent="0.3">
      <c r="K3941" t="str">
        <f>IF($D3941="","",IFERROR(INDEX(Mapping!$H$3:$H$32,MATCH($B3941,Mapping!$G$3:$G$32,0)),IF(LEFT($F3941,3)="P2P",IFERROR(INDEX(Mapping!$E$3:$E$6,MATCH($G3941,Mapping!$D$3:$D$6,0)),IFERROR(INDEX(Mapping!$B$3:$B$13,MATCH($J3941,Mapping!$A$3:$A$13,0)),"(unmapped)")),IFERROR(INDEX(Mapping!$B$17:$B$22,MATCH($F3941,Mapping!$A$17:$A$22,0)),$F3941)&amp;" "&amp;IF($G3941="Banking","Banking",IFERROR(INDEX(Mapping!$E$17:$E$28,MATCH($J3941,Mapping!$D$17:$D$28,0)),"(unmapped)")))))</f>
        <v/>
      </c>
    </row>
    <row r="3942" spans="11:11" x14ac:dyDescent="0.3">
      <c r="K3942" t="str">
        <f>IF($D3942="","",IFERROR(INDEX(Mapping!$H$3:$H$32,MATCH($B3942,Mapping!$G$3:$G$32,0)),IF(LEFT($F3942,3)="P2P",IFERROR(INDEX(Mapping!$E$3:$E$6,MATCH($G3942,Mapping!$D$3:$D$6,0)),IFERROR(INDEX(Mapping!$B$3:$B$13,MATCH($J3942,Mapping!$A$3:$A$13,0)),"(unmapped)")),IFERROR(INDEX(Mapping!$B$17:$B$22,MATCH($F3942,Mapping!$A$17:$A$22,0)),$F3942)&amp;" "&amp;IF($G3942="Banking","Banking",IFERROR(INDEX(Mapping!$E$17:$E$28,MATCH($J3942,Mapping!$D$17:$D$28,0)),"(unmapped)")))))</f>
        <v/>
      </c>
    </row>
    <row r="3943" spans="11:11" x14ac:dyDescent="0.3">
      <c r="K3943" t="str">
        <f>IF($D3943="","",IFERROR(INDEX(Mapping!$H$3:$H$32,MATCH($B3943,Mapping!$G$3:$G$32,0)),IF(LEFT($F3943,3)="P2P",IFERROR(INDEX(Mapping!$E$3:$E$6,MATCH($G3943,Mapping!$D$3:$D$6,0)),IFERROR(INDEX(Mapping!$B$3:$B$13,MATCH($J3943,Mapping!$A$3:$A$13,0)),"(unmapped)")),IFERROR(INDEX(Mapping!$B$17:$B$22,MATCH($F3943,Mapping!$A$17:$A$22,0)),$F3943)&amp;" "&amp;IF($G3943="Banking","Banking",IFERROR(INDEX(Mapping!$E$17:$E$28,MATCH($J3943,Mapping!$D$17:$D$28,0)),"(unmapped)")))))</f>
        <v/>
      </c>
    </row>
    <row r="3944" spans="11:11" x14ac:dyDescent="0.3">
      <c r="K3944" t="str">
        <f>IF($D3944="","",IFERROR(INDEX(Mapping!$H$3:$H$32,MATCH($B3944,Mapping!$G$3:$G$32,0)),IF(LEFT($F3944,3)="P2P",IFERROR(INDEX(Mapping!$E$3:$E$6,MATCH($G3944,Mapping!$D$3:$D$6,0)),IFERROR(INDEX(Mapping!$B$3:$B$13,MATCH($J3944,Mapping!$A$3:$A$13,0)),"(unmapped)")),IFERROR(INDEX(Mapping!$B$17:$B$22,MATCH($F3944,Mapping!$A$17:$A$22,0)),$F3944)&amp;" "&amp;IF($G3944="Banking","Banking",IFERROR(INDEX(Mapping!$E$17:$E$28,MATCH($J3944,Mapping!$D$17:$D$28,0)),"(unmapped)")))))</f>
        <v/>
      </c>
    </row>
    <row r="3945" spans="11:11" x14ac:dyDescent="0.3">
      <c r="K3945" t="str">
        <f>IF($D3945="","",IFERROR(INDEX(Mapping!$H$3:$H$32,MATCH($B3945,Mapping!$G$3:$G$32,0)),IF(LEFT($F3945,3)="P2P",IFERROR(INDEX(Mapping!$E$3:$E$6,MATCH($G3945,Mapping!$D$3:$D$6,0)),IFERROR(INDEX(Mapping!$B$3:$B$13,MATCH($J3945,Mapping!$A$3:$A$13,0)),"(unmapped)")),IFERROR(INDEX(Mapping!$B$17:$B$22,MATCH($F3945,Mapping!$A$17:$A$22,0)),$F3945)&amp;" "&amp;IF($G3945="Banking","Banking",IFERROR(INDEX(Mapping!$E$17:$E$28,MATCH($J3945,Mapping!$D$17:$D$28,0)),"(unmapped)")))))</f>
        <v/>
      </c>
    </row>
    <row r="3946" spans="11:11" x14ac:dyDescent="0.3">
      <c r="K3946" t="str">
        <f>IF($D3946="","",IFERROR(INDEX(Mapping!$H$3:$H$32,MATCH($B3946,Mapping!$G$3:$G$32,0)),IF(LEFT($F3946,3)="P2P",IFERROR(INDEX(Mapping!$E$3:$E$6,MATCH($G3946,Mapping!$D$3:$D$6,0)),IFERROR(INDEX(Mapping!$B$3:$B$13,MATCH($J3946,Mapping!$A$3:$A$13,0)),"(unmapped)")),IFERROR(INDEX(Mapping!$B$17:$B$22,MATCH($F3946,Mapping!$A$17:$A$22,0)),$F3946)&amp;" "&amp;IF($G3946="Banking","Banking",IFERROR(INDEX(Mapping!$E$17:$E$28,MATCH($J3946,Mapping!$D$17:$D$28,0)),"(unmapped)")))))</f>
        <v/>
      </c>
    </row>
    <row r="3947" spans="11:11" x14ac:dyDescent="0.3">
      <c r="K3947" t="str">
        <f>IF($D3947="","",IFERROR(INDEX(Mapping!$H$3:$H$32,MATCH($B3947,Mapping!$G$3:$G$32,0)),IF(LEFT($F3947,3)="P2P",IFERROR(INDEX(Mapping!$E$3:$E$6,MATCH($G3947,Mapping!$D$3:$D$6,0)),IFERROR(INDEX(Mapping!$B$3:$B$13,MATCH($J3947,Mapping!$A$3:$A$13,0)),"(unmapped)")),IFERROR(INDEX(Mapping!$B$17:$B$22,MATCH($F3947,Mapping!$A$17:$A$22,0)),$F3947)&amp;" "&amp;IF($G3947="Banking","Banking",IFERROR(INDEX(Mapping!$E$17:$E$28,MATCH($J3947,Mapping!$D$17:$D$28,0)),"(unmapped)")))))</f>
        <v/>
      </c>
    </row>
    <row r="3948" spans="11:11" x14ac:dyDescent="0.3">
      <c r="K3948" t="str">
        <f>IF($D3948="","",IFERROR(INDEX(Mapping!$H$3:$H$32,MATCH($B3948,Mapping!$G$3:$G$32,0)),IF(LEFT($F3948,3)="P2P",IFERROR(INDEX(Mapping!$E$3:$E$6,MATCH($G3948,Mapping!$D$3:$D$6,0)),IFERROR(INDEX(Mapping!$B$3:$B$13,MATCH($J3948,Mapping!$A$3:$A$13,0)),"(unmapped)")),IFERROR(INDEX(Mapping!$B$17:$B$22,MATCH($F3948,Mapping!$A$17:$A$22,0)),$F3948)&amp;" "&amp;IF($G3948="Banking","Banking",IFERROR(INDEX(Mapping!$E$17:$E$28,MATCH($J3948,Mapping!$D$17:$D$28,0)),"(unmapped)")))))</f>
        <v/>
      </c>
    </row>
    <row r="3949" spans="11:11" x14ac:dyDescent="0.3">
      <c r="K3949" t="str">
        <f>IF($D3949="","",IFERROR(INDEX(Mapping!$H$3:$H$32,MATCH($B3949,Mapping!$G$3:$G$32,0)),IF(LEFT($F3949,3)="P2P",IFERROR(INDEX(Mapping!$E$3:$E$6,MATCH($G3949,Mapping!$D$3:$D$6,0)),IFERROR(INDEX(Mapping!$B$3:$B$13,MATCH($J3949,Mapping!$A$3:$A$13,0)),"(unmapped)")),IFERROR(INDEX(Mapping!$B$17:$B$22,MATCH($F3949,Mapping!$A$17:$A$22,0)),$F3949)&amp;" "&amp;IF($G3949="Banking","Banking",IFERROR(INDEX(Mapping!$E$17:$E$28,MATCH($J3949,Mapping!$D$17:$D$28,0)),"(unmapped)")))))</f>
        <v/>
      </c>
    </row>
    <row r="3950" spans="11:11" x14ac:dyDescent="0.3">
      <c r="K3950" t="str">
        <f>IF($D3950="","",IFERROR(INDEX(Mapping!$H$3:$H$32,MATCH($B3950,Mapping!$G$3:$G$32,0)),IF(LEFT($F3950,3)="P2P",IFERROR(INDEX(Mapping!$E$3:$E$6,MATCH($G3950,Mapping!$D$3:$D$6,0)),IFERROR(INDEX(Mapping!$B$3:$B$13,MATCH($J3950,Mapping!$A$3:$A$13,0)),"(unmapped)")),IFERROR(INDEX(Mapping!$B$17:$B$22,MATCH($F3950,Mapping!$A$17:$A$22,0)),$F3950)&amp;" "&amp;IF($G3950="Banking","Banking",IFERROR(INDEX(Mapping!$E$17:$E$28,MATCH($J3950,Mapping!$D$17:$D$28,0)),"(unmapped)")))))</f>
        <v/>
      </c>
    </row>
    <row r="3951" spans="11:11" x14ac:dyDescent="0.3">
      <c r="K3951" t="str">
        <f>IF($D3951="","",IFERROR(INDEX(Mapping!$H$3:$H$32,MATCH($B3951,Mapping!$G$3:$G$32,0)),IF(LEFT($F3951,3)="P2P",IFERROR(INDEX(Mapping!$E$3:$E$6,MATCH($G3951,Mapping!$D$3:$D$6,0)),IFERROR(INDEX(Mapping!$B$3:$B$13,MATCH($J3951,Mapping!$A$3:$A$13,0)),"(unmapped)")),IFERROR(INDEX(Mapping!$B$17:$B$22,MATCH($F3951,Mapping!$A$17:$A$22,0)),$F3951)&amp;" "&amp;IF($G3951="Banking","Banking",IFERROR(INDEX(Mapping!$E$17:$E$28,MATCH($J3951,Mapping!$D$17:$D$28,0)),"(unmapped)")))))</f>
        <v/>
      </c>
    </row>
    <row r="3952" spans="11:11" x14ac:dyDescent="0.3">
      <c r="K3952" t="str">
        <f>IF($D3952="","",IFERROR(INDEX(Mapping!$H$3:$H$32,MATCH($B3952,Mapping!$G$3:$G$32,0)),IF(LEFT($F3952,3)="P2P",IFERROR(INDEX(Mapping!$E$3:$E$6,MATCH($G3952,Mapping!$D$3:$D$6,0)),IFERROR(INDEX(Mapping!$B$3:$B$13,MATCH($J3952,Mapping!$A$3:$A$13,0)),"(unmapped)")),IFERROR(INDEX(Mapping!$B$17:$B$22,MATCH($F3952,Mapping!$A$17:$A$22,0)),$F3952)&amp;" "&amp;IF($G3952="Banking","Banking",IFERROR(INDEX(Mapping!$E$17:$E$28,MATCH($J3952,Mapping!$D$17:$D$28,0)),"(unmapped)")))))</f>
        <v/>
      </c>
    </row>
    <row r="3953" spans="11:11" x14ac:dyDescent="0.3">
      <c r="K3953" t="str">
        <f>IF($D3953="","",IFERROR(INDEX(Mapping!$H$3:$H$32,MATCH($B3953,Mapping!$G$3:$G$32,0)),IF(LEFT($F3953,3)="P2P",IFERROR(INDEX(Mapping!$E$3:$E$6,MATCH($G3953,Mapping!$D$3:$D$6,0)),IFERROR(INDEX(Mapping!$B$3:$B$13,MATCH($J3953,Mapping!$A$3:$A$13,0)),"(unmapped)")),IFERROR(INDEX(Mapping!$B$17:$B$22,MATCH($F3953,Mapping!$A$17:$A$22,0)),$F3953)&amp;" "&amp;IF($G3953="Banking","Banking",IFERROR(INDEX(Mapping!$E$17:$E$28,MATCH($J3953,Mapping!$D$17:$D$28,0)),"(unmapped)")))))</f>
        <v/>
      </c>
    </row>
    <row r="3954" spans="11:11" x14ac:dyDescent="0.3">
      <c r="K3954" t="str">
        <f>IF($D3954="","",IFERROR(INDEX(Mapping!$H$3:$H$32,MATCH($B3954,Mapping!$G$3:$G$32,0)),IF(LEFT($F3954,3)="P2P",IFERROR(INDEX(Mapping!$E$3:$E$6,MATCH($G3954,Mapping!$D$3:$D$6,0)),IFERROR(INDEX(Mapping!$B$3:$B$13,MATCH($J3954,Mapping!$A$3:$A$13,0)),"(unmapped)")),IFERROR(INDEX(Mapping!$B$17:$B$22,MATCH($F3954,Mapping!$A$17:$A$22,0)),$F3954)&amp;" "&amp;IF($G3954="Banking","Banking",IFERROR(INDEX(Mapping!$E$17:$E$28,MATCH($J3954,Mapping!$D$17:$D$28,0)),"(unmapped)")))))</f>
        <v/>
      </c>
    </row>
    <row r="3955" spans="11:11" x14ac:dyDescent="0.3">
      <c r="K3955" t="str">
        <f>IF($D3955="","",IFERROR(INDEX(Mapping!$H$3:$H$32,MATCH($B3955,Mapping!$G$3:$G$32,0)),IF(LEFT($F3955,3)="P2P",IFERROR(INDEX(Mapping!$E$3:$E$6,MATCH($G3955,Mapping!$D$3:$D$6,0)),IFERROR(INDEX(Mapping!$B$3:$B$13,MATCH($J3955,Mapping!$A$3:$A$13,0)),"(unmapped)")),IFERROR(INDEX(Mapping!$B$17:$B$22,MATCH($F3955,Mapping!$A$17:$A$22,0)),$F3955)&amp;" "&amp;IF($G3955="Banking","Banking",IFERROR(INDEX(Mapping!$E$17:$E$28,MATCH($J3955,Mapping!$D$17:$D$28,0)),"(unmapped)")))))</f>
        <v/>
      </c>
    </row>
    <row r="3956" spans="11:11" x14ac:dyDescent="0.3">
      <c r="K3956" t="str">
        <f>IF($D3956="","",IFERROR(INDEX(Mapping!$H$3:$H$32,MATCH($B3956,Mapping!$G$3:$G$32,0)),IF(LEFT($F3956,3)="P2P",IFERROR(INDEX(Mapping!$E$3:$E$6,MATCH($G3956,Mapping!$D$3:$D$6,0)),IFERROR(INDEX(Mapping!$B$3:$B$13,MATCH($J3956,Mapping!$A$3:$A$13,0)),"(unmapped)")),IFERROR(INDEX(Mapping!$B$17:$B$22,MATCH($F3956,Mapping!$A$17:$A$22,0)),$F3956)&amp;" "&amp;IF($G3956="Banking","Banking",IFERROR(INDEX(Mapping!$E$17:$E$28,MATCH($J3956,Mapping!$D$17:$D$28,0)),"(unmapped)")))))</f>
        <v/>
      </c>
    </row>
    <row r="3957" spans="11:11" x14ac:dyDescent="0.3">
      <c r="K3957" t="str">
        <f>IF($D3957="","",IFERROR(INDEX(Mapping!$H$3:$H$32,MATCH($B3957,Mapping!$G$3:$G$32,0)),IF(LEFT($F3957,3)="P2P",IFERROR(INDEX(Mapping!$E$3:$E$6,MATCH($G3957,Mapping!$D$3:$D$6,0)),IFERROR(INDEX(Mapping!$B$3:$B$13,MATCH($J3957,Mapping!$A$3:$A$13,0)),"(unmapped)")),IFERROR(INDEX(Mapping!$B$17:$B$22,MATCH($F3957,Mapping!$A$17:$A$22,0)),$F3957)&amp;" "&amp;IF($G3957="Banking","Banking",IFERROR(INDEX(Mapping!$E$17:$E$28,MATCH($J3957,Mapping!$D$17:$D$28,0)),"(unmapped)")))))</f>
        <v/>
      </c>
    </row>
    <row r="3958" spans="11:11" x14ac:dyDescent="0.3">
      <c r="K3958" t="str">
        <f>IF($D3958="","",IFERROR(INDEX(Mapping!$H$3:$H$32,MATCH($B3958,Mapping!$G$3:$G$32,0)),IF(LEFT($F3958,3)="P2P",IFERROR(INDEX(Mapping!$E$3:$E$6,MATCH($G3958,Mapping!$D$3:$D$6,0)),IFERROR(INDEX(Mapping!$B$3:$B$13,MATCH($J3958,Mapping!$A$3:$A$13,0)),"(unmapped)")),IFERROR(INDEX(Mapping!$B$17:$B$22,MATCH($F3958,Mapping!$A$17:$A$22,0)),$F3958)&amp;" "&amp;IF($G3958="Banking","Banking",IFERROR(INDEX(Mapping!$E$17:$E$28,MATCH($J3958,Mapping!$D$17:$D$28,0)),"(unmapped)")))))</f>
        <v/>
      </c>
    </row>
    <row r="3959" spans="11:11" x14ac:dyDescent="0.3">
      <c r="K3959" t="str">
        <f>IF($D3959="","",IFERROR(INDEX(Mapping!$H$3:$H$32,MATCH($B3959,Mapping!$G$3:$G$32,0)),IF(LEFT($F3959,3)="P2P",IFERROR(INDEX(Mapping!$E$3:$E$6,MATCH($G3959,Mapping!$D$3:$D$6,0)),IFERROR(INDEX(Mapping!$B$3:$B$13,MATCH($J3959,Mapping!$A$3:$A$13,0)),"(unmapped)")),IFERROR(INDEX(Mapping!$B$17:$B$22,MATCH($F3959,Mapping!$A$17:$A$22,0)),$F3959)&amp;" "&amp;IF($G3959="Banking","Banking",IFERROR(INDEX(Mapping!$E$17:$E$28,MATCH($J3959,Mapping!$D$17:$D$28,0)),"(unmapped)")))))</f>
        <v/>
      </c>
    </row>
    <row r="3960" spans="11:11" x14ac:dyDescent="0.3">
      <c r="K3960" t="str">
        <f>IF($D3960="","",IFERROR(INDEX(Mapping!$H$3:$H$32,MATCH($B3960,Mapping!$G$3:$G$32,0)),IF(LEFT($F3960,3)="P2P",IFERROR(INDEX(Mapping!$E$3:$E$6,MATCH($G3960,Mapping!$D$3:$D$6,0)),IFERROR(INDEX(Mapping!$B$3:$B$13,MATCH($J3960,Mapping!$A$3:$A$13,0)),"(unmapped)")),IFERROR(INDEX(Mapping!$B$17:$B$22,MATCH($F3960,Mapping!$A$17:$A$22,0)),$F3960)&amp;" "&amp;IF($G3960="Banking","Banking",IFERROR(INDEX(Mapping!$E$17:$E$28,MATCH($J3960,Mapping!$D$17:$D$28,0)),"(unmapped)")))))</f>
        <v/>
      </c>
    </row>
    <row r="3961" spans="11:11" x14ac:dyDescent="0.3">
      <c r="K3961" t="str">
        <f>IF($D3961="","",IFERROR(INDEX(Mapping!$H$3:$H$32,MATCH($B3961,Mapping!$G$3:$G$32,0)),IF(LEFT($F3961,3)="P2P",IFERROR(INDEX(Mapping!$E$3:$E$6,MATCH($G3961,Mapping!$D$3:$D$6,0)),IFERROR(INDEX(Mapping!$B$3:$B$13,MATCH($J3961,Mapping!$A$3:$A$13,0)),"(unmapped)")),IFERROR(INDEX(Mapping!$B$17:$B$22,MATCH($F3961,Mapping!$A$17:$A$22,0)),$F3961)&amp;" "&amp;IF($G3961="Banking","Banking",IFERROR(INDEX(Mapping!$E$17:$E$28,MATCH($J3961,Mapping!$D$17:$D$28,0)),"(unmapped)")))))</f>
        <v/>
      </c>
    </row>
    <row r="3962" spans="11:11" x14ac:dyDescent="0.3">
      <c r="K3962" t="str">
        <f>IF($D3962="","",IFERROR(INDEX(Mapping!$H$3:$H$32,MATCH($B3962,Mapping!$G$3:$G$32,0)),IF(LEFT($F3962,3)="P2P",IFERROR(INDEX(Mapping!$E$3:$E$6,MATCH($G3962,Mapping!$D$3:$D$6,0)),IFERROR(INDEX(Mapping!$B$3:$B$13,MATCH($J3962,Mapping!$A$3:$A$13,0)),"(unmapped)")),IFERROR(INDEX(Mapping!$B$17:$B$22,MATCH($F3962,Mapping!$A$17:$A$22,0)),$F3962)&amp;" "&amp;IF($G3962="Banking","Banking",IFERROR(INDEX(Mapping!$E$17:$E$28,MATCH($J3962,Mapping!$D$17:$D$28,0)),"(unmapped)")))))</f>
        <v/>
      </c>
    </row>
    <row r="3963" spans="11:11" x14ac:dyDescent="0.3">
      <c r="K3963" t="str">
        <f>IF($D3963="","",IFERROR(INDEX(Mapping!$H$3:$H$32,MATCH($B3963,Mapping!$G$3:$G$32,0)),IF(LEFT($F3963,3)="P2P",IFERROR(INDEX(Mapping!$E$3:$E$6,MATCH($G3963,Mapping!$D$3:$D$6,0)),IFERROR(INDEX(Mapping!$B$3:$B$13,MATCH($J3963,Mapping!$A$3:$A$13,0)),"(unmapped)")),IFERROR(INDEX(Mapping!$B$17:$B$22,MATCH($F3963,Mapping!$A$17:$A$22,0)),$F3963)&amp;" "&amp;IF($G3963="Banking","Banking",IFERROR(INDEX(Mapping!$E$17:$E$28,MATCH($J3963,Mapping!$D$17:$D$28,0)),"(unmapped)")))))</f>
        <v/>
      </c>
    </row>
    <row r="3964" spans="11:11" x14ac:dyDescent="0.3">
      <c r="K3964" t="str">
        <f>IF($D3964="","",IFERROR(INDEX(Mapping!$H$3:$H$32,MATCH($B3964,Mapping!$G$3:$G$32,0)),IF(LEFT($F3964,3)="P2P",IFERROR(INDEX(Mapping!$E$3:$E$6,MATCH($G3964,Mapping!$D$3:$D$6,0)),IFERROR(INDEX(Mapping!$B$3:$B$13,MATCH($J3964,Mapping!$A$3:$A$13,0)),"(unmapped)")),IFERROR(INDEX(Mapping!$B$17:$B$22,MATCH($F3964,Mapping!$A$17:$A$22,0)),$F3964)&amp;" "&amp;IF($G3964="Banking","Banking",IFERROR(INDEX(Mapping!$E$17:$E$28,MATCH($J3964,Mapping!$D$17:$D$28,0)),"(unmapped)")))))</f>
        <v/>
      </c>
    </row>
    <row r="3965" spans="11:11" x14ac:dyDescent="0.3">
      <c r="K3965" t="str">
        <f>IF($D3965="","",IFERROR(INDEX(Mapping!$H$3:$H$32,MATCH($B3965,Mapping!$G$3:$G$32,0)),IF(LEFT($F3965,3)="P2P",IFERROR(INDEX(Mapping!$E$3:$E$6,MATCH($G3965,Mapping!$D$3:$D$6,0)),IFERROR(INDEX(Mapping!$B$3:$B$13,MATCH($J3965,Mapping!$A$3:$A$13,0)),"(unmapped)")),IFERROR(INDEX(Mapping!$B$17:$B$22,MATCH($F3965,Mapping!$A$17:$A$22,0)),$F3965)&amp;" "&amp;IF($G3965="Banking","Banking",IFERROR(INDEX(Mapping!$E$17:$E$28,MATCH($J3965,Mapping!$D$17:$D$28,0)),"(unmapped)")))))</f>
        <v/>
      </c>
    </row>
    <row r="3966" spans="11:11" x14ac:dyDescent="0.3">
      <c r="K3966" t="str">
        <f>IF($D3966="","",IFERROR(INDEX(Mapping!$H$3:$H$32,MATCH($B3966,Mapping!$G$3:$G$32,0)),IF(LEFT($F3966,3)="P2P",IFERROR(INDEX(Mapping!$E$3:$E$6,MATCH($G3966,Mapping!$D$3:$D$6,0)),IFERROR(INDEX(Mapping!$B$3:$B$13,MATCH($J3966,Mapping!$A$3:$A$13,0)),"(unmapped)")),IFERROR(INDEX(Mapping!$B$17:$B$22,MATCH($F3966,Mapping!$A$17:$A$22,0)),$F3966)&amp;" "&amp;IF($G3966="Banking","Banking",IFERROR(INDEX(Mapping!$E$17:$E$28,MATCH($J3966,Mapping!$D$17:$D$28,0)),"(unmapped)")))))</f>
        <v/>
      </c>
    </row>
    <row r="3967" spans="11:11" x14ac:dyDescent="0.3">
      <c r="K3967" t="str">
        <f>IF($D3967="","",IFERROR(INDEX(Mapping!$H$3:$H$32,MATCH($B3967,Mapping!$G$3:$G$32,0)),IF(LEFT($F3967,3)="P2P",IFERROR(INDEX(Mapping!$E$3:$E$6,MATCH($G3967,Mapping!$D$3:$D$6,0)),IFERROR(INDEX(Mapping!$B$3:$B$13,MATCH($J3967,Mapping!$A$3:$A$13,0)),"(unmapped)")),IFERROR(INDEX(Mapping!$B$17:$B$22,MATCH($F3967,Mapping!$A$17:$A$22,0)),$F3967)&amp;" "&amp;IF($G3967="Banking","Banking",IFERROR(INDEX(Mapping!$E$17:$E$28,MATCH($J3967,Mapping!$D$17:$D$28,0)),"(unmapped)")))))</f>
        <v/>
      </c>
    </row>
    <row r="3968" spans="11:11" x14ac:dyDescent="0.3">
      <c r="K3968" t="str">
        <f>IF($D3968="","",IFERROR(INDEX(Mapping!$H$3:$H$32,MATCH($B3968,Mapping!$G$3:$G$32,0)),IF(LEFT($F3968,3)="P2P",IFERROR(INDEX(Mapping!$E$3:$E$6,MATCH($G3968,Mapping!$D$3:$D$6,0)),IFERROR(INDEX(Mapping!$B$3:$B$13,MATCH($J3968,Mapping!$A$3:$A$13,0)),"(unmapped)")),IFERROR(INDEX(Mapping!$B$17:$B$22,MATCH($F3968,Mapping!$A$17:$A$22,0)),$F3968)&amp;" "&amp;IF($G3968="Banking","Banking",IFERROR(INDEX(Mapping!$E$17:$E$28,MATCH($J3968,Mapping!$D$17:$D$28,0)),"(unmapped)")))))</f>
        <v/>
      </c>
    </row>
    <row r="3969" spans="11:11" x14ac:dyDescent="0.3">
      <c r="K3969" t="str">
        <f>IF($D3969="","",IFERROR(INDEX(Mapping!$H$3:$H$32,MATCH($B3969,Mapping!$G$3:$G$32,0)),IF(LEFT($F3969,3)="P2P",IFERROR(INDEX(Mapping!$E$3:$E$6,MATCH($G3969,Mapping!$D$3:$D$6,0)),IFERROR(INDEX(Mapping!$B$3:$B$13,MATCH($J3969,Mapping!$A$3:$A$13,0)),"(unmapped)")),IFERROR(INDEX(Mapping!$B$17:$B$22,MATCH($F3969,Mapping!$A$17:$A$22,0)),$F3969)&amp;" "&amp;IF($G3969="Banking","Banking",IFERROR(INDEX(Mapping!$E$17:$E$28,MATCH($J3969,Mapping!$D$17:$D$28,0)),"(unmapped)")))))</f>
        <v/>
      </c>
    </row>
    <row r="3970" spans="11:11" x14ac:dyDescent="0.3">
      <c r="K3970" t="str">
        <f>IF($D3970="","",IFERROR(INDEX(Mapping!$H$3:$H$32,MATCH($B3970,Mapping!$G$3:$G$32,0)),IF(LEFT($F3970,3)="P2P",IFERROR(INDEX(Mapping!$E$3:$E$6,MATCH($G3970,Mapping!$D$3:$D$6,0)),IFERROR(INDEX(Mapping!$B$3:$B$13,MATCH($J3970,Mapping!$A$3:$A$13,0)),"(unmapped)")),IFERROR(INDEX(Mapping!$B$17:$B$22,MATCH($F3970,Mapping!$A$17:$A$22,0)),$F3970)&amp;" "&amp;IF($G3970="Banking","Banking",IFERROR(INDEX(Mapping!$E$17:$E$28,MATCH($J3970,Mapping!$D$17:$D$28,0)),"(unmapped)")))))</f>
        <v/>
      </c>
    </row>
    <row r="3971" spans="11:11" x14ac:dyDescent="0.3">
      <c r="K3971" t="str">
        <f>IF($D3971="","",IFERROR(INDEX(Mapping!$H$3:$H$32,MATCH($B3971,Mapping!$G$3:$G$32,0)),IF(LEFT($F3971,3)="P2P",IFERROR(INDEX(Mapping!$E$3:$E$6,MATCH($G3971,Mapping!$D$3:$D$6,0)),IFERROR(INDEX(Mapping!$B$3:$B$13,MATCH($J3971,Mapping!$A$3:$A$13,0)),"(unmapped)")),IFERROR(INDEX(Mapping!$B$17:$B$22,MATCH($F3971,Mapping!$A$17:$A$22,0)),$F3971)&amp;" "&amp;IF($G3971="Banking","Banking",IFERROR(INDEX(Mapping!$E$17:$E$28,MATCH($J3971,Mapping!$D$17:$D$28,0)),"(unmapped)")))))</f>
        <v/>
      </c>
    </row>
    <row r="3972" spans="11:11" x14ac:dyDescent="0.3">
      <c r="K3972" t="str">
        <f>IF($D3972="","",IFERROR(INDEX(Mapping!$H$3:$H$32,MATCH($B3972,Mapping!$G$3:$G$32,0)),IF(LEFT($F3972,3)="P2P",IFERROR(INDEX(Mapping!$E$3:$E$6,MATCH($G3972,Mapping!$D$3:$D$6,0)),IFERROR(INDEX(Mapping!$B$3:$B$13,MATCH($J3972,Mapping!$A$3:$A$13,0)),"(unmapped)")),IFERROR(INDEX(Mapping!$B$17:$B$22,MATCH($F3972,Mapping!$A$17:$A$22,0)),$F3972)&amp;" "&amp;IF($G3972="Banking","Banking",IFERROR(INDEX(Mapping!$E$17:$E$28,MATCH($J3972,Mapping!$D$17:$D$28,0)),"(unmapped)")))))</f>
        <v/>
      </c>
    </row>
    <row r="3973" spans="11:11" x14ac:dyDescent="0.3">
      <c r="K3973" t="str">
        <f>IF($D3973="","",IFERROR(INDEX(Mapping!$H$3:$H$32,MATCH($B3973,Mapping!$G$3:$G$32,0)),IF(LEFT($F3973,3)="P2P",IFERROR(INDEX(Mapping!$E$3:$E$6,MATCH($G3973,Mapping!$D$3:$D$6,0)),IFERROR(INDEX(Mapping!$B$3:$B$13,MATCH($J3973,Mapping!$A$3:$A$13,0)),"(unmapped)")),IFERROR(INDEX(Mapping!$B$17:$B$22,MATCH($F3973,Mapping!$A$17:$A$22,0)),$F3973)&amp;" "&amp;IF($G3973="Banking","Banking",IFERROR(INDEX(Mapping!$E$17:$E$28,MATCH($J3973,Mapping!$D$17:$D$28,0)),"(unmapped)")))))</f>
        <v/>
      </c>
    </row>
    <row r="3974" spans="11:11" x14ac:dyDescent="0.3">
      <c r="K3974" t="str">
        <f>IF($D3974="","",IFERROR(INDEX(Mapping!$H$3:$H$32,MATCH($B3974,Mapping!$G$3:$G$32,0)),IF(LEFT($F3974,3)="P2P",IFERROR(INDEX(Mapping!$E$3:$E$6,MATCH($G3974,Mapping!$D$3:$D$6,0)),IFERROR(INDEX(Mapping!$B$3:$B$13,MATCH($J3974,Mapping!$A$3:$A$13,0)),"(unmapped)")),IFERROR(INDEX(Mapping!$B$17:$B$22,MATCH($F3974,Mapping!$A$17:$A$22,0)),$F3974)&amp;" "&amp;IF($G3974="Banking","Banking",IFERROR(INDEX(Mapping!$E$17:$E$28,MATCH($J3974,Mapping!$D$17:$D$28,0)),"(unmapped)")))))</f>
        <v/>
      </c>
    </row>
    <row r="3975" spans="11:11" x14ac:dyDescent="0.3">
      <c r="K3975" t="str">
        <f>IF($D3975="","",IFERROR(INDEX(Mapping!$H$3:$H$32,MATCH($B3975,Mapping!$G$3:$G$32,0)),IF(LEFT($F3975,3)="P2P",IFERROR(INDEX(Mapping!$E$3:$E$6,MATCH($G3975,Mapping!$D$3:$D$6,0)),IFERROR(INDEX(Mapping!$B$3:$B$13,MATCH($J3975,Mapping!$A$3:$A$13,0)),"(unmapped)")),IFERROR(INDEX(Mapping!$B$17:$B$22,MATCH($F3975,Mapping!$A$17:$A$22,0)),$F3975)&amp;" "&amp;IF($G3975="Banking","Banking",IFERROR(INDEX(Mapping!$E$17:$E$28,MATCH($J3975,Mapping!$D$17:$D$28,0)),"(unmapped)")))))</f>
        <v/>
      </c>
    </row>
    <row r="3976" spans="11:11" x14ac:dyDescent="0.3">
      <c r="K3976" t="str">
        <f>IF($D3976="","",IFERROR(INDEX(Mapping!$H$3:$H$32,MATCH($B3976,Mapping!$G$3:$G$32,0)),IF(LEFT($F3976,3)="P2P",IFERROR(INDEX(Mapping!$E$3:$E$6,MATCH($G3976,Mapping!$D$3:$D$6,0)),IFERROR(INDEX(Mapping!$B$3:$B$13,MATCH($J3976,Mapping!$A$3:$A$13,0)),"(unmapped)")),IFERROR(INDEX(Mapping!$B$17:$B$22,MATCH($F3976,Mapping!$A$17:$A$22,0)),$F3976)&amp;" "&amp;IF($G3976="Banking","Banking",IFERROR(INDEX(Mapping!$E$17:$E$28,MATCH($J3976,Mapping!$D$17:$D$28,0)),"(unmapped)")))))</f>
        <v/>
      </c>
    </row>
    <row r="3977" spans="11:11" x14ac:dyDescent="0.3">
      <c r="K3977" t="str">
        <f>IF($D3977="","",IFERROR(INDEX(Mapping!$H$3:$H$32,MATCH($B3977,Mapping!$G$3:$G$32,0)),IF(LEFT($F3977,3)="P2P",IFERROR(INDEX(Mapping!$E$3:$E$6,MATCH($G3977,Mapping!$D$3:$D$6,0)),IFERROR(INDEX(Mapping!$B$3:$B$13,MATCH($J3977,Mapping!$A$3:$A$13,0)),"(unmapped)")),IFERROR(INDEX(Mapping!$B$17:$B$22,MATCH($F3977,Mapping!$A$17:$A$22,0)),$F3977)&amp;" "&amp;IF($G3977="Banking","Banking",IFERROR(INDEX(Mapping!$E$17:$E$28,MATCH($J3977,Mapping!$D$17:$D$28,0)),"(unmapped)")))))</f>
        <v/>
      </c>
    </row>
    <row r="3978" spans="11:11" x14ac:dyDescent="0.3">
      <c r="K3978" t="str">
        <f>IF($D3978="","",IFERROR(INDEX(Mapping!$H$3:$H$32,MATCH($B3978,Mapping!$G$3:$G$32,0)),IF(LEFT($F3978,3)="P2P",IFERROR(INDEX(Mapping!$E$3:$E$6,MATCH($G3978,Mapping!$D$3:$D$6,0)),IFERROR(INDEX(Mapping!$B$3:$B$13,MATCH($J3978,Mapping!$A$3:$A$13,0)),"(unmapped)")),IFERROR(INDEX(Mapping!$B$17:$B$22,MATCH($F3978,Mapping!$A$17:$A$22,0)),$F3978)&amp;" "&amp;IF($G3978="Banking","Banking",IFERROR(INDEX(Mapping!$E$17:$E$28,MATCH($J3978,Mapping!$D$17:$D$28,0)),"(unmapped)")))))</f>
        <v/>
      </c>
    </row>
    <row r="3979" spans="11:11" x14ac:dyDescent="0.3">
      <c r="K3979" t="str">
        <f>IF($D3979="","",IFERROR(INDEX(Mapping!$H$3:$H$32,MATCH($B3979,Mapping!$G$3:$G$32,0)),IF(LEFT($F3979,3)="P2P",IFERROR(INDEX(Mapping!$E$3:$E$6,MATCH($G3979,Mapping!$D$3:$D$6,0)),IFERROR(INDEX(Mapping!$B$3:$B$13,MATCH($J3979,Mapping!$A$3:$A$13,0)),"(unmapped)")),IFERROR(INDEX(Mapping!$B$17:$B$22,MATCH($F3979,Mapping!$A$17:$A$22,0)),$F3979)&amp;" "&amp;IF($G3979="Banking","Banking",IFERROR(INDEX(Mapping!$E$17:$E$28,MATCH($J3979,Mapping!$D$17:$D$28,0)),"(unmapped)")))))</f>
        <v/>
      </c>
    </row>
    <row r="3980" spans="11:11" x14ac:dyDescent="0.3">
      <c r="K3980" t="str">
        <f>IF($D3980="","",IFERROR(INDEX(Mapping!$H$3:$H$32,MATCH($B3980,Mapping!$G$3:$G$32,0)),IF(LEFT($F3980,3)="P2P",IFERROR(INDEX(Mapping!$E$3:$E$6,MATCH($G3980,Mapping!$D$3:$D$6,0)),IFERROR(INDEX(Mapping!$B$3:$B$13,MATCH($J3980,Mapping!$A$3:$A$13,0)),"(unmapped)")),IFERROR(INDEX(Mapping!$B$17:$B$22,MATCH($F3980,Mapping!$A$17:$A$22,0)),$F3980)&amp;" "&amp;IF($G3980="Banking","Banking",IFERROR(INDEX(Mapping!$E$17:$E$28,MATCH($J3980,Mapping!$D$17:$D$28,0)),"(unmapped)")))))</f>
        <v/>
      </c>
    </row>
    <row r="3981" spans="11:11" x14ac:dyDescent="0.3">
      <c r="K3981" t="str">
        <f>IF($D3981="","",IFERROR(INDEX(Mapping!$H$3:$H$32,MATCH($B3981,Mapping!$G$3:$G$32,0)),IF(LEFT($F3981,3)="P2P",IFERROR(INDEX(Mapping!$E$3:$E$6,MATCH($G3981,Mapping!$D$3:$D$6,0)),IFERROR(INDEX(Mapping!$B$3:$B$13,MATCH($J3981,Mapping!$A$3:$A$13,0)),"(unmapped)")),IFERROR(INDEX(Mapping!$B$17:$B$22,MATCH($F3981,Mapping!$A$17:$A$22,0)),$F3981)&amp;" "&amp;IF($G3981="Banking","Banking",IFERROR(INDEX(Mapping!$E$17:$E$28,MATCH($J3981,Mapping!$D$17:$D$28,0)),"(unmapped)")))))</f>
        <v/>
      </c>
    </row>
    <row r="3982" spans="11:11" x14ac:dyDescent="0.3">
      <c r="K3982" t="str">
        <f>IF($D3982="","",IFERROR(INDEX(Mapping!$H$3:$H$32,MATCH($B3982,Mapping!$G$3:$G$32,0)),IF(LEFT($F3982,3)="P2P",IFERROR(INDEX(Mapping!$E$3:$E$6,MATCH($G3982,Mapping!$D$3:$D$6,0)),IFERROR(INDEX(Mapping!$B$3:$B$13,MATCH($J3982,Mapping!$A$3:$A$13,0)),"(unmapped)")),IFERROR(INDEX(Mapping!$B$17:$B$22,MATCH($F3982,Mapping!$A$17:$A$22,0)),$F3982)&amp;" "&amp;IF($G3982="Banking","Banking",IFERROR(INDEX(Mapping!$E$17:$E$28,MATCH($J3982,Mapping!$D$17:$D$28,0)),"(unmapped)")))))</f>
        <v/>
      </c>
    </row>
    <row r="3983" spans="11:11" x14ac:dyDescent="0.3">
      <c r="K3983" t="str">
        <f>IF($D3983="","",IFERROR(INDEX(Mapping!$H$3:$H$32,MATCH($B3983,Mapping!$G$3:$G$32,0)),IF(LEFT($F3983,3)="P2P",IFERROR(INDEX(Mapping!$E$3:$E$6,MATCH($G3983,Mapping!$D$3:$D$6,0)),IFERROR(INDEX(Mapping!$B$3:$B$13,MATCH($J3983,Mapping!$A$3:$A$13,0)),"(unmapped)")),IFERROR(INDEX(Mapping!$B$17:$B$22,MATCH($F3983,Mapping!$A$17:$A$22,0)),$F3983)&amp;" "&amp;IF($G3983="Banking","Banking",IFERROR(INDEX(Mapping!$E$17:$E$28,MATCH($J3983,Mapping!$D$17:$D$28,0)),"(unmapped)")))))</f>
        <v/>
      </c>
    </row>
    <row r="3984" spans="11:11" x14ac:dyDescent="0.3">
      <c r="K3984" t="str">
        <f>IF($D3984="","",IFERROR(INDEX(Mapping!$H$3:$H$32,MATCH($B3984,Mapping!$G$3:$G$32,0)),IF(LEFT($F3984,3)="P2P",IFERROR(INDEX(Mapping!$E$3:$E$6,MATCH($G3984,Mapping!$D$3:$D$6,0)),IFERROR(INDEX(Mapping!$B$3:$B$13,MATCH($J3984,Mapping!$A$3:$A$13,0)),"(unmapped)")),IFERROR(INDEX(Mapping!$B$17:$B$22,MATCH($F3984,Mapping!$A$17:$A$22,0)),$F3984)&amp;" "&amp;IF($G3984="Banking","Banking",IFERROR(INDEX(Mapping!$E$17:$E$28,MATCH($J3984,Mapping!$D$17:$D$28,0)),"(unmapped)")))))</f>
        <v/>
      </c>
    </row>
    <row r="3985" spans="11:11" x14ac:dyDescent="0.3">
      <c r="K3985" t="str">
        <f>IF($D3985="","",IFERROR(INDEX(Mapping!$H$3:$H$32,MATCH($B3985,Mapping!$G$3:$G$32,0)),IF(LEFT($F3985,3)="P2P",IFERROR(INDEX(Mapping!$E$3:$E$6,MATCH($G3985,Mapping!$D$3:$D$6,0)),IFERROR(INDEX(Mapping!$B$3:$B$13,MATCH($J3985,Mapping!$A$3:$A$13,0)),"(unmapped)")),IFERROR(INDEX(Mapping!$B$17:$B$22,MATCH($F3985,Mapping!$A$17:$A$22,0)),$F3985)&amp;" "&amp;IF($G3985="Banking","Banking",IFERROR(INDEX(Mapping!$E$17:$E$28,MATCH($J3985,Mapping!$D$17:$D$28,0)),"(unmapped)")))))</f>
        <v/>
      </c>
    </row>
    <row r="3986" spans="11:11" x14ac:dyDescent="0.3">
      <c r="K3986" t="str">
        <f>IF($D3986="","",IFERROR(INDEX(Mapping!$H$3:$H$32,MATCH($B3986,Mapping!$G$3:$G$32,0)),IF(LEFT($F3986,3)="P2P",IFERROR(INDEX(Mapping!$E$3:$E$6,MATCH($G3986,Mapping!$D$3:$D$6,0)),IFERROR(INDEX(Mapping!$B$3:$B$13,MATCH($J3986,Mapping!$A$3:$A$13,0)),"(unmapped)")),IFERROR(INDEX(Mapping!$B$17:$B$22,MATCH($F3986,Mapping!$A$17:$A$22,0)),$F3986)&amp;" "&amp;IF($G3986="Banking","Banking",IFERROR(INDEX(Mapping!$E$17:$E$28,MATCH($J3986,Mapping!$D$17:$D$28,0)),"(unmapped)")))))</f>
        <v/>
      </c>
    </row>
    <row r="3987" spans="11:11" x14ac:dyDescent="0.3">
      <c r="K3987" t="str">
        <f>IF($D3987="","",IFERROR(INDEX(Mapping!$H$3:$H$32,MATCH($B3987,Mapping!$G$3:$G$32,0)),IF(LEFT($F3987,3)="P2P",IFERROR(INDEX(Mapping!$E$3:$E$6,MATCH($G3987,Mapping!$D$3:$D$6,0)),IFERROR(INDEX(Mapping!$B$3:$B$13,MATCH($J3987,Mapping!$A$3:$A$13,0)),"(unmapped)")),IFERROR(INDEX(Mapping!$B$17:$B$22,MATCH($F3987,Mapping!$A$17:$A$22,0)),$F3987)&amp;" "&amp;IF($G3987="Banking","Banking",IFERROR(INDEX(Mapping!$E$17:$E$28,MATCH($J3987,Mapping!$D$17:$D$28,0)),"(unmapped)")))))</f>
        <v/>
      </c>
    </row>
    <row r="3988" spans="11:11" x14ac:dyDescent="0.3">
      <c r="K3988" t="str">
        <f>IF($D3988="","",IFERROR(INDEX(Mapping!$H$3:$H$32,MATCH($B3988,Mapping!$G$3:$G$32,0)),IF(LEFT($F3988,3)="P2P",IFERROR(INDEX(Mapping!$E$3:$E$6,MATCH($G3988,Mapping!$D$3:$D$6,0)),IFERROR(INDEX(Mapping!$B$3:$B$13,MATCH($J3988,Mapping!$A$3:$A$13,0)),"(unmapped)")),IFERROR(INDEX(Mapping!$B$17:$B$22,MATCH($F3988,Mapping!$A$17:$A$22,0)),$F3988)&amp;" "&amp;IF($G3988="Banking","Banking",IFERROR(INDEX(Mapping!$E$17:$E$28,MATCH($J3988,Mapping!$D$17:$D$28,0)),"(unmapped)")))))</f>
        <v/>
      </c>
    </row>
    <row r="3989" spans="11:11" x14ac:dyDescent="0.3">
      <c r="K3989" t="str">
        <f>IF($D3989="","",IFERROR(INDEX(Mapping!$H$3:$H$32,MATCH($B3989,Mapping!$G$3:$G$32,0)),IF(LEFT($F3989,3)="P2P",IFERROR(INDEX(Mapping!$E$3:$E$6,MATCH($G3989,Mapping!$D$3:$D$6,0)),IFERROR(INDEX(Mapping!$B$3:$B$13,MATCH($J3989,Mapping!$A$3:$A$13,0)),"(unmapped)")),IFERROR(INDEX(Mapping!$B$17:$B$22,MATCH($F3989,Mapping!$A$17:$A$22,0)),$F3989)&amp;" "&amp;IF($G3989="Banking","Banking",IFERROR(INDEX(Mapping!$E$17:$E$28,MATCH($J3989,Mapping!$D$17:$D$28,0)),"(unmapped)")))))</f>
        <v/>
      </c>
    </row>
    <row r="3990" spans="11:11" x14ac:dyDescent="0.3">
      <c r="K3990" t="str">
        <f>IF($D3990="","",IFERROR(INDEX(Mapping!$H$3:$H$32,MATCH($B3990,Mapping!$G$3:$G$32,0)),IF(LEFT($F3990,3)="P2P",IFERROR(INDEX(Mapping!$E$3:$E$6,MATCH($G3990,Mapping!$D$3:$D$6,0)),IFERROR(INDEX(Mapping!$B$3:$B$13,MATCH($J3990,Mapping!$A$3:$A$13,0)),"(unmapped)")),IFERROR(INDEX(Mapping!$B$17:$B$22,MATCH($F3990,Mapping!$A$17:$A$22,0)),$F3990)&amp;" "&amp;IF($G3990="Banking","Banking",IFERROR(INDEX(Mapping!$E$17:$E$28,MATCH($J3990,Mapping!$D$17:$D$28,0)),"(unmapped)")))))</f>
        <v/>
      </c>
    </row>
    <row r="3991" spans="11:11" x14ac:dyDescent="0.3">
      <c r="K3991" t="str">
        <f>IF($D3991="","",IFERROR(INDEX(Mapping!$H$3:$H$32,MATCH($B3991,Mapping!$G$3:$G$32,0)),IF(LEFT($F3991,3)="P2P",IFERROR(INDEX(Mapping!$E$3:$E$6,MATCH($G3991,Mapping!$D$3:$D$6,0)),IFERROR(INDEX(Mapping!$B$3:$B$13,MATCH($J3991,Mapping!$A$3:$A$13,0)),"(unmapped)")),IFERROR(INDEX(Mapping!$B$17:$B$22,MATCH($F3991,Mapping!$A$17:$A$22,0)),$F3991)&amp;" "&amp;IF($G3991="Banking","Banking",IFERROR(INDEX(Mapping!$E$17:$E$28,MATCH($J3991,Mapping!$D$17:$D$28,0)),"(unmapped)")))))</f>
        <v/>
      </c>
    </row>
    <row r="3992" spans="11:11" x14ac:dyDescent="0.3">
      <c r="K3992" t="str">
        <f>IF($D3992="","",IFERROR(INDEX(Mapping!$H$3:$H$32,MATCH($B3992,Mapping!$G$3:$G$32,0)),IF(LEFT($F3992,3)="P2P",IFERROR(INDEX(Mapping!$E$3:$E$6,MATCH($G3992,Mapping!$D$3:$D$6,0)),IFERROR(INDEX(Mapping!$B$3:$B$13,MATCH($J3992,Mapping!$A$3:$A$13,0)),"(unmapped)")),IFERROR(INDEX(Mapping!$B$17:$B$22,MATCH($F3992,Mapping!$A$17:$A$22,0)),$F3992)&amp;" "&amp;IF($G3992="Banking","Banking",IFERROR(INDEX(Mapping!$E$17:$E$28,MATCH($J3992,Mapping!$D$17:$D$28,0)),"(unmapped)")))))</f>
        <v/>
      </c>
    </row>
    <row r="3993" spans="11:11" x14ac:dyDescent="0.3">
      <c r="K3993" t="str">
        <f>IF($D3993="","",IFERROR(INDEX(Mapping!$H$3:$H$32,MATCH($B3993,Mapping!$G$3:$G$32,0)),IF(LEFT($F3993,3)="P2P",IFERROR(INDEX(Mapping!$E$3:$E$6,MATCH($G3993,Mapping!$D$3:$D$6,0)),IFERROR(INDEX(Mapping!$B$3:$B$13,MATCH($J3993,Mapping!$A$3:$A$13,0)),"(unmapped)")),IFERROR(INDEX(Mapping!$B$17:$B$22,MATCH($F3993,Mapping!$A$17:$A$22,0)),$F3993)&amp;" "&amp;IF($G3993="Banking","Banking",IFERROR(INDEX(Mapping!$E$17:$E$28,MATCH($J3993,Mapping!$D$17:$D$28,0)),"(unmapped)")))))</f>
        <v/>
      </c>
    </row>
    <row r="3994" spans="11:11" x14ac:dyDescent="0.3">
      <c r="K3994" t="str">
        <f>IF($D3994="","",IFERROR(INDEX(Mapping!$H$3:$H$32,MATCH($B3994,Mapping!$G$3:$G$32,0)),IF(LEFT($F3994,3)="P2P",IFERROR(INDEX(Mapping!$E$3:$E$6,MATCH($G3994,Mapping!$D$3:$D$6,0)),IFERROR(INDEX(Mapping!$B$3:$B$13,MATCH($J3994,Mapping!$A$3:$A$13,0)),"(unmapped)")),IFERROR(INDEX(Mapping!$B$17:$B$22,MATCH($F3994,Mapping!$A$17:$A$22,0)),$F3994)&amp;" "&amp;IF($G3994="Banking","Banking",IFERROR(INDEX(Mapping!$E$17:$E$28,MATCH($J3994,Mapping!$D$17:$D$28,0)),"(unmapped)")))))</f>
        <v/>
      </c>
    </row>
    <row r="3995" spans="11:11" x14ac:dyDescent="0.3">
      <c r="K3995" t="str">
        <f>IF($D3995="","",IFERROR(INDEX(Mapping!$H$3:$H$32,MATCH($B3995,Mapping!$G$3:$G$32,0)),IF(LEFT($F3995,3)="P2P",IFERROR(INDEX(Mapping!$E$3:$E$6,MATCH($G3995,Mapping!$D$3:$D$6,0)),IFERROR(INDEX(Mapping!$B$3:$B$13,MATCH($J3995,Mapping!$A$3:$A$13,0)),"(unmapped)")),IFERROR(INDEX(Mapping!$B$17:$B$22,MATCH($F3995,Mapping!$A$17:$A$22,0)),$F3995)&amp;" "&amp;IF($G3995="Banking","Banking",IFERROR(INDEX(Mapping!$E$17:$E$28,MATCH($J3995,Mapping!$D$17:$D$28,0)),"(unmapped)")))))</f>
        <v/>
      </c>
    </row>
    <row r="3996" spans="11:11" x14ac:dyDescent="0.3">
      <c r="K3996" t="str">
        <f>IF($D3996="","",IFERROR(INDEX(Mapping!$H$3:$H$32,MATCH($B3996,Mapping!$G$3:$G$32,0)),IF(LEFT($F3996,3)="P2P",IFERROR(INDEX(Mapping!$E$3:$E$6,MATCH($G3996,Mapping!$D$3:$D$6,0)),IFERROR(INDEX(Mapping!$B$3:$B$13,MATCH($J3996,Mapping!$A$3:$A$13,0)),"(unmapped)")),IFERROR(INDEX(Mapping!$B$17:$B$22,MATCH($F3996,Mapping!$A$17:$A$22,0)),$F3996)&amp;" "&amp;IF($G3996="Banking","Banking",IFERROR(INDEX(Mapping!$E$17:$E$28,MATCH($J3996,Mapping!$D$17:$D$28,0)),"(unmapped)")))))</f>
        <v/>
      </c>
    </row>
    <row r="3997" spans="11:11" x14ac:dyDescent="0.3">
      <c r="K3997" t="str">
        <f>IF($D3997="","",IFERROR(INDEX(Mapping!$H$3:$H$32,MATCH($B3997,Mapping!$G$3:$G$32,0)),IF(LEFT($F3997,3)="P2P",IFERROR(INDEX(Mapping!$E$3:$E$6,MATCH($G3997,Mapping!$D$3:$D$6,0)),IFERROR(INDEX(Mapping!$B$3:$B$13,MATCH($J3997,Mapping!$A$3:$A$13,0)),"(unmapped)")),IFERROR(INDEX(Mapping!$B$17:$B$22,MATCH($F3997,Mapping!$A$17:$A$22,0)),$F3997)&amp;" "&amp;IF($G3997="Banking","Banking",IFERROR(INDEX(Mapping!$E$17:$E$28,MATCH($J3997,Mapping!$D$17:$D$28,0)),"(unmapped)")))))</f>
        <v/>
      </c>
    </row>
    <row r="3998" spans="11:11" x14ac:dyDescent="0.3">
      <c r="K3998" t="str">
        <f>IF($D3998="","",IFERROR(INDEX(Mapping!$H$3:$H$32,MATCH($B3998,Mapping!$G$3:$G$32,0)),IF(LEFT($F3998,3)="P2P",IFERROR(INDEX(Mapping!$E$3:$E$6,MATCH($G3998,Mapping!$D$3:$D$6,0)),IFERROR(INDEX(Mapping!$B$3:$B$13,MATCH($J3998,Mapping!$A$3:$A$13,0)),"(unmapped)")),IFERROR(INDEX(Mapping!$B$17:$B$22,MATCH($F3998,Mapping!$A$17:$A$22,0)),$F3998)&amp;" "&amp;IF($G3998="Banking","Banking",IFERROR(INDEX(Mapping!$E$17:$E$28,MATCH($J3998,Mapping!$D$17:$D$28,0)),"(unmapped)")))))</f>
        <v/>
      </c>
    </row>
    <row r="3999" spans="11:11" x14ac:dyDescent="0.3">
      <c r="K3999" t="str">
        <f>IF($D3999="","",IFERROR(INDEX(Mapping!$H$3:$H$32,MATCH($B3999,Mapping!$G$3:$G$32,0)),IF(LEFT($F3999,3)="P2P",IFERROR(INDEX(Mapping!$E$3:$E$6,MATCH($G3999,Mapping!$D$3:$D$6,0)),IFERROR(INDEX(Mapping!$B$3:$B$13,MATCH($J3999,Mapping!$A$3:$A$13,0)),"(unmapped)")),IFERROR(INDEX(Mapping!$B$17:$B$22,MATCH($F3999,Mapping!$A$17:$A$22,0)),$F3999)&amp;" "&amp;IF($G3999="Banking","Banking",IFERROR(INDEX(Mapping!$E$17:$E$28,MATCH($J3999,Mapping!$D$17:$D$28,0)),"(unmapped)")))))</f>
        <v/>
      </c>
    </row>
    <row r="4000" spans="11:11" x14ac:dyDescent="0.3">
      <c r="K4000" t="str">
        <f>IF($D4000="","",IFERROR(INDEX(Mapping!$H$3:$H$32,MATCH($B4000,Mapping!$G$3:$G$32,0)),IF(LEFT($F4000,3)="P2P",IFERROR(INDEX(Mapping!$E$3:$E$6,MATCH($G4000,Mapping!$D$3:$D$6,0)),IFERROR(INDEX(Mapping!$B$3:$B$13,MATCH($J4000,Mapping!$A$3:$A$13,0)),"(unmapped)")),IFERROR(INDEX(Mapping!$B$17:$B$22,MATCH($F4000,Mapping!$A$17:$A$22,0)),$F4000)&amp;" "&amp;IF($G4000="Banking","Banking",IFERROR(INDEX(Mapping!$E$17:$E$28,MATCH($J4000,Mapping!$D$17:$D$28,0)),"(unmapped)")))))</f>
        <v/>
      </c>
    </row>
    <row r="4001" spans="11:11" x14ac:dyDescent="0.3">
      <c r="K4001" t="str">
        <f>IF($D4001="","",IFERROR(INDEX(Mapping!$H$3:$H$32,MATCH($B4001,Mapping!$G$3:$G$32,0)),IF(LEFT($F4001,3)="P2P",IFERROR(INDEX(Mapping!$E$3:$E$6,MATCH($G4001,Mapping!$D$3:$D$6,0)),IFERROR(INDEX(Mapping!$B$3:$B$13,MATCH($J4001,Mapping!$A$3:$A$13,0)),"(unmapped)")),IFERROR(INDEX(Mapping!$B$17:$B$22,MATCH($F4001,Mapping!$A$17:$A$22,0)),$F4001)&amp;" "&amp;IF($G4001="Banking","Banking",IFERROR(INDEX(Mapping!$E$17:$E$28,MATCH($J4001,Mapping!$D$17:$D$28,0)),"(unmapped)")))))</f>
        <v/>
      </c>
    </row>
    <row r="4002" spans="11:11" x14ac:dyDescent="0.3">
      <c r="K4002" t="str">
        <f>IF($D4002="","",IFERROR(INDEX(Mapping!$H$3:$H$32,MATCH($B4002,Mapping!$G$3:$G$32,0)),IF(LEFT($F4002,3)="P2P",IFERROR(INDEX(Mapping!$E$3:$E$6,MATCH($G4002,Mapping!$D$3:$D$6,0)),IFERROR(INDEX(Mapping!$B$3:$B$13,MATCH($J4002,Mapping!$A$3:$A$13,0)),"(unmapped)")),IFERROR(INDEX(Mapping!$B$17:$B$22,MATCH($F4002,Mapping!$A$17:$A$22,0)),$F4002)&amp;" "&amp;IF($G4002="Banking","Banking",IFERROR(INDEX(Mapping!$E$17:$E$28,MATCH($J4002,Mapping!$D$17:$D$28,0)),"(unmapped)")))))</f>
        <v/>
      </c>
    </row>
    <row r="4003" spans="11:11" x14ac:dyDescent="0.3">
      <c r="K4003" t="str">
        <f>IF($D4003="","",IFERROR(INDEX(Mapping!$H$3:$H$32,MATCH($B4003,Mapping!$G$3:$G$32,0)),IF(LEFT($F4003,3)="P2P",IFERROR(INDEX(Mapping!$E$3:$E$6,MATCH($G4003,Mapping!$D$3:$D$6,0)),IFERROR(INDEX(Mapping!$B$3:$B$13,MATCH($J4003,Mapping!$A$3:$A$13,0)),"(unmapped)")),IFERROR(INDEX(Mapping!$B$17:$B$22,MATCH($F4003,Mapping!$A$17:$A$22,0)),$F4003)&amp;" "&amp;IF($G4003="Banking","Banking",IFERROR(INDEX(Mapping!$E$17:$E$28,MATCH($J4003,Mapping!$D$17:$D$28,0)),"(unmapped)")))))</f>
        <v/>
      </c>
    </row>
    <row r="4004" spans="11:11" x14ac:dyDescent="0.3">
      <c r="K4004" t="str">
        <f>IF($D4004="","",IFERROR(INDEX(Mapping!$H$3:$H$32,MATCH($B4004,Mapping!$G$3:$G$32,0)),IF(LEFT($F4004,3)="P2P",IFERROR(INDEX(Mapping!$E$3:$E$6,MATCH($G4004,Mapping!$D$3:$D$6,0)),IFERROR(INDEX(Mapping!$B$3:$B$13,MATCH($J4004,Mapping!$A$3:$A$13,0)),"(unmapped)")),IFERROR(INDEX(Mapping!$B$17:$B$22,MATCH($F4004,Mapping!$A$17:$A$22,0)),$F4004)&amp;" "&amp;IF($G4004="Banking","Banking",IFERROR(INDEX(Mapping!$E$17:$E$28,MATCH($J4004,Mapping!$D$17:$D$28,0)),"(unmapped)")))))</f>
        <v/>
      </c>
    </row>
    <row r="4005" spans="11:11" x14ac:dyDescent="0.3">
      <c r="K4005" t="str">
        <f>IF($D4005="","",IFERROR(INDEX(Mapping!$H$3:$H$32,MATCH($B4005,Mapping!$G$3:$G$32,0)),IF(LEFT($F4005,3)="P2P",IFERROR(INDEX(Mapping!$E$3:$E$6,MATCH($G4005,Mapping!$D$3:$D$6,0)),IFERROR(INDEX(Mapping!$B$3:$B$13,MATCH($J4005,Mapping!$A$3:$A$13,0)),"(unmapped)")),IFERROR(INDEX(Mapping!$B$17:$B$22,MATCH($F4005,Mapping!$A$17:$A$22,0)),$F4005)&amp;" "&amp;IF($G4005="Banking","Banking",IFERROR(INDEX(Mapping!$E$17:$E$28,MATCH($J4005,Mapping!$D$17:$D$28,0)),"(unmapped)")))))</f>
        <v/>
      </c>
    </row>
    <row r="4006" spans="11:11" x14ac:dyDescent="0.3">
      <c r="K4006" t="str">
        <f>IF($D4006="","",IFERROR(INDEX(Mapping!$H$3:$H$32,MATCH($B4006,Mapping!$G$3:$G$32,0)),IF(LEFT($F4006,3)="P2P",IFERROR(INDEX(Mapping!$E$3:$E$6,MATCH($G4006,Mapping!$D$3:$D$6,0)),IFERROR(INDEX(Mapping!$B$3:$B$13,MATCH($J4006,Mapping!$A$3:$A$13,0)),"(unmapped)")),IFERROR(INDEX(Mapping!$B$17:$B$22,MATCH($F4006,Mapping!$A$17:$A$22,0)),$F4006)&amp;" "&amp;IF($G4006="Banking","Banking",IFERROR(INDEX(Mapping!$E$17:$E$28,MATCH($J4006,Mapping!$D$17:$D$28,0)),"(unmapped)")))))</f>
        <v/>
      </c>
    </row>
    <row r="4007" spans="11:11" x14ac:dyDescent="0.3">
      <c r="K4007" t="str">
        <f>IF($D4007="","",IFERROR(INDEX(Mapping!$H$3:$H$32,MATCH($B4007,Mapping!$G$3:$G$32,0)),IF(LEFT($F4007,3)="P2P",IFERROR(INDEX(Mapping!$E$3:$E$6,MATCH($G4007,Mapping!$D$3:$D$6,0)),IFERROR(INDEX(Mapping!$B$3:$B$13,MATCH($J4007,Mapping!$A$3:$A$13,0)),"(unmapped)")),IFERROR(INDEX(Mapping!$B$17:$B$22,MATCH($F4007,Mapping!$A$17:$A$22,0)),$F4007)&amp;" "&amp;IF($G4007="Banking","Banking",IFERROR(INDEX(Mapping!$E$17:$E$28,MATCH($J4007,Mapping!$D$17:$D$28,0)),"(unmapped)")))))</f>
        <v/>
      </c>
    </row>
    <row r="4008" spans="11:11" x14ac:dyDescent="0.3">
      <c r="K4008" t="str">
        <f>IF($D4008="","",IFERROR(INDEX(Mapping!$H$3:$H$32,MATCH($B4008,Mapping!$G$3:$G$32,0)),IF(LEFT($F4008,3)="P2P",IFERROR(INDEX(Mapping!$E$3:$E$6,MATCH($G4008,Mapping!$D$3:$D$6,0)),IFERROR(INDEX(Mapping!$B$3:$B$13,MATCH($J4008,Mapping!$A$3:$A$13,0)),"(unmapped)")),IFERROR(INDEX(Mapping!$B$17:$B$22,MATCH($F4008,Mapping!$A$17:$A$22,0)),$F4008)&amp;" "&amp;IF($G4008="Banking","Banking",IFERROR(INDEX(Mapping!$E$17:$E$28,MATCH($J4008,Mapping!$D$17:$D$28,0)),"(unmapped)")))))</f>
        <v/>
      </c>
    </row>
    <row r="4009" spans="11:11" x14ac:dyDescent="0.3">
      <c r="K4009" t="str">
        <f>IF($D4009="","",IFERROR(INDEX(Mapping!$H$3:$H$32,MATCH($B4009,Mapping!$G$3:$G$32,0)),IF(LEFT($F4009,3)="P2P",IFERROR(INDEX(Mapping!$E$3:$E$6,MATCH($G4009,Mapping!$D$3:$D$6,0)),IFERROR(INDEX(Mapping!$B$3:$B$13,MATCH($J4009,Mapping!$A$3:$A$13,0)),"(unmapped)")),IFERROR(INDEX(Mapping!$B$17:$B$22,MATCH($F4009,Mapping!$A$17:$A$22,0)),$F4009)&amp;" "&amp;IF($G4009="Banking","Banking",IFERROR(INDEX(Mapping!$E$17:$E$28,MATCH($J4009,Mapping!$D$17:$D$28,0)),"(unmapped)")))))</f>
        <v/>
      </c>
    </row>
    <row r="4010" spans="11:11" x14ac:dyDescent="0.3">
      <c r="K4010" t="str">
        <f>IF($D4010="","",IFERROR(INDEX(Mapping!$H$3:$H$32,MATCH($B4010,Mapping!$G$3:$G$32,0)),IF(LEFT($F4010,3)="P2P",IFERROR(INDEX(Mapping!$E$3:$E$6,MATCH($G4010,Mapping!$D$3:$D$6,0)),IFERROR(INDEX(Mapping!$B$3:$B$13,MATCH($J4010,Mapping!$A$3:$A$13,0)),"(unmapped)")),IFERROR(INDEX(Mapping!$B$17:$B$22,MATCH($F4010,Mapping!$A$17:$A$22,0)),$F4010)&amp;" "&amp;IF($G4010="Banking","Banking",IFERROR(INDEX(Mapping!$E$17:$E$28,MATCH($J4010,Mapping!$D$17:$D$28,0)),"(unmapped)")))))</f>
        <v/>
      </c>
    </row>
    <row r="4011" spans="11:11" x14ac:dyDescent="0.3">
      <c r="K4011" t="str">
        <f>IF($D4011="","",IFERROR(INDEX(Mapping!$H$3:$H$32,MATCH($B4011,Mapping!$G$3:$G$32,0)),IF(LEFT($F4011,3)="P2P",IFERROR(INDEX(Mapping!$E$3:$E$6,MATCH($G4011,Mapping!$D$3:$D$6,0)),IFERROR(INDEX(Mapping!$B$3:$B$13,MATCH($J4011,Mapping!$A$3:$A$13,0)),"(unmapped)")),IFERROR(INDEX(Mapping!$B$17:$B$22,MATCH($F4011,Mapping!$A$17:$A$22,0)),$F4011)&amp;" "&amp;IF($G4011="Banking","Banking",IFERROR(INDEX(Mapping!$E$17:$E$28,MATCH($J4011,Mapping!$D$17:$D$28,0)),"(unmapped)")))))</f>
        <v/>
      </c>
    </row>
    <row r="4012" spans="11:11" x14ac:dyDescent="0.3">
      <c r="K4012" t="str">
        <f>IF($D4012="","",IFERROR(INDEX(Mapping!$H$3:$H$32,MATCH($B4012,Mapping!$G$3:$G$32,0)),IF(LEFT($F4012,3)="P2P",IFERROR(INDEX(Mapping!$E$3:$E$6,MATCH($G4012,Mapping!$D$3:$D$6,0)),IFERROR(INDEX(Mapping!$B$3:$B$13,MATCH($J4012,Mapping!$A$3:$A$13,0)),"(unmapped)")),IFERROR(INDEX(Mapping!$B$17:$B$22,MATCH($F4012,Mapping!$A$17:$A$22,0)),$F4012)&amp;" "&amp;IF($G4012="Banking","Banking",IFERROR(INDEX(Mapping!$E$17:$E$28,MATCH($J4012,Mapping!$D$17:$D$28,0)),"(unmapped)")))))</f>
        <v/>
      </c>
    </row>
    <row r="4013" spans="11:11" x14ac:dyDescent="0.3">
      <c r="K4013" t="str">
        <f>IF($D4013="","",IFERROR(INDEX(Mapping!$H$3:$H$32,MATCH($B4013,Mapping!$G$3:$G$32,0)),IF(LEFT($F4013,3)="P2P",IFERROR(INDEX(Mapping!$E$3:$E$6,MATCH($G4013,Mapping!$D$3:$D$6,0)),IFERROR(INDEX(Mapping!$B$3:$B$13,MATCH($J4013,Mapping!$A$3:$A$13,0)),"(unmapped)")),IFERROR(INDEX(Mapping!$B$17:$B$22,MATCH($F4013,Mapping!$A$17:$A$22,0)),$F4013)&amp;" "&amp;IF($G4013="Banking","Banking",IFERROR(INDEX(Mapping!$E$17:$E$28,MATCH($J4013,Mapping!$D$17:$D$28,0)),"(unmapped)")))))</f>
        <v/>
      </c>
    </row>
    <row r="4014" spans="11:11" x14ac:dyDescent="0.3">
      <c r="K4014" t="str">
        <f>IF($D4014="","",IFERROR(INDEX(Mapping!$H$3:$H$32,MATCH($B4014,Mapping!$G$3:$G$32,0)),IF(LEFT($F4014,3)="P2P",IFERROR(INDEX(Mapping!$E$3:$E$6,MATCH($G4014,Mapping!$D$3:$D$6,0)),IFERROR(INDEX(Mapping!$B$3:$B$13,MATCH($J4014,Mapping!$A$3:$A$13,0)),"(unmapped)")),IFERROR(INDEX(Mapping!$B$17:$B$22,MATCH($F4014,Mapping!$A$17:$A$22,0)),$F4014)&amp;" "&amp;IF($G4014="Banking","Banking",IFERROR(INDEX(Mapping!$E$17:$E$28,MATCH($J4014,Mapping!$D$17:$D$28,0)),"(unmapped)")))))</f>
        <v/>
      </c>
    </row>
    <row r="4015" spans="11:11" x14ac:dyDescent="0.3">
      <c r="K4015" t="str">
        <f>IF($D4015="","",IFERROR(INDEX(Mapping!$H$3:$H$32,MATCH($B4015,Mapping!$G$3:$G$32,0)),IF(LEFT($F4015,3)="P2P",IFERROR(INDEX(Mapping!$E$3:$E$6,MATCH($G4015,Mapping!$D$3:$D$6,0)),IFERROR(INDEX(Mapping!$B$3:$B$13,MATCH($J4015,Mapping!$A$3:$A$13,0)),"(unmapped)")),IFERROR(INDEX(Mapping!$B$17:$B$22,MATCH($F4015,Mapping!$A$17:$A$22,0)),$F4015)&amp;" "&amp;IF($G4015="Banking","Banking",IFERROR(INDEX(Mapping!$E$17:$E$28,MATCH($J4015,Mapping!$D$17:$D$28,0)),"(unmapped)")))))</f>
        <v/>
      </c>
    </row>
    <row r="4016" spans="11:11" x14ac:dyDescent="0.3">
      <c r="K4016" t="str">
        <f>IF($D4016="","",IFERROR(INDEX(Mapping!$H$3:$H$32,MATCH($B4016,Mapping!$G$3:$G$32,0)),IF(LEFT($F4016,3)="P2P",IFERROR(INDEX(Mapping!$E$3:$E$6,MATCH($G4016,Mapping!$D$3:$D$6,0)),IFERROR(INDEX(Mapping!$B$3:$B$13,MATCH($J4016,Mapping!$A$3:$A$13,0)),"(unmapped)")),IFERROR(INDEX(Mapping!$B$17:$B$22,MATCH($F4016,Mapping!$A$17:$A$22,0)),$F4016)&amp;" "&amp;IF($G4016="Banking","Banking",IFERROR(INDEX(Mapping!$E$17:$E$28,MATCH($J4016,Mapping!$D$17:$D$28,0)),"(unmapped)")))))</f>
        <v/>
      </c>
    </row>
    <row r="4017" spans="11:11" x14ac:dyDescent="0.3">
      <c r="K4017" t="str">
        <f>IF($D4017="","",IFERROR(INDEX(Mapping!$H$3:$H$32,MATCH($B4017,Mapping!$G$3:$G$32,0)),IF(LEFT($F4017,3)="P2P",IFERROR(INDEX(Mapping!$E$3:$E$6,MATCH($G4017,Mapping!$D$3:$D$6,0)),IFERROR(INDEX(Mapping!$B$3:$B$13,MATCH($J4017,Mapping!$A$3:$A$13,0)),"(unmapped)")),IFERROR(INDEX(Mapping!$B$17:$B$22,MATCH($F4017,Mapping!$A$17:$A$22,0)),$F4017)&amp;" "&amp;IF($G4017="Banking","Banking",IFERROR(INDEX(Mapping!$E$17:$E$28,MATCH($J4017,Mapping!$D$17:$D$28,0)),"(unmapped)")))))</f>
        <v/>
      </c>
    </row>
    <row r="4018" spans="11:11" x14ac:dyDescent="0.3">
      <c r="K4018" t="str">
        <f>IF($D4018="","",IFERROR(INDEX(Mapping!$H$3:$H$32,MATCH($B4018,Mapping!$G$3:$G$32,0)),IF(LEFT($F4018,3)="P2P",IFERROR(INDEX(Mapping!$E$3:$E$6,MATCH($G4018,Mapping!$D$3:$D$6,0)),IFERROR(INDEX(Mapping!$B$3:$B$13,MATCH($J4018,Mapping!$A$3:$A$13,0)),"(unmapped)")),IFERROR(INDEX(Mapping!$B$17:$B$22,MATCH($F4018,Mapping!$A$17:$A$22,0)),$F4018)&amp;" "&amp;IF($G4018="Banking","Banking",IFERROR(INDEX(Mapping!$E$17:$E$28,MATCH($J4018,Mapping!$D$17:$D$28,0)),"(unmapped)")))))</f>
        <v/>
      </c>
    </row>
    <row r="4019" spans="11:11" x14ac:dyDescent="0.3">
      <c r="K4019" t="str">
        <f>IF($D4019="","",IFERROR(INDEX(Mapping!$H$3:$H$32,MATCH($B4019,Mapping!$G$3:$G$32,0)),IF(LEFT($F4019,3)="P2P",IFERROR(INDEX(Mapping!$E$3:$E$6,MATCH($G4019,Mapping!$D$3:$D$6,0)),IFERROR(INDEX(Mapping!$B$3:$B$13,MATCH($J4019,Mapping!$A$3:$A$13,0)),"(unmapped)")),IFERROR(INDEX(Mapping!$B$17:$B$22,MATCH($F4019,Mapping!$A$17:$A$22,0)),$F4019)&amp;" "&amp;IF($G4019="Banking","Banking",IFERROR(INDEX(Mapping!$E$17:$E$28,MATCH($J4019,Mapping!$D$17:$D$28,0)),"(unmapped)")))))</f>
        <v/>
      </c>
    </row>
    <row r="4020" spans="11:11" x14ac:dyDescent="0.3">
      <c r="K4020" t="str">
        <f>IF($D4020="","",IFERROR(INDEX(Mapping!$H$3:$H$32,MATCH($B4020,Mapping!$G$3:$G$32,0)),IF(LEFT($F4020,3)="P2P",IFERROR(INDEX(Mapping!$E$3:$E$6,MATCH($G4020,Mapping!$D$3:$D$6,0)),IFERROR(INDEX(Mapping!$B$3:$B$13,MATCH($J4020,Mapping!$A$3:$A$13,0)),"(unmapped)")),IFERROR(INDEX(Mapping!$B$17:$B$22,MATCH($F4020,Mapping!$A$17:$A$22,0)),$F4020)&amp;" "&amp;IF($G4020="Banking","Banking",IFERROR(INDEX(Mapping!$E$17:$E$28,MATCH($J4020,Mapping!$D$17:$D$28,0)),"(unmapped)")))))</f>
        <v/>
      </c>
    </row>
    <row r="4021" spans="11:11" x14ac:dyDescent="0.3">
      <c r="K4021" t="str">
        <f>IF($D4021="","",IFERROR(INDEX(Mapping!$H$3:$H$32,MATCH($B4021,Mapping!$G$3:$G$32,0)),IF(LEFT($F4021,3)="P2P",IFERROR(INDEX(Mapping!$E$3:$E$6,MATCH($G4021,Mapping!$D$3:$D$6,0)),IFERROR(INDEX(Mapping!$B$3:$B$13,MATCH($J4021,Mapping!$A$3:$A$13,0)),"(unmapped)")),IFERROR(INDEX(Mapping!$B$17:$B$22,MATCH($F4021,Mapping!$A$17:$A$22,0)),$F4021)&amp;" "&amp;IF($G4021="Banking","Banking",IFERROR(INDEX(Mapping!$E$17:$E$28,MATCH($J4021,Mapping!$D$17:$D$28,0)),"(unmapped)")))))</f>
        <v/>
      </c>
    </row>
    <row r="4022" spans="11:11" x14ac:dyDescent="0.3">
      <c r="K4022" t="str">
        <f>IF($D4022="","",IFERROR(INDEX(Mapping!$H$3:$H$32,MATCH($B4022,Mapping!$G$3:$G$32,0)),IF(LEFT($F4022,3)="P2P",IFERROR(INDEX(Mapping!$E$3:$E$6,MATCH($G4022,Mapping!$D$3:$D$6,0)),IFERROR(INDEX(Mapping!$B$3:$B$13,MATCH($J4022,Mapping!$A$3:$A$13,0)),"(unmapped)")),IFERROR(INDEX(Mapping!$B$17:$B$22,MATCH($F4022,Mapping!$A$17:$A$22,0)),$F4022)&amp;" "&amp;IF($G4022="Banking","Banking",IFERROR(INDEX(Mapping!$E$17:$E$28,MATCH($J4022,Mapping!$D$17:$D$28,0)),"(unmapped)")))))</f>
        <v/>
      </c>
    </row>
    <row r="4023" spans="11:11" x14ac:dyDescent="0.3">
      <c r="K4023" t="str">
        <f>IF($D4023="","",IFERROR(INDEX(Mapping!$H$3:$H$32,MATCH($B4023,Mapping!$G$3:$G$32,0)),IF(LEFT($F4023,3)="P2P",IFERROR(INDEX(Mapping!$E$3:$E$6,MATCH($G4023,Mapping!$D$3:$D$6,0)),IFERROR(INDEX(Mapping!$B$3:$B$13,MATCH($J4023,Mapping!$A$3:$A$13,0)),"(unmapped)")),IFERROR(INDEX(Mapping!$B$17:$B$22,MATCH($F4023,Mapping!$A$17:$A$22,0)),$F4023)&amp;" "&amp;IF($G4023="Banking","Banking",IFERROR(INDEX(Mapping!$E$17:$E$28,MATCH($J4023,Mapping!$D$17:$D$28,0)),"(unmapped)")))))</f>
        <v/>
      </c>
    </row>
    <row r="4024" spans="11:11" x14ac:dyDescent="0.3">
      <c r="K4024" t="str">
        <f>IF($D4024="","",IFERROR(INDEX(Mapping!$H$3:$H$32,MATCH($B4024,Mapping!$G$3:$G$32,0)),IF(LEFT($F4024,3)="P2P",IFERROR(INDEX(Mapping!$E$3:$E$6,MATCH($G4024,Mapping!$D$3:$D$6,0)),IFERROR(INDEX(Mapping!$B$3:$B$13,MATCH($J4024,Mapping!$A$3:$A$13,0)),"(unmapped)")),IFERROR(INDEX(Mapping!$B$17:$B$22,MATCH($F4024,Mapping!$A$17:$A$22,0)),$F4024)&amp;" "&amp;IF($G4024="Banking","Banking",IFERROR(INDEX(Mapping!$E$17:$E$28,MATCH($J4024,Mapping!$D$17:$D$28,0)),"(unmapped)")))))</f>
        <v/>
      </c>
    </row>
    <row r="4025" spans="11:11" x14ac:dyDescent="0.3">
      <c r="K4025" t="str">
        <f>IF($D4025="","",IFERROR(INDEX(Mapping!$H$3:$H$32,MATCH($B4025,Mapping!$G$3:$G$32,0)),IF(LEFT($F4025,3)="P2P",IFERROR(INDEX(Mapping!$E$3:$E$6,MATCH($G4025,Mapping!$D$3:$D$6,0)),IFERROR(INDEX(Mapping!$B$3:$B$13,MATCH($J4025,Mapping!$A$3:$A$13,0)),"(unmapped)")),IFERROR(INDEX(Mapping!$B$17:$B$22,MATCH($F4025,Mapping!$A$17:$A$22,0)),$F4025)&amp;" "&amp;IF($G4025="Banking","Banking",IFERROR(INDEX(Mapping!$E$17:$E$28,MATCH($J4025,Mapping!$D$17:$D$28,0)),"(unmapped)")))))</f>
        <v/>
      </c>
    </row>
    <row r="4026" spans="11:11" x14ac:dyDescent="0.3">
      <c r="K4026" t="str">
        <f>IF($D4026="","",IFERROR(INDEX(Mapping!$H$3:$H$32,MATCH($B4026,Mapping!$G$3:$G$32,0)),IF(LEFT($F4026,3)="P2P",IFERROR(INDEX(Mapping!$E$3:$E$6,MATCH($G4026,Mapping!$D$3:$D$6,0)),IFERROR(INDEX(Mapping!$B$3:$B$13,MATCH($J4026,Mapping!$A$3:$A$13,0)),"(unmapped)")),IFERROR(INDEX(Mapping!$B$17:$B$22,MATCH($F4026,Mapping!$A$17:$A$22,0)),$F4026)&amp;" "&amp;IF($G4026="Banking","Banking",IFERROR(INDEX(Mapping!$E$17:$E$28,MATCH($J4026,Mapping!$D$17:$D$28,0)),"(unmapped)")))))</f>
        <v/>
      </c>
    </row>
    <row r="4027" spans="11:11" x14ac:dyDescent="0.3">
      <c r="K4027" t="str">
        <f>IF($D4027="","",IFERROR(INDEX(Mapping!$H$3:$H$32,MATCH($B4027,Mapping!$G$3:$G$32,0)),IF(LEFT($F4027,3)="P2P",IFERROR(INDEX(Mapping!$E$3:$E$6,MATCH($G4027,Mapping!$D$3:$D$6,0)),IFERROR(INDEX(Mapping!$B$3:$B$13,MATCH($J4027,Mapping!$A$3:$A$13,0)),"(unmapped)")),IFERROR(INDEX(Mapping!$B$17:$B$22,MATCH($F4027,Mapping!$A$17:$A$22,0)),$F4027)&amp;" "&amp;IF($G4027="Banking","Banking",IFERROR(INDEX(Mapping!$E$17:$E$28,MATCH($J4027,Mapping!$D$17:$D$28,0)),"(unmapped)")))))</f>
        <v/>
      </c>
    </row>
    <row r="4028" spans="11:11" x14ac:dyDescent="0.3">
      <c r="K4028" t="str">
        <f>IF($D4028="","",IFERROR(INDEX(Mapping!$H$3:$H$32,MATCH($B4028,Mapping!$G$3:$G$32,0)),IF(LEFT($F4028,3)="P2P",IFERROR(INDEX(Mapping!$E$3:$E$6,MATCH($G4028,Mapping!$D$3:$D$6,0)),IFERROR(INDEX(Mapping!$B$3:$B$13,MATCH($J4028,Mapping!$A$3:$A$13,0)),"(unmapped)")),IFERROR(INDEX(Mapping!$B$17:$B$22,MATCH($F4028,Mapping!$A$17:$A$22,0)),$F4028)&amp;" "&amp;IF($G4028="Banking","Banking",IFERROR(INDEX(Mapping!$E$17:$E$28,MATCH($J4028,Mapping!$D$17:$D$28,0)),"(unmapped)")))))</f>
        <v/>
      </c>
    </row>
    <row r="4029" spans="11:11" x14ac:dyDescent="0.3">
      <c r="K4029" t="str">
        <f>IF($D4029="","",IFERROR(INDEX(Mapping!$H$3:$H$32,MATCH($B4029,Mapping!$G$3:$G$32,0)),IF(LEFT($F4029,3)="P2P",IFERROR(INDEX(Mapping!$E$3:$E$6,MATCH($G4029,Mapping!$D$3:$D$6,0)),IFERROR(INDEX(Mapping!$B$3:$B$13,MATCH($J4029,Mapping!$A$3:$A$13,0)),"(unmapped)")),IFERROR(INDEX(Mapping!$B$17:$B$22,MATCH($F4029,Mapping!$A$17:$A$22,0)),$F4029)&amp;" "&amp;IF($G4029="Banking","Banking",IFERROR(INDEX(Mapping!$E$17:$E$28,MATCH($J4029,Mapping!$D$17:$D$28,0)),"(unmapped)")))))</f>
        <v/>
      </c>
    </row>
    <row r="4030" spans="11:11" x14ac:dyDescent="0.3">
      <c r="K4030" t="str">
        <f>IF($D4030="","",IFERROR(INDEX(Mapping!$H$3:$H$32,MATCH($B4030,Mapping!$G$3:$G$32,0)),IF(LEFT($F4030,3)="P2P",IFERROR(INDEX(Mapping!$E$3:$E$6,MATCH($G4030,Mapping!$D$3:$D$6,0)),IFERROR(INDEX(Mapping!$B$3:$B$13,MATCH($J4030,Mapping!$A$3:$A$13,0)),"(unmapped)")),IFERROR(INDEX(Mapping!$B$17:$B$22,MATCH($F4030,Mapping!$A$17:$A$22,0)),$F4030)&amp;" "&amp;IF($G4030="Banking","Banking",IFERROR(INDEX(Mapping!$E$17:$E$28,MATCH($J4030,Mapping!$D$17:$D$28,0)),"(unmapped)")))))</f>
        <v/>
      </c>
    </row>
    <row r="4031" spans="11:11" x14ac:dyDescent="0.3">
      <c r="K4031" t="str">
        <f>IF($D4031="","",IFERROR(INDEX(Mapping!$H$3:$H$32,MATCH($B4031,Mapping!$G$3:$G$32,0)),IF(LEFT($F4031,3)="P2P",IFERROR(INDEX(Mapping!$E$3:$E$6,MATCH($G4031,Mapping!$D$3:$D$6,0)),IFERROR(INDEX(Mapping!$B$3:$B$13,MATCH($J4031,Mapping!$A$3:$A$13,0)),"(unmapped)")),IFERROR(INDEX(Mapping!$B$17:$B$22,MATCH($F4031,Mapping!$A$17:$A$22,0)),$F4031)&amp;" "&amp;IF($G4031="Banking","Banking",IFERROR(INDEX(Mapping!$E$17:$E$28,MATCH($J4031,Mapping!$D$17:$D$28,0)),"(unmapped)")))))</f>
        <v/>
      </c>
    </row>
    <row r="4032" spans="11:11" x14ac:dyDescent="0.3">
      <c r="K4032" t="str">
        <f>IF($D4032="","",IFERROR(INDEX(Mapping!$H$3:$H$32,MATCH($B4032,Mapping!$G$3:$G$32,0)),IF(LEFT($F4032,3)="P2P",IFERROR(INDEX(Mapping!$E$3:$E$6,MATCH($G4032,Mapping!$D$3:$D$6,0)),IFERROR(INDEX(Mapping!$B$3:$B$13,MATCH($J4032,Mapping!$A$3:$A$13,0)),"(unmapped)")),IFERROR(INDEX(Mapping!$B$17:$B$22,MATCH($F4032,Mapping!$A$17:$A$22,0)),$F4032)&amp;" "&amp;IF($G4032="Banking","Banking",IFERROR(INDEX(Mapping!$E$17:$E$28,MATCH($J4032,Mapping!$D$17:$D$28,0)),"(unmapped)")))))</f>
        <v/>
      </c>
    </row>
    <row r="4033" spans="11:11" x14ac:dyDescent="0.3">
      <c r="K4033" t="str">
        <f>IF($D4033="","",IFERROR(INDEX(Mapping!$H$3:$H$32,MATCH($B4033,Mapping!$G$3:$G$32,0)),IF(LEFT($F4033,3)="P2P",IFERROR(INDEX(Mapping!$E$3:$E$6,MATCH($G4033,Mapping!$D$3:$D$6,0)),IFERROR(INDEX(Mapping!$B$3:$B$13,MATCH($J4033,Mapping!$A$3:$A$13,0)),"(unmapped)")),IFERROR(INDEX(Mapping!$B$17:$B$22,MATCH($F4033,Mapping!$A$17:$A$22,0)),$F4033)&amp;" "&amp;IF($G4033="Banking","Banking",IFERROR(INDEX(Mapping!$E$17:$E$28,MATCH($J4033,Mapping!$D$17:$D$28,0)),"(unmapped)")))))</f>
        <v/>
      </c>
    </row>
    <row r="4034" spans="11:11" x14ac:dyDescent="0.3">
      <c r="K4034" t="str">
        <f>IF($D4034="","",IFERROR(INDEX(Mapping!$H$3:$H$32,MATCH($B4034,Mapping!$G$3:$G$32,0)),IF(LEFT($F4034,3)="P2P",IFERROR(INDEX(Mapping!$E$3:$E$6,MATCH($G4034,Mapping!$D$3:$D$6,0)),IFERROR(INDEX(Mapping!$B$3:$B$13,MATCH($J4034,Mapping!$A$3:$A$13,0)),"(unmapped)")),IFERROR(INDEX(Mapping!$B$17:$B$22,MATCH($F4034,Mapping!$A$17:$A$22,0)),$F4034)&amp;" "&amp;IF($G4034="Banking","Banking",IFERROR(INDEX(Mapping!$E$17:$E$28,MATCH($J4034,Mapping!$D$17:$D$28,0)),"(unmapped)")))))</f>
        <v/>
      </c>
    </row>
    <row r="4035" spans="11:11" x14ac:dyDescent="0.3">
      <c r="K4035" t="str">
        <f>IF($D4035="","",IFERROR(INDEX(Mapping!$H$3:$H$32,MATCH($B4035,Mapping!$G$3:$G$32,0)),IF(LEFT($F4035,3)="P2P",IFERROR(INDEX(Mapping!$E$3:$E$6,MATCH($G4035,Mapping!$D$3:$D$6,0)),IFERROR(INDEX(Mapping!$B$3:$B$13,MATCH($J4035,Mapping!$A$3:$A$13,0)),"(unmapped)")),IFERROR(INDEX(Mapping!$B$17:$B$22,MATCH($F4035,Mapping!$A$17:$A$22,0)),$F4035)&amp;" "&amp;IF($G4035="Banking","Banking",IFERROR(INDEX(Mapping!$E$17:$E$28,MATCH($J4035,Mapping!$D$17:$D$28,0)),"(unmapped)")))))</f>
        <v/>
      </c>
    </row>
    <row r="4036" spans="11:11" x14ac:dyDescent="0.3">
      <c r="K4036" t="str">
        <f>IF($D4036="","",IFERROR(INDEX(Mapping!$H$3:$H$32,MATCH($B4036,Mapping!$G$3:$G$32,0)),IF(LEFT($F4036,3)="P2P",IFERROR(INDEX(Mapping!$E$3:$E$6,MATCH($G4036,Mapping!$D$3:$D$6,0)),IFERROR(INDEX(Mapping!$B$3:$B$13,MATCH($J4036,Mapping!$A$3:$A$13,0)),"(unmapped)")),IFERROR(INDEX(Mapping!$B$17:$B$22,MATCH($F4036,Mapping!$A$17:$A$22,0)),$F4036)&amp;" "&amp;IF($G4036="Banking","Banking",IFERROR(INDEX(Mapping!$E$17:$E$28,MATCH($J4036,Mapping!$D$17:$D$28,0)),"(unmapped)")))))</f>
        <v/>
      </c>
    </row>
    <row r="4037" spans="11:11" x14ac:dyDescent="0.3">
      <c r="K4037" t="str">
        <f>IF($D4037="","",IFERROR(INDEX(Mapping!$H$3:$H$32,MATCH($B4037,Mapping!$G$3:$G$32,0)),IF(LEFT($F4037,3)="P2P",IFERROR(INDEX(Mapping!$E$3:$E$6,MATCH($G4037,Mapping!$D$3:$D$6,0)),IFERROR(INDEX(Mapping!$B$3:$B$13,MATCH($J4037,Mapping!$A$3:$A$13,0)),"(unmapped)")),IFERROR(INDEX(Mapping!$B$17:$B$22,MATCH($F4037,Mapping!$A$17:$A$22,0)),$F4037)&amp;" "&amp;IF($G4037="Banking","Banking",IFERROR(INDEX(Mapping!$E$17:$E$28,MATCH($J4037,Mapping!$D$17:$D$28,0)),"(unmapped)")))))</f>
        <v/>
      </c>
    </row>
    <row r="4038" spans="11:11" x14ac:dyDescent="0.3">
      <c r="K4038" t="str">
        <f>IF($D4038="","",IFERROR(INDEX(Mapping!$H$3:$H$32,MATCH($B4038,Mapping!$G$3:$G$32,0)),IF(LEFT($F4038,3)="P2P",IFERROR(INDEX(Mapping!$E$3:$E$6,MATCH($G4038,Mapping!$D$3:$D$6,0)),IFERROR(INDEX(Mapping!$B$3:$B$13,MATCH($J4038,Mapping!$A$3:$A$13,0)),"(unmapped)")),IFERROR(INDEX(Mapping!$B$17:$B$22,MATCH($F4038,Mapping!$A$17:$A$22,0)),$F4038)&amp;" "&amp;IF($G4038="Banking","Banking",IFERROR(INDEX(Mapping!$E$17:$E$28,MATCH($J4038,Mapping!$D$17:$D$28,0)),"(unmapped)")))))</f>
        <v/>
      </c>
    </row>
    <row r="4039" spans="11:11" x14ac:dyDescent="0.3">
      <c r="K4039" t="str">
        <f>IF($D4039="","",IFERROR(INDEX(Mapping!$H$3:$H$32,MATCH($B4039,Mapping!$G$3:$G$32,0)),IF(LEFT($F4039,3)="P2P",IFERROR(INDEX(Mapping!$E$3:$E$6,MATCH($G4039,Mapping!$D$3:$D$6,0)),IFERROR(INDEX(Mapping!$B$3:$B$13,MATCH($J4039,Mapping!$A$3:$A$13,0)),"(unmapped)")),IFERROR(INDEX(Mapping!$B$17:$B$22,MATCH($F4039,Mapping!$A$17:$A$22,0)),$F4039)&amp;" "&amp;IF($G4039="Banking","Banking",IFERROR(INDEX(Mapping!$E$17:$E$28,MATCH($J4039,Mapping!$D$17:$D$28,0)),"(unmapped)")))))</f>
        <v/>
      </c>
    </row>
    <row r="4040" spans="11:11" x14ac:dyDescent="0.3">
      <c r="K4040" t="str">
        <f>IF($D4040="","",IFERROR(INDEX(Mapping!$H$3:$H$32,MATCH($B4040,Mapping!$G$3:$G$32,0)),IF(LEFT($F4040,3)="P2P",IFERROR(INDEX(Mapping!$E$3:$E$6,MATCH($G4040,Mapping!$D$3:$D$6,0)),IFERROR(INDEX(Mapping!$B$3:$B$13,MATCH($J4040,Mapping!$A$3:$A$13,0)),"(unmapped)")),IFERROR(INDEX(Mapping!$B$17:$B$22,MATCH($F4040,Mapping!$A$17:$A$22,0)),$F4040)&amp;" "&amp;IF($G4040="Banking","Banking",IFERROR(INDEX(Mapping!$E$17:$E$28,MATCH($J4040,Mapping!$D$17:$D$28,0)),"(unmapped)")))))</f>
        <v/>
      </c>
    </row>
    <row r="4041" spans="11:11" x14ac:dyDescent="0.3">
      <c r="K4041" t="str">
        <f>IF($D4041="","",IFERROR(INDEX(Mapping!$H$3:$H$32,MATCH($B4041,Mapping!$G$3:$G$32,0)),IF(LEFT($F4041,3)="P2P",IFERROR(INDEX(Mapping!$E$3:$E$6,MATCH($G4041,Mapping!$D$3:$D$6,0)),IFERROR(INDEX(Mapping!$B$3:$B$13,MATCH($J4041,Mapping!$A$3:$A$13,0)),"(unmapped)")),IFERROR(INDEX(Mapping!$B$17:$B$22,MATCH($F4041,Mapping!$A$17:$A$22,0)),$F4041)&amp;" "&amp;IF($G4041="Banking","Banking",IFERROR(INDEX(Mapping!$E$17:$E$28,MATCH($J4041,Mapping!$D$17:$D$28,0)),"(unmapped)")))))</f>
        <v/>
      </c>
    </row>
    <row r="4042" spans="11:11" x14ac:dyDescent="0.3">
      <c r="K4042" t="str">
        <f>IF($D4042="","",IFERROR(INDEX(Mapping!$H$3:$H$32,MATCH($B4042,Mapping!$G$3:$G$32,0)),IF(LEFT($F4042,3)="P2P",IFERROR(INDEX(Mapping!$E$3:$E$6,MATCH($G4042,Mapping!$D$3:$D$6,0)),IFERROR(INDEX(Mapping!$B$3:$B$13,MATCH($J4042,Mapping!$A$3:$A$13,0)),"(unmapped)")),IFERROR(INDEX(Mapping!$B$17:$B$22,MATCH($F4042,Mapping!$A$17:$A$22,0)),$F4042)&amp;" "&amp;IF($G4042="Banking","Banking",IFERROR(INDEX(Mapping!$E$17:$E$28,MATCH($J4042,Mapping!$D$17:$D$28,0)),"(unmapped)")))))</f>
        <v/>
      </c>
    </row>
    <row r="4043" spans="11:11" x14ac:dyDescent="0.3">
      <c r="K4043" t="str">
        <f>IF($D4043="","",IFERROR(INDEX(Mapping!$H$3:$H$32,MATCH($B4043,Mapping!$G$3:$G$32,0)),IF(LEFT($F4043,3)="P2P",IFERROR(INDEX(Mapping!$E$3:$E$6,MATCH($G4043,Mapping!$D$3:$D$6,0)),IFERROR(INDEX(Mapping!$B$3:$B$13,MATCH($J4043,Mapping!$A$3:$A$13,0)),"(unmapped)")),IFERROR(INDEX(Mapping!$B$17:$B$22,MATCH($F4043,Mapping!$A$17:$A$22,0)),$F4043)&amp;" "&amp;IF($G4043="Banking","Banking",IFERROR(INDEX(Mapping!$E$17:$E$28,MATCH($J4043,Mapping!$D$17:$D$28,0)),"(unmapped)")))))</f>
        <v/>
      </c>
    </row>
    <row r="4044" spans="11:11" x14ac:dyDescent="0.3">
      <c r="K4044" t="str">
        <f>IF($D4044="","",IFERROR(INDEX(Mapping!$H$3:$H$32,MATCH($B4044,Mapping!$G$3:$G$32,0)),IF(LEFT($F4044,3)="P2P",IFERROR(INDEX(Mapping!$E$3:$E$6,MATCH($G4044,Mapping!$D$3:$D$6,0)),IFERROR(INDEX(Mapping!$B$3:$B$13,MATCH($J4044,Mapping!$A$3:$A$13,0)),"(unmapped)")),IFERROR(INDEX(Mapping!$B$17:$B$22,MATCH($F4044,Mapping!$A$17:$A$22,0)),$F4044)&amp;" "&amp;IF($G4044="Banking","Banking",IFERROR(INDEX(Mapping!$E$17:$E$28,MATCH($J4044,Mapping!$D$17:$D$28,0)),"(unmapped)")))))</f>
        <v/>
      </c>
    </row>
    <row r="4045" spans="11:11" x14ac:dyDescent="0.3">
      <c r="K4045" t="str">
        <f>IF($D4045="","",IFERROR(INDEX(Mapping!$H$3:$H$32,MATCH($B4045,Mapping!$G$3:$G$32,0)),IF(LEFT($F4045,3)="P2P",IFERROR(INDEX(Mapping!$E$3:$E$6,MATCH($G4045,Mapping!$D$3:$D$6,0)),IFERROR(INDEX(Mapping!$B$3:$B$13,MATCH($J4045,Mapping!$A$3:$A$13,0)),"(unmapped)")),IFERROR(INDEX(Mapping!$B$17:$B$22,MATCH($F4045,Mapping!$A$17:$A$22,0)),$F4045)&amp;" "&amp;IF($G4045="Banking","Banking",IFERROR(INDEX(Mapping!$E$17:$E$28,MATCH($J4045,Mapping!$D$17:$D$28,0)),"(unmapped)")))))</f>
        <v/>
      </c>
    </row>
    <row r="4046" spans="11:11" x14ac:dyDescent="0.3">
      <c r="K4046" t="str">
        <f>IF($D4046="","",IFERROR(INDEX(Mapping!$H$3:$H$32,MATCH($B4046,Mapping!$G$3:$G$32,0)),IF(LEFT($F4046,3)="P2P",IFERROR(INDEX(Mapping!$E$3:$E$6,MATCH($G4046,Mapping!$D$3:$D$6,0)),IFERROR(INDEX(Mapping!$B$3:$B$13,MATCH($J4046,Mapping!$A$3:$A$13,0)),"(unmapped)")),IFERROR(INDEX(Mapping!$B$17:$B$22,MATCH($F4046,Mapping!$A$17:$A$22,0)),$F4046)&amp;" "&amp;IF($G4046="Banking","Banking",IFERROR(INDEX(Mapping!$E$17:$E$28,MATCH($J4046,Mapping!$D$17:$D$28,0)),"(unmapped)")))))</f>
        <v/>
      </c>
    </row>
    <row r="4047" spans="11:11" x14ac:dyDescent="0.3">
      <c r="K4047" t="str">
        <f>IF($D4047="","",IFERROR(INDEX(Mapping!$H$3:$H$32,MATCH($B4047,Mapping!$G$3:$G$32,0)),IF(LEFT($F4047,3)="P2P",IFERROR(INDEX(Mapping!$E$3:$E$6,MATCH($G4047,Mapping!$D$3:$D$6,0)),IFERROR(INDEX(Mapping!$B$3:$B$13,MATCH($J4047,Mapping!$A$3:$A$13,0)),"(unmapped)")),IFERROR(INDEX(Mapping!$B$17:$B$22,MATCH($F4047,Mapping!$A$17:$A$22,0)),$F4047)&amp;" "&amp;IF($G4047="Banking","Banking",IFERROR(INDEX(Mapping!$E$17:$E$28,MATCH($J4047,Mapping!$D$17:$D$28,0)),"(unmapped)")))))</f>
        <v/>
      </c>
    </row>
    <row r="4048" spans="11:11" x14ac:dyDescent="0.3">
      <c r="K4048" t="str">
        <f>IF($D4048="","",IFERROR(INDEX(Mapping!$H$3:$H$32,MATCH($B4048,Mapping!$G$3:$G$32,0)),IF(LEFT($F4048,3)="P2P",IFERROR(INDEX(Mapping!$E$3:$E$6,MATCH($G4048,Mapping!$D$3:$D$6,0)),IFERROR(INDEX(Mapping!$B$3:$B$13,MATCH($J4048,Mapping!$A$3:$A$13,0)),"(unmapped)")),IFERROR(INDEX(Mapping!$B$17:$B$22,MATCH($F4048,Mapping!$A$17:$A$22,0)),$F4048)&amp;" "&amp;IF($G4048="Banking","Banking",IFERROR(INDEX(Mapping!$E$17:$E$28,MATCH($J4048,Mapping!$D$17:$D$28,0)),"(unmapped)")))))</f>
        <v/>
      </c>
    </row>
    <row r="4049" spans="11:11" x14ac:dyDescent="0.3">
      <c r="K4049" t="str">
        <f>IF($D4049="","",IFERROR(INDEX(Mapping!$H$3:$H$32,MATCH($B4049,Mapping!$G$3:$G$32,0)),IF(LEFT($F4049,3)="P2P",IFERROR(INDEX(Mapping!$E$3:$E$6,MATCH($G4049,Mapping!$D$3:$D$6,0)),IFERROR(INDEX(Mapping!$B$3:$B$13,MATCH($J4049,Mapping!$A$3:$A$13,0)),"(unmapped)")),IFERROR(INDEX(Mapping!$B$17:$B$22,MATCH($F4049,Mapping!$A$17:$A$22,0)),$F4049)&amp;" "&amp;IF($G4049="Banking","Banking",IFERROR(INDEX(Mapping!$E$17:$E$28,MATCH($J4049,Mapping!$D$17:$D$28,0)),"(unmapped)")))))</f>
        <v/>
      </c>
    </row>
    <row r="4050" spans="11:11" x14ac:dyDescent="0.3">
      <c r="K4050" t="str">
        <f>IF($D4050="","",IFERROR(INDEX(Mapping!$H$3:$H$32,MATCH($B4050,Mapping!$G$3:$G$32,0)),IF(LEFT($F4050,3)="P2P",IFERROR(INDEX(Mapping!$E$3:$E$6,MATCH($G4050,Mapping!$D$3:$D$6,0)),IFERROR(INDEX(Mapping!$B$3:$B$13,MATCH($J4050,Mapping!$A$3:$A$13,0)),"(unmapped)")),IFERROR(INDEX(Mapping!$B$17:$B$22,MATCH($F4050,Mapping!$A$17:$A$22,0)),$F4050)&amp;" "&amp;IF($G4050="Banking","Banking",IFERROR(INDEX(Mapping!$E$17:$E$28,MATCH($J4050,Mapping!$D$17:$D$28,0)),"(unmapped)")))))</f>
        <v/>
      </c>
    </row>
    <row r="4051" spans="11:11" x14ac:dyDescent="0.3">
      <c r="K4051" t="str">
        <f>IF($D4051="","",IFERROR(INDEX(Mapping!$H$3:$H$32,MATCH($B4051,Mapping!$G$3:$G$32,0)),IF(LEFT($F4051,3)="P2P",IFERROR(INDEX(Mapping!$E$3:$E$6,MATCH($G4051,Mapping!$D$3:$D$6,0)),IFERROR(INDEX(Mapping!$B$3:$B$13,MATCH($J4051,Mapping!$A$3:$A$13,0)),"(unmapped)")),IFERROR(INDEX(Mapping!$B$17:$B$22,MATCH($F4051,Mapping!$A$17:$A$22,0)),$F4051)&amp;" "&amp;IF($G4051="Banking","Banking",IFERROR(INDEX(Mapping!$E$17:$E$28,MATCH($J4051,Mapping!$D$17:$D$28,0)),"(unmapped)")))))</f>
        <v/>
      </c>
    </row>
    <row r="4052" spans="11:11" x14ac:dyDescent="0.3">
      <c r="K4052" t="str">
        <f>IF($D4052="","",IFERROR(INDEX(Mapping!$H$3:$H$32,MATCH($B4052,Mapping!$G$3:$G$32,0)),IF(LEFT($F4052,3)="P2P",IFERROR(INDEX(Mapping!$E$3:$E$6,MATCH($G4052,Mapping!$D$3:$D$6,0)),IFERROR(INDEX(Mapping!$B$3:$B$13,MATCH($J4052,Mapping!$A$3:$A$13,0)),"(unmapped)")),IFERROR(INDEX(Mapping!$B$17:$B$22,MATCH($F4052,Mapping!$A$17:$A$22,0)),$F4052)&amp;" "&amp;IF($G4052="Banking","Banking",IFERROR(INDEX(Mapping!$E$17:$E$28,MATCH($J4052,Mapping!$D$17:$D$28,0)),"(unmapped)")))))</f>
        <v/>
      </c>
    </row>
    <row r="4053" spans="11:11" x14ac:dyDescent="0.3">
      <c r="K4053" t="str">
        <f>IF($D4053="","",IFERROR(INDEX(Mapping!$H$3:$H$32,MATCH($B4053,Mapping!$G$3:$G$32,0)),IF(LEFT($F4053,3)="P2P",IFERROR(INDEX(Mapping!$E$3:$E$6,MATCH($G4053,Mapping!$D$3:$D$6,0)),IFERROR(INDEX(Mapping!$B$3:$B$13,MATCH($J4053,Mapping!$A$3:$A$13,0)),"(unmapped)")),IFERROR(INDEX(Mapping!$B$17:$B$22,MATCH($F4053,Mapping!$A$17:$A$22,0)),$F4053)&amp;" "&amp;IF($G4053="Banking","Banking",IFERROR(INDEX(Mapping!$E$17:$E$28,MATCH($J4053,Mapping!$D$17:$D$28,0)),"(unmapped)")))))</f>
        <v/>
      </c>
    </row>
    <row r="4054" spans="11:11" x14ac:dyDescent="0.3">
      <c r="K4054" t="str">
        <f>IF($D4054="","",IFERROR(INDEX(Mapping!$H$3:$H$32,MATCH($B4054,Mapping!$G$3:$G$32,0)),IF(LEFT($F4054,3)="P2P",IFERROR(INDEX(Mapping!$E$3:$E$6,MATCH($G4054,Mapping!$D$3:$D$6,0)),IFERROR(INDEX(Mapping!$B$3:$B$13,MATCH($J4054,Mapping!$A$3:$A$13,0)),"(unmapped)")),IFERROR(INDEX(Mapping!$B$17:$B$22,MATCH($F4054,Mapping!$A$17:$A$22,0)),$F4054)&amp;" "&amp;IF($G4054="Banking","Banking",IFERROR(INDEX(Mapping!$E$17:$E$28,MATCH($J4054,Mapping!$D$17:$D$28,0)),"(unmapped)")))))</f>
        <v/>
      </c>
    </row>
    <row r="4055" spans="11:11" x14ac:dyDescent="0.3">
      <c r="K4055" t="str">
        <f>IF($D4055="","",IFERROR(INDEX(Mapping!$H$3:$H$32,MATCH($B4055,Mapping!$G$3:$G$32,0)),IF(LEFT($F4055,3)="P2P",IFERROR(INDEX(Mapping!$E$3:$E$6,MATCH($G4055,Mapping!$D$3:$D$6,0)),IFERROR(INDEX(Mapping!$B$3:$B$13,MATCH($J4055,Mapping!$A$3:$A$13,0)),"(unmapped)")),IFERROR(INDEX(Mapping!$B$17:$B$22,MATCH($F4055,Mapping!$A$17:$A$22,0)),$F4055)&amp;" "&amp;IF($G4055="Banking","Banking",IFERROR(INDEX(Mapping!$E$17:$E$28,MATCH($J4055,Mapping!$D$17:$D$28,0)),"(unmapped)")))))</f>
        <v/>
      </c>
    </row>
    <row r="4056" spans="11:11" x14ac:dyDescent="0.3">
      <c r="K4056" t="str">
        <f>IF($D4056="","",IFERROR(INDEX(Mapping!$H$3:$H$32,MATCH($B4056,Mapping!$G$3:$G$32,0)),IF(LEFT($F4056,3)="P2P",IFERROR(INDEX(Mapping!$E$3:$E$6,MATCH($G4056,Mapping!$D$3:$D$6,0)),IFERROR(INDEX(Mapping!$B$3:$B$13,MATCH($J4056,Mapping!$A$3:$A$13,0)),"(unmapped)")),IFERROR(INDEX(Mapping!$B$17:$B$22,MATCH($F4056,Mapping!$A$17:$A$22,0)),$F4056)&amp;" "&amp;IF($G4056="Banking","Banking",IFERROR(INDEX(Mapping!$E$17:$E$28,MATCH($J4056,Mapping!$D$17:$D$28,0)),"(unmapped)")))))</f>
        <v/>
      </c>
    </row>
    <row r="4057" spans="11:11" x14ac:dyDescent="0.3">
      <c r="K4057" t="str">
        <f>IF($D4057="","",IFERROR(INDEX(Mapping!$H$3:$H$32,MATCH($B4057,Mapping!$G$3:$G$32,0)),IF(LEFT($F4057,3)="P2P",IFERROR(INDEX(Mapping!$E$3:$E$6,MATCH($G4057,Mapping!$D$3:$D$6,0)),IFERROR(INDEX(Mapping!$B$3:$B$13,MATCH($J4057,Mapping!$A$3:$A$13,0)),"(unmapped)")),IFERROR(INDEX(Mapping!$B$17:$B$22,MATCH($F4057,Mapping!$A$17:$A$22,0)),$F4057)&amp;" "&amp;IF($G4057="Banking","Banking",IFERROR(INDEX(Mapping!$E$17:$E$28,MATCH($J4057,Mapping!$D$17:$D$28,0)),"(unmapped)")))))</f>
        <v/>
      </c>
    </row>
    <row r="4058" spans="11:11" x14ac:dyDescent="0.3">
      <c r="K4058" t="str">
        <f>IF($D4058="","",IFERROR(INDEX(Mapping!$H$3:$H$32,MATCH($B4058,Mapping!$G$3:$G$32,0)),IF(LEFT($F4058,3)="P2P",IFERROR(INDEX(Mapping!$E$3:$E$6,MATCH($G4058,Mapping!$D$3:$D$6,0)),IFERROR(INDEX(Mapping!$B$3:$B$13,MATCH($J4058,Mapping!$A$3:$A$13,0)),"(unmapped)")),IFERROR(INDEX(Mapping!$B$17:$B$22,MATCH($F4058,Mapping!$A$17:$A$22,0)),$F4058)&amp;" "&amp;IF($G4058="Banking","Banking",IFERROR(INDEX(Mapping!$E$17:$E$28,MATCH($J4058,Mapping!$D$17:$D$28,0)),"(unmapped)")))))</f>
        <v/>
      </c>
    </row>
    <row r="4059" spans="11:11" x14ac:dyDescent="0.3">
      <c r="K4059" t="str">
        <f>IF($D4059="","",IFERROR(INDEX(Mapping!$H$3:$H$32,MATCH($B4059,Mapping!$G$3:$G$32,0)),IF(LEFT($F4059,3)="P2P",IFERROR(INDEX(Mapping!$E$3:$E$6,MATCH($G4059,Mapping!$D$3:$D$6,0)),IFERROR(INDEX(Mapping!$B$3:$B$13,MATCH($J4059,Mapping!$A$3:$A$13,0)),"(unmapped)")),IFERROR(INDEX(Mapping!$B$17:$B$22,MATCH($F4059,Mapping!$A$17:$A$22,0)),$F4059)&amp;" "&amp;IF($G4059="Banking","Banking",IFERROR(INDEX(Mapping!$E$17:$E$28,MATCH($J4059,Mapping!$D$17:$D$28,0)),"(unmapped)")))))</f>
        <v/>
      </c>
    </row>
    <row r="4060" spans="11:11" x14ac:dyDescent="0.3">
      <c r="K4060" t="str">
        <f>IF($D4060="","",IFERROR(INDEX(Mapping!$H$3:$H$32,MATCH($B4060,Mapping!$G$3:$G$32,0)),IF(LEFT($F4060,3)="P2P",IFERROR(INDEX(Mapping!$E$3:$E$6,MATCH($G4060,Mapping!$D$3:$D$6,0)),IFERROR(INDEX(Mapping!$B$3:$B$13,MATCH($J4060,Mapping!$A$3:$A$13,0)),"(unmapped)")),IFERROR(INDEX(Mapping!$B$17:$B$22,MATCH($F4060,Mapping!$A$17:$A$22,0)),$F4060)&amp;" "&amp;IF($G4060="Banking","Banking",IFERROR(INDEX(Mapping!$E$17:$E$28,MATCH($J4060,Mapping!$D$17:$D$28,0)),"(unmapped)")))))</f>
        <v/>
      </c>
    </row>
    <row r="4061" spans="11:11" x14ac:dyDescent="0.3">
      <c r="K4061" t="str">
        <f>IF($D4061="","",IFERROR(INDEX(Mapping!$H$3:$H$32,MATCH($B4061,Mapping!$G$3:$G$32,0)),IF(LEFT($F4061,3)="P2P",IFERROR(INDEX(Mapping!$E$3:$E$6,MATCH($G4061,Mapping!$D$3:$D$6,0)),IFERROR(INDEX(Mapping!$B$3:$B$13,MATCH($J4061,Mapping!$A$3:$A$13,0)),"(unmapped)")),IFERROR(INDEX(Mapping!$B$17:$B$22,MATCH($F4061,Mapping!$A$17:$A$22,0)),$F4061)&amp;" "&amp;IF($G4061="Banking","Banking",IFERROR(INDEX(Mapping!$E$17:$E$28,MATCH($J4061,Mapping!$D$17:$D$28,0)),"(unmapped)")))))</f>
        <v/>
      </c>
    </row>
    <row r="4062" spans="11:11" x14ac:dyDescent="0.3">
      <c r="K4062" t="str">
        <f>IF($D4062="","",IFERROR(INDEX(Mapping!$H$3:$H$32,MATCH($B4062,Mapping!$G$3:$G$32,0)),IF(LEFT($F4062,3)="P2P",IFERROR(INDEX(Mapping!$E$3:$E$6,MATCH($G4062,Mapping!$D$3:$D$6,0)),IFERROR(INDEX(Mapping!$B$3:$B$13,MATCH($J4062,Mapping!$A$3:$A$13,0)),"(unmapped)")),IFERROR(INDEX(Mapping!$B$17:$B$22,MATCH($F4062,Mapping!$A$17:$A$22,0)),$F4062)&amp;" "&amp;IF($G4062="Banking","Banking",IFERROR(INDEX(Mapping!$E$17:$E$28,MATCH($J4062,Mapping!$D$17:$D$28,0)),"(unmapped)")))))</f>
        <v/>
      </c>
    </row>
    <row r="4063" spans="11:11" x14ac:dyDescent="0.3">
      <c r="K4063" t="str">
        <f>IF($D4063="","",IFERROR(INDEX(Mapping!$H$3:$H$32,MATCH($B4063,Mapping!$G$3:$G$32,0)),IF(LEFT($F4063,3)="P2P",IFERROR(INDEX(Mapping!$E$3:$E$6,MATCH($G4063,Mapping!$D$3:$D$6,0)),IFERROR(INDEX(Mapping!$B$3:$B$13,MATCH($J4063,Mapping!$A$3:$A$13,0)),"(unmapped)")),IFERROR(INDEX(Mapping!$B$17:$B$22,MATCH($F4063,Mapping!$A$17:$A$22,0)),$F4063)&amp;" "&amp;IF($G4063="Banking","Banking",IFERROR(INDEX(Mapping!$E$17:$E$28,MATCH($J4063,Mapping!$D$17:$D$28,0)),"(unmapped)")))))</f>
        <v/>
      </c>
    </row>
    <row r="4064" spans="11:11" x14ac:dyDescent="0.3">
      <c r="K4064" t="str">
        <f>IF($D4064="","",IFERROR(INDEX(Mapping!$H$3:$H$32,MATCH($B4064,Mapping!$G$3:$G$32,0)),IF(LEFT($F4064,3)="P2P",IFERROR(INDEX(Mapping!$E$3:$E$6,MATCH($G4064,Mapping!$D$3:$D$6,0)),IFERROR(INDEX(Mapping!$B$3:$B$13,MATCH($J4064,Mapping!$A$3:$A$13,0)),"(unmapped)")),IFERROR(INDEX(Mapping!$B$17:$B$22,MATCH($F4064,Mapping!$A$17:$A$22,0)),$F4064)&amp;" "&amp;IF($G4064="Banking","Banking",IFERROR(INDEX(Mapping!$E$17:$E$28,MATCH($J4064,Mapping!$D$17:$D$28,0)),"(unmapped)")))))</f>
        <v/>
      </c>
    </row>
    <row r="4065" spans="11:11" x14ac:dyDescent="0.3">
      <c r="K4065" t="str">
        <f>IF($D4065="","",IFERROR(INDEX(Mapping!$H$3:$H$32,MATCH($B4065,Mapping!$G$3:$G$32,0)),IF(LEFT($F4065,3)="P2P",IFERROR(INDEX(Mapping!$E$3:$E$6,MATCH($G4065,Mapping!$D$3:$D$6,0)),IFERROR(INDEX(Mapping!$B$3:$B$13,MATCH($J4065,Mapping!$A$3:$A$13,0)),"(unmapped)")),IFERROR(INDEX(Mapping!$B$17:$B$22,MATCH($F4065,Mapping!$A$17:$A$22,0)),$F4065)&amp;" "&amp;IF($G4065="Banking","Banking",IFERROR(INDEX(Mapping!$E$17:$E$28,MATCH($J4065,Mapping!$D$17:$D$28,0)),"(unmapped)")))))</f>
        <v/>
      </c>
    </row>
    <row r="4066" spans="11:11" x14ac:dyDescent="0.3">
      <c r="K4066" t="str">
        <f>IF($D4066="","",IFERROR(INDEX(Mapping!$H$3:$H$32,MATCH($B4066,Mapping!$G$3:$G$32,0)),IF(LEFT($F4066,3)="P2P",IFERROR(INDEX(Mapping!$E$3:$E$6,MATCH($G4066,Mapping!$D$3:$D$6,0)),IFERROR(INDEX(Mapping!$B$3:$B$13,MATCH($J4066,Mapping!$A$3:$A$13,0)),"(unmapped)")),IFERROR(INDEX(Mapping!$B$17:$B$22,MATCH($F4066,Mapping!$A$17:$A$22,0)),$F4066)&amp;" "&amp;IF($G4066="Banking","Banking",IFERROR(INDEX(Mapping!$E$17:$E$28,MATCH($J4066,Mapping!$D$17:$D$28,0)),"(unmapped)")))))</f>
        <v/>
      </c>
    </row>
    <row r="4067" spans="11:11" x14ac:dyDescent="0.3">
      <c r="K4067" t="str">
        <f>IF($D4067="","",IFERROR(INDEX(Mapping!$H$3:$H$32,MATCH($B4067,Mapping!$G$3:$G$32,0)),IF(LEFT($F4067,3)="P2P",IFERROR(INDEX(Mapping!$E$3:$E$6,MATCH($G4067,Mapping!$D$3:$D$6,0)),IFERROR(INDEX(Mapping!$B$3:$B$13,MATCH($J4067,Mapping!$A$3:$A$13,0)),"(unmapped)")),IFERROR(INDEX(Mapping!$B$17:$B$22,MATCH($F4067,Mapping!$A$17:$A$22,0)),$F4067)&amp;" "&amp;IF($G4067="Banking","Banking",IFERROR(INDEX(Mapping!$E$17:$E$28,MATCH($J4067,Mapping!$D$17:$D$28,0)),"(unmapped)")))))</f>
        <v/>
      </c>
    </row>
    <row r="4068" spans="11:11" x14ac:dyDescent="0.3">
      <c r="K4068" t="str">
        <f>IF($D4068="","",IFERROR(INDEX(Mapping!$H$3:$H$32,MATCH($B4068,Mapping!$G$3:$G$32,0)),IF(LEFT($F4068,3)="P2P",IFERROR(INDEX(Mapping!$E$3:$E$6,MATCH($G4068,Mapping!$D$3:$D$6,0)),IFERROR(INDEX(Mapping!$B$3:$B$13,MATCH($J4068,Mapping!$A$3:$A$13,0)),"(unmapped)")),IFERROR(INDEX(Mapping!$B$17:$B$22,MATCH($F4068,Mapping!$A$17:$A$22,0)),$F4068)&amp;" "&amp;IF($G4068="Banking","Banking",IFERROR(INDEX(Mapping!$E$17:$E$28,MATCH($J4068,Mapping!$D$17:$D$28,0)),"(unmapped)")))))</f>
        <v/>
      </c>
    </row>
    <row r="4069" spans="11:11" x14ac:dyDescent="0.3">
      <c r="K4069" t="str">
        <f>IF($D4069="","",IFERROR(INDEX(Mapping!$H$3:$H$32,MATCH($B4069,Mapping!$G$3:$G$32,0)),IF(LEFT($F4069,3)="P2P",IFERROR(INDEX(Mapping!$E$3:$E$6,MATCH($G4069,Mapping!$D$3:$D$6,0)),IFERROR(INDEX(Mapping!$B$3:$B$13,MATCH($J4069,Mapping!$A$3:$A$13,0)),"(unmapped)")),IFERROR(INDEX(Mapping!$B$17:$B$22,MATCH($F4069,Mapping!$A$17:$A$22,0)),$F4069)&amp;" "&amp;IF($G4069="Banking","Banking",IFERROR(INDEX(Mapping!$E$17:$E$28,MATCH($J4069,Mapping!$D$17:$D$28,0)),"(unmapped)")))))</f>
        <v/>
      </c>
    </row>
    <row r="4070" spans="11:11" x14ac:dyDescent="0.3">
      <c r="K4070" t="str">
        <f>IF($D4070="","",IFERROR(INDEX(Mapping!$H$3:$H$32,MATCH($B4070,Mapping!$G$3:$G$32,0)),IF(LEFT($F4070,3)="P2P",IFERROR(INDEX(Mapping!$E$3:$E$6,MATCH($G4070,Mapping!$D$3:$D$6,0)),IFERROR(INDEX(Mapping!$B$3:$B$13,MATCH($J4070,Mapping!$A$3:$A$13,0)),"(unmapped)")),IFERROR(INDEX(Mapping!$B$17:$B$22,MATCH($F4070,Mapping!$A$17:$A$22,0)),$F4070)&amp;" "&amp;IF($G4070="Banking","Banking",IFERROR(INDEX(Mapping!$E$17:$E$28,MATCH($J4070,Mapping!$D$17:$D$28,0)),"(unmapped)")))))</f>
        <v/>
      </c>
    </row>
    <row r="4071" spans="11:11" x14ac:dyDescent="0.3">
      <c r="K4071" t="str">
        <f>IF($D4071="","",IFERROR(INDEX(Mapping!$H$3:$H$32,MATCH($B4071,Mapping!$G$3:$G$32,0)),IF(LEFT($F4071,3)="P2P",IFERROR(INDEX(Mapping!$E$3:$E$6,MATCH($G4071,Mapping!$D$3:$D$6,0)),IFERROR(INDEX(Mapping!$B$3:$B$13,MATCH($J4071,Mapping!$A$3:$A$13,0)),"(unmapped)")),IFERROR(INDEX(Mapping!$B$17:$B$22,MATCH($F4071,Mapping!$A$17:$A$22,0)),$F4071)&amp;" "&amp;IF($G4071="Banking","Banking",IFERROR(INDEX(Mapping!$E$17:$E$28,MATCH($J4071,Mapping!$D$17:$D$28,0)),"(unmapped)")))))</f>
        <v/>
      </c>
    </row>
    <row r="4072" spans="11:11" x14ac:dyDescent="0.3">
      <c r="K4072" t="str">
        <f>IF($D4072="","",IFERROR(INDEX(Mapping!$H$3:$H$32,MATCH($B4072,Mapping!$G$3:$G$32,0)),IF(LEFT($F4072,3)="P2P",IFERROR(INDEX(Mapping!$E$3:$E$6,MATCH($G4072,Mapping!$D$3:$D$6,0)),IFERROR(INDEX(Mapping!$B$3:$B$13,MATCH($J4072,Mapping!$A$3:$A$13,0)),"(unmapped)")),IFERROR(INDEX(Mapping!$B$17:$B$22,MATCH($F4072,Mapping!$A$17:$A$22,0)),$F4072)&amp;" "&amp;IF($G4072="Banking","Banking",IFERROR(INDEX(Mapping!$E$17:$E$28,MATCH($J4072,Mapping!$D$17:$D$28,0)),"(unmapped)")))))</f>
        <v/>
      </c>
    </row>
    <row r="4073" spans="11:11" x14ac:dyDescent="0.3">
      <c r="K4073" t="str">
        <f>IF($D4073="","",IFERROR(INDEX(Mapping!$H$3:$H$32,MATCH($B4073,Mapping!$G$3:$G$32,0)),IF(LEFT($F4073,3)="P2P",IFERROR(INDEX(Mapping!$E$3:$E$6,MATCH($G4073,Mapping!$D$3:$D$6,0)),IFERROR(INDEX(Mapping!$B$3:$B$13,MATCH($J4073,Mapping!$A$3:$A$13,0)),"(unmapped)")),IFERROR(INDEX(Mapping!$B$17:$B$22,MATCH($F4073,Mapping!$A$17:$A$22,0)),$F4073)&amp;" "&amp;IF($G4073="Banking","Banking",IFERROR(INDEX(Mapping!$E$17:$E$28,MATCH($J4073,Mapping!$D$17:$D$28,0)),"(unmapped)")))))</f>
        <v/>
      </c>
    </row>
    <row r="4074" spans="11:11" x14ac:dyDescent="0.3">
      <c r="K4074" t="str">
        <f>IF($D4074="","",IFERROR(INDEX(Mapping!$H$3:$H$32,MATCH($B4074,Mapping!$G$3:$G$32,0)),IF(LEFT($F4074,3)="P2P",IFERROR(INDEX(Mapping!$E$3:$E$6,MATCH($G4074,Mapping!$D$3:$D$6,0)),IFERROR(INDEX(Mapping!$B$3:$B$13,MATCH($J4074,Mapping!$A$3:$A$13,0)),"(unmapped)")),IFERROR(INDEX(Mapping!$B$17:$B$22,MATCH($F4074,Mapping!$A$17:$A$22,0)),$F4074)&amp;" "&amp;IF($G4074="Banking","Banking",IFERROR(INDEX(Mapping!$E$17:$E$28,MATCH($J4074,Mapping!$D$17:$D$28,0)),"(unmapped)")))))</f>
        <v/>
      </c>
    </row>
    <row r="4075" spans="11:11" x14ac:dyDescent="0.3">
      <c r="K4075" t="str">
        <f>IF($D4075="","",IFERROR(INDEX(Mapping!$H$3:$H$32,MATCH($B4075,Mapping!$G$3:$G$32,0)),IF(LEFT($F4075,3)="P2P",IFERROR(INDEX(Mapping!$E$3:$E$6,MATCH($G4075,Mapping!$D$3:$D$6,0)),IFERROR(INDEX(Mapping!$B$3:$B$13,MATCH($J4075,Mapping!$A$3:$A$13,0)),"(unmapped)")),IFERROR(INDEX(Mapping!$B$17:$B$22,MATCH($F4075,Mapping!$A$17:$A$22,0)),$F4075)&amp;" "&amp;IF($G4075="Banking","Banking",IFERROR(INDEX(Mapping!$E$17:$E$28,MATCH($J4075,Mapping!$D$17:$D$28,0)),"(unmapped)")))))</f>
        <v/>
      </c>
    </row>
    <row r="4076" spans="11:11" x14ac:dyDescent="0.3">
      <c r="K4076" t="str">
        <f>IF($D4076="","",IFERROR(INDEX(Mapping!$H$3:$H$32,MATCH($B4076,Mapping!$G$3:$G$32,0)),IF(LEFT($F4076,3)="P2P",IFERROR(INDEX(Mapping!$E$3:$E$6,MATCH($G4076,Mapping!$D$3:$D$6,0)),IFERROR(INDEX(Mapping!$B$3:$B$13,MATCH($J4076,Mapping!$A$3:$A$13,0)),"(unmapped)")),IFERROR(INDEX(Mapping!$B$17:$B$22,MATCH($F4076,Mapping!$A$17:$A$22,0)),$F4076)&amp;" "&amp;IF($G4076="Banking","Banking",IFERROR(INDEX(Mapping!$E$17:$E$28,MATCH($J4076,Mapping!$D$17:$D$28,0)),"(unmapped)")))))</f>
        <v/>
      </c>
    </row>
    <row r="4077" spans="11:11" x14ac:dyDescent="0.3">
      <c r="K4077" t="str">
        <f>IF($D4077="","",IFERROR(INDEX(Mapping!$H$3:$H$32,MATCH($B4077,Mapping!$G$3:$G$32,0)),IF(LEFT($F4077,3)="P2P",IFERROR(INDEX(Mapping!$E$3:$E$6,MATCH($G4077,Mapping!$D$3:$D$6,0)),IFERROR(INDEX(Mapping!$B$3:$B$13,MATCH($J4077,Mapping!$A$3:$A$13,0)),"(unmapped)")),IFERROR(INDEX(Mapping!$B$17:$B$22,MATCH($F4077,Mapping!$A$17:$A$22,0)),$F4077)&amp;" "&amp;IF($G4077="Banking","Banking",IFERROR(INDEX(Mapping!$E$17:$E$28,MATCH($J4077,Mapping!$D$17:$D$28,0)),"(unmapped)")))))</f>
        <v/>
      </c>
    </row>
    <row r="4078" spans="11:11" x14ac:dyDescent="0.3">
      <c r="K4078" t="str">
        <f>IF($D4078="","",IFERROR(INDEX(Mapping!$H$3:$H$32,MATCH($B4078,Mapping!$G$3:$G$32,0)),IF(LEFT($F4078,3)="P2P",IFERROR(INDEX(Mapping!$E$3:$E$6,MATCH($G4078,Mapping!$D$3:$D$6,0)),IFERROR(INDEX(Mapping!$B$3:$B$13,MATCH($J4078,Mapping!$A$3:$A$13,0)),"(unmapped)")),IFERROR(INDEX(Mapping!$B$17:$B$22,MATCH($F4078,Mapping!$A$17:$A$22,0)),$F4078)&amp;" "&amp;IF($G4078="Banking","Banking",IFERROR(INDEX(Mapping!$E$17:$E$28,MATCH($J4078,Mapping!$D$17:$D$28,0)),"(unmapped)")))))</f>
        <v/>
      </c>
    </row>
    <row r="4079" spans="11:11" x14ac:dyDescent="0.3">
      <c r="K4079" t="str">
        <f>IF($D4079="","",IFERROR(INDEX(Mapping!$H$3:$H$32,MATCH($B4079,Mapping!$G$3:$G$32,0)),IF(LEFT($F4079,3)="P2P",IFERROR(INDEX(Mapping!$E$3:$E$6,MATCH($G4079,Mapping!$D$3:$D$6,0)),IFERROR(INDEX(Mapping!$B$3:$B$13,MATCH($J4079,Mapping!$A$3:$A$13,0)),"(unmapped)")),IFERROR(INDEX(Mapping!$B$17:$B$22,MATCH($F4079,Mapping!$A$17:$A$22,0)),$F4079)&amp;" "&amp;IF($G4079="Banking","Banking",IFERROR(INDEX(Mapping!$E$17:$E$28,MATCH($J4079,Mapping!$D$17:$D$28,0)),"(unmapped)")))))</f>
        <v/>
      </c>
    </row>
    <row r="4080" spans="11:11" x14ac:dyDescent="0.3">
      <c r="K4080" t="str">
        <f>IF($D4080="","",IFERROR(INDEX(Mapping!$H$3:$H$32,MATCH($B4080,Mapping!$G$3:$G$32,0)),IF(LEFT($F4080,3)="P2P",IFERROR(INDEX(Mapping!$E$3:$E$6,MATCH($G4080,Mapping!$D$3:$D$6,0)),IFERROR(INDEX(Mapping!$B$3:$B$13,MATCH($J4080,Mapping!$A$3:$A$13,0)),"(unmapped)")),IFERROR(INDEX(Mapping!$B$17:$B$22,MATCH($F4080,Mapping!$A$17:$A$22,0)),$F4080)&amp;" "&amp;IF($G4080="Banking","Banking",IFERROR(INDEX(Mapping!$E$17:$E$28,MATCH($J4080,Mapping!$D$17:$D$28,0)),"(unmapped)")))))</f>
        <v/>
      </c>
    </row>
    <row r="4081" spans="11:11" x14ac:dyDescent="0.3">
      <c r="K4081" t="str">
        <f>IF($D4081="","",IFERROR(INDEX(Mapping!$H$3:$H$32,MATCH($B4081,Mapping!$G$3:$G$32,0)),IF(LEFT($F4081,3)="P2P",IFERROR(INDEX(Mapping!$E$3:$E$6,MATCH($G4081,Mapping!$D$3:$D$6,0)),IFERROR(INDEX(Mapping!$B$3:$B$13,MATCH($J4081,Mapping!$A$3:$A$13,0)),"(unmapped)")),IFERROR(INDEX(Mapping!$B$17:$B$22,MATCH($F4081,Mapping!$A$17:$A$22,0)),$F4081)&amp;" "&amp;IF($G4081="Banking","Banking",IFERROR(INDEX(Mapping!$E$17:$E$28,MATCH($J4081,Mapping!$D$17:$D$28,0)),"(unmapped)")))))</f>
        <v/>
      </c>
    </row>
    <row r="4082" spans="11:11" x14ac:dyDescent="0.3">
      <c r="K4082" t="str">
        <f>IF($D4082="","",IFERROR(INDEX(Mapping!$H$3:$H$32,MATCH($B4082,Mapping!$G$3:$G$32,0)),IF(LEFT($F4082,3)="P2P",IFERROR(INDEX(Mapping!$E$3:$E$6,MATCH($G4082,Mapping!$D$3:$D$6,0)),IFERROR(INDEX(Mapping!$B$3:$B$13,MATCH($J4082,Mapping!$A$3:$A$13,0)),"(unmapped)")),IFERROR(INDEX(Mapping!$B$17:$B$22,MATCH($F4082,Mapping!$A$17:$A$22,0)),$F4082)&amp;" "&amp;IF($G4082="Banking","Banking",IFERROR(INDEX(Mapping!$E$17:$E$28,MATCH($J4082,Mapping!$D$17:$D$28,0)),"(unmapped)")))))</f>
        <v/>
      </c>
    </row>
    <row r="4083" spans="11:11" x14ac:dyDescent="0.3">
      <c r="K4083" t="str">
        <f>IF($D4083="","",IFERROR(INDEX(Mapping!$H$3:$H$32,MATCH($B4083,Mapping!$G$3:$G$32,0)),IF(LEFT($F4083,3)="P2P",IFERROR(INDEX(Mapping!$E$3:$E$6,MATCH($G4083,Mapping!$D$3:$D$6,0)),IFERROR(INDEX(Mapping!$B$3:$B$13,MATCH($J4083,Mapping!$A$3:$A$13,0)),"(unmapped)")),IFERROR(INDEX(Mapping!$B$17:$B$22,MATCH($F4083,Mapping!$A$17:$A$22,0)),$F4083)&amp;" "&amp;IF($G4083="Banking","Banking",IFERROR(INDEX(Mapping!$E$17:$E$28,MATCH($J4083,Mapping!$D$17:$D$28,0)),"(unmapped)")))))</f>
        <v/>
      </c>
    </row>
    <row r="4084" spans="11:11" x14ac:dyDescent="0.3">
      <c r="K4084" t="str">
        <f>IF($D4084="","",IFERROR(INDEX(Mapping!$H$3:$H$32,MATCH($B4084,Mapping!$G$3:$G$32,0)),IF(LEFT($F4084,3)="P2P",IFERROR(INDEX(Mapping!$E$3:$E$6,MATCH($G4084,Mapping!$D$3:$D$6,0)),IFERROR(INDEX(Mapping!$B$3:$B$13,MATCH($J4084,Mapping!$A$3:$A$13,0)),"(unmapped)")),IFERROR(INDEX(Mapping!$B$17:$B$22,MATCH($F4084,Mapping!$A$17:$A$22,0)),$F4084)&amp;" "&amp;IF($G4084="Banking","Banking",IFERROR(INDEX(Mapping!$E$17:$E$28,MATCH($J4084,Mapping!$D$17:$D$28,0)),"(unmapped)")))))</f>
        <v/>
      </c>
    </row>
    <row r="4085" spans="11:11" x14ac:dyDescent="0.3">
      <c r="K4085" t="str">
        <f>IF($D4085="","",IFERROR(INDEX(Mapping!$H$3:$H$32,MATCH($B4085,Mapping!$G$3:$G$32,0)),IF(LEFT($F4085,3)="P2P",IFERROR(INDEX(Mapping!$E$3:$E$6,MATCH($G4085,Mapping!$D$3:$D$6,0)),IFERROR(INDEX(Mapping!$B$3:$B$13,MATCH($J4085,Mapping!$A$3:$A$13,0)),"(unmapped)")),IFERROR(INDEX(Mapping!$B$17:$B$22,MATCH($F4085,Mapping!$A$17:$A$22,0)),$F4085)&amp;" "&amp;IF($G4085="Banking","Banking",IFERROR(INDEX(Mapping!$E$17:$E$28,MATCH($J4085,Mapping!$D$17:$D$28,0)),"(unmapped)")))))</f>
        <v/>
      </c>
    </row>
    <row r="4086" spans="11:11" x14ac:dyDescent="0.3">
      <c r="K4086" t="str">
        <f>IF($D4086="","",IFERROR(INDEX(Mapping!$H$3:$H$32,MATCH($B4086,Mapping!$G$3:$G$32,0)),IF(LEFT($F4086,3)="P2P",IFERROR(INDEX(Mapping!$E$3:$E$6,MATCH($G4086,Mapping!$D$3:$D$6,0)),IFERROR(INDEX(Mapping!$B$3:$B$13,MATCH($J4086,Mapping!$A$3:$A$13,0)),"(unmapped)")),IFERROR(INDEX(Mapping!$B$17:$B$22,MATCH($F4086,Mapping!$A$17:$A$22,0)),$F4086)&amp;" "&amp;IF($G4086="Banking","Banking",IFERROR(INDEX(Mapping!$E$17:$E$28,MATCH($J4086,Mapping!$D$17:$D$28,0)),"(unmapped)")))))</f>
        <v/>
      </c>
    </row>
    <row r="4087" spans="11:11" x14ac:dyDescent="0.3">
      <c r="K4087" t="str">
        <f>IF($D4087="","",IFERROR(INDEX(Mapping!$H$3:$H$32,MATCH($B4087,Mapping!$G$3:$G$32,0)),IF(LEFT($F4087,3)="P2P",IFERROR(INDEX(Mapping!$E$3:$E$6,MATCH($G4087,Mapping!$D$3:$D$6,0)),IFERROR(INDEX(Mapping!$B$3:$B$13,MATCH($J4087,Mapping!$A$3:$A$13,0)),"(unmapped)")),IFERROR(INDEX(Mapping!$B$17:$B$22,MATCH($F4087,Mapping!$A$17:$A$22,0)),$F4087)&amp;" "&amp;IF($G4087="Banking","Banking",IFERROR(INDEX(Mapping!$E$17:$E$28,MATCH($J4087,Mapping!$D$17:$D$28,0)),"(unmapped)")))))</f>
        <v/>
      </c>
    </row>
    <row r="4088" spans="11:11" x14ac:dyDescent="0.3">
      <c r="K4088" t="str">
        <f>IF($D4088="","",IFERROR(INDEX(Mapping!$H$3:$H$32,MATCH($B4088,Mapping!$G$3:$G$32,0)),IF(LEFT($F4088,3)="P2P",IFERROR(INDEX(Mapping!$E$3:$E$6,MATCH($G4088,Mapping!$D$3:$D$6,0)),IFERROR(INDEX(Mapping!$B$3:$B$13,MATCH($J4088,Mapping!$A$3:$A$13,0)),"(unmapped)")),IFERROR(INDEX(Mapping!$B$17:$B$22,MATCH($F4088,Mapping!$A$17:$A$22,0)),$F4088)&amp;" "&amp;IF($G4088="Banking","Banking",IFERROR(INDEX(Mapping!$E$17:$E$28,MATCH($J4088,Mapping!$D$17:$D$28,0)),"(unmapped)")))))</f>
        <v/>
      </c>
    </row>
    <row r="4089" spans="11:11" x14ac:dyDescent="0.3">
      <c r="K4089" t="str">
        <f>IF($D4089="","",IFERROR(INDEX(Mapping!$H$3:$H$32,MATCH($B4089,Mapping!$G$3:$G$32,0)),IF(LEFT($F4089,3)="P2P",IFERROR(INDEX(Mapping!$E$3:$E$6,MATCH($G4089,Mapping!$D$3:$D$6,0)),IFERROR(INDEX(Mapping!$B$3:$B$13,MATCH($J4089,Mapping!$A$3:$A$13,0)),"(unmapped)")),IFERROR(INDEX(Mapping!$B$17:$B$22,MATCH($F4089,Mapping!$A$17:$A$22,0)),$F4089)&amp;" "&amp;IF($G4089="Banking","Banking",IFERROR(INDEX(Mapping!$E$17:$E$28,MATCH($J4089,Mapping!$D$17:$D$28,0)),"(unmapped)")))))</f>
        <v/>
      </c>
    </row>
    <row r="4090" spans="11:11" x14ac:dyDescent="0.3">
      <c r="K4090" t="str">
        <f>IF($D4090="","",IFERROR(INDEX(Mapping!$H$3:$H$32,MATCH($B4090,Mapping!$G$3:$G$32,0)),IF(LEFT($F4090,3)="P2P",IFERROR(INDEX(Mapping!$E$3:$E$6,MATCH($G4090,Mapping!$D$3:$D$6,0)),IFERROR(INDEX(Mapping!$B$3:$B$13,MATCH($J4090,Mapping!$A$3:$A$13,0)),"(unmapped)")),IFERROR(INDEX(Mapping!$B$17:$B$22,MATCH($F4090,Mapping!$A$17:$A$22,0)),$F4090)&amp;" "&amp;IF($G4090="Banking","Banking",IFERROR(INDEX(Mapping!$E$17:$E$28,MATCH($J4090,Mapping!$D$17:$D$28,0)),"(unmapped)")))))</f>
        <v/>
      </c>
    </row>
    <row r="4091" spans="11:11" x14ac:dyDescent="0.3">
      <c r="K4091" t="str">
        <f>IF($D4091="","",IFERROR(INDEX(Mapping!$H$3:$H$32,MATCH($B4091,Mapping!$G$3:$G$32,0)),IF(LEFT($F4091,3)="P2P",IFERROR(INDEX(Mapping!$E$3:$E$6,MATCH($G4091,Mapping!$D$3:$D$6,0)),IFERROR(INDEX(Mapping!$B$3:$B$13,MATCH($J4091,Mapping!$A$3:$A$13,0)),"(unmapped)")),IFERROR(INDEX(Mapping!$B$17:$B$22,MATCH($F4091,Mapping!$A$17:$A$22,0)),$F4091)&amp;" "&amp;IF($G4091="Banking","Banking",IFERROR(INDEX(Mapping!$E$17:$E$28,MATCH($J4091,Mapping!$D$17:$D$28,0)),"(unmapped)")))))</f>
        <v/>
      </c>
    </row>
    <row r="4092" spans="11:11" x14ac:dyDescent="0.3">
      <c r="K4092" t="str">
        <f>IF($D4092="","",IFERROR(INDEX(Mapping!$H$3:$H$32,MATCH($B4092,Mapping!$G$3:$G$32,0)),IF(LEFT($F4092,3)="P2P",IFERROR(INDEX(Mapping!$E$3:$E$6,MATCH($G4092,Mapping!$D$3:$D$6,0)),IFERROR(INDEX(Mapping!$B$3:$B$13,MATCH($J4092,Mapping!$A$3:$A$13,0)),"(unmapped)")),IFERROR(INDEX(Mapping!$B$17:$B$22,MATCH($F4092,Mapping!$A$17:$A$22,0)),$F4092)&amp;" "&amp;IF($G4092="Banking","Banking",IFERROR(INDEX(Mapping!$E$17:$E$28,MATCH($J4092,Mapping!$D$17:$D$28,0)),"(unmapped)")))))</f>
        <v/>
      </c>
    </row>
    <row r="4093" spans="11:11" x14ac:dyDescent="0.3">
      <c r="K4093" t="str">
        <f>IF($D4093="","",IFERROR(INDEX(Mapping!$H$3:$H$32,MATCH($B4093,Mapping!$G$3:$G$32,0)),IF(LEFT($F4093,3)="P2P",IFERROR(INDEX(Mapping!$E$3:$E$6,MATCH($G4093,Mapping!$D$3:$D$6,0)),IFERROR(INDEX(Mapping!$B$3:$B$13,MATCH($J4093,Mapping!$A$3:$A$13,0)),"(unmapped)")),IFERROR(INDEX(Mapping!$B$17:$B$22,MATCH($F4093,Mapping!$A$17:$A$22,0)),$F4093)&amp;" "&amp;IF($G4093="Banking","Banking",IFERROR(INDEX(Mapping!$E$17:$E$28,MATCH($J4093,Mapping!$D$17:$D$28,0)),"(unmapped)")))))</f>
        <v/>
      </c>
    </row>
    <row r="4094" spans="11:11" x14ac:dyDescent="0.3">
      <c r="K4094" t="str">
        <f>IF($D4094="","",IFERROR(INDEX(Mapping!$H$3:$H$32,MATCH($B4094,Mapping!$G$3:$G$32,0)),IF(LEFT($F4094,3)="P2P",IFERROR(INDEX(Mapping!$E$3:$E$6,MATCH($G4094,Mapping!$D$3:$D$6,0)),IFERROR(INDEX(Mapping!$B$3:$B$13,MATCH($J4094,Mapping!$A$3:$A$13,0)),"(unmapped)")),IFERROR(INDEX(Mapping!$B$17:$B$22,MATCH($F4094,Mapping!$A$17:$A$22,0)),$F4094)&amp;" "&amp;IF($G4094="Banking","Banking",IFERROR(INDEX(Mapping!$E$17:$E$28,MATCH($J4094,Mapping!$D$17:$D$28,0)),"(unmapped)")))))</f>
        <v/>
      </c>
    </row>
    <row r="4095" spans="11:11" x14ac:dyDescent="0.3">
      <c r="K4095" t="str">
        <f>IF($D4095="","",IFERROR(INDEX(Mapping!$H$3:$H$32,MATCH($B4095,Mapping!$G$3:$G$32,0)),IF(LEFT($F4095,3)="P2P",IFERROR(INDEX(Mapping!$E$3:$E$6,MATCH($G4095,Mapping!$D$3:$D$6,0)),IFERROR(INDEX(Mapping!$B$3:$B$13,MATCH($J4095,Mapping!$A$3:$A$13,0)),"(unmapped)")),IFERROR(INDEX(Mapping!$B$17:$B$22,MATCH($F4095,Mapping!$A$17:$A$22,0)),$F4095)&amp;" "&amp;IF($G4095="Banking","Banking",IFERROR(INDEX(Mapping!$E$17:$E$28,MATCH($J4095,Mapping!$D$17:$D$28,0)),"(unmapped)")))))</f>
        <v/>
      </c>
    </row>
    <row r="4096" spans="11:11" x14ac:dyDescent="0.3">
      <c r="K4096" t="str">
        <f>IF($D4096="","",IFERROR(INDEX(Mapping!$H$3:$H$32,MATCH($B4096,Mapping!$G$3:$G$32,0)),IF(LEFT($F4096,3)="P2P",IFERROR(INDEX(Mapping!$E$3:$E$6,MATCH($G4096,Mapping!$D$3:$D$6,0)),IFERROR(INDEX(Mapping!$B$3:$B$13,MATCH($J4096,Mapping!$A$3:$A$13,0)),"(unmapped)")),IFERROR(INDEX(Mapping!$B$17:$B$22,MATCH($F4096,Mapping!$A$17:$A$22,0)),$F4096)&amp;" "&amp;IF($G4096="Banking","Banking",IFERROR(INDEX(Mapping!$E$17:$E$28,MATCH($J4096,Mapping!$D$17:$D$28,0)),"(unmapped)")))))</f>
        <v/>
      </c>
    </row>
    <row r="4097" spans="11:11" x14ac:dyDescent="0.3">
      <c r="K4097" t="str">
        <f>IF($D4097="","",IFERROR(INDEX(Mapping!$H$3:$H$32,MATCH($B4097,Mapping!$G$3:$G$32,0)),IF(LEFT($F4097,3)="P2P",IFERROR(INDEX(Mapping!$E$3:$E$6,MATCH($G4097,Mapping!$D$3:$D$6,0)),IFERROR(INDEX(Mapping!$B$3:$B$13,MATCH($J4097,Mapping!$A$3:$A$13,0)),"(unmapped)")),IFERROR(INDEX(Mapping!$B$17:$B$22,MATCH($F4097,Mapping!$A$17:$A$22,0)),$F4097)&amp;" "&amp;IF($G4097="Banking","Banking",IFERROR(INDEX(Mapping!$E$17:$E$28,MATCH($J4097,Mapping!$D$17:$D$28,0)),"(unmapped)")))))</f>
        <v/>
      </c>
    </row>
    <row r="4098" spans="11:11" x14ac:dyDescent="0.3">
      <c r="K4098" t="str">
        <f>IF($D4098="","",IFERROR(INDEX(Mapping!$H$3:$H$32,MATCH($B4098,Mapping!$G$3:$G$32,0)),IF(LEFT($F4098,3)="P2P",IFERROR(INDEX(Mapping!$E$3:$E$6,MATCH($G4098,Mapping!$D$3:$D$6,0)),IFERROR(INDEX(Mapping!$B$3:$B$13,MATCH($J4098,Mapping!$A$3:$A$13,0)),"(unmapped)")),IFERROR(INDEX(Mapping!$B$17:$B$22,MATCH($F4098,Mapping!$A$17:$A$22,0)),$F4098)&amp;" "&amp;IF($G4098="Banking","Banking",IFERROR(INDEX(Mapping!$E$17:$E$28,MATCH($J4098,Mapping!$D$17:$D$28,0)),"(unmapped)")))))</f>
        <v/>
      </c>
    </row>
    <row r="4099" spans="11:11" x14ac:dyDescent="0.3">
      <c r="K4099" t="str">
        <f>IF($D4099="","",IFERROR(INDEX(Mapping!$H$3:$H$32,MATCH($B4099,Mapping!$G$3:$G$32,0)),IF(LEFT($F4099,3)="P2P",IFERROR(INDEX(Mapping!$E$3:$E$6,MATCH($G4099,Mapping!$D$3:$D$6,0)),IFERROR(INDEX(Mapping!$B$3:$B$13,MATCH($J4099,Mapping!$A$3:$A$13,0)),"(unmapped)")),IFERROR(INDEX(Mapping!$B$17:$B$22,MATCH($F4099,Mapping!$A$17:$A$22,0)),$F4099)&amp;" "&amp;IF($G4099="Banking","Banking",IFERROR(INDEX(Mapping!$E$17:$E$28,MATCH($J4099,Mapping!$D$17:$D$28,0)),"(unmapped)")))))</f>
        <v/>
      </c>
    </row>
    <row r="4100" spans="11:11" x14ac:dyDescent="0.3">
      <c r="K4100" t="str">
        <f>IF($D4100="","",IFERROR(INDEX(Mapping!$H$3:$H$32,MATCH($B4100,Mapping!$G$3:$G$32,0)),IF(LEFT($F4100,3)="P2P",IFERROR(INDEX(Mapping!$E$3:$E$6,MATCH($G4100,Mapping!$D$3:$D$6,0)),IFERROR(INDEX(Mapping!$B$3:$B$13,MATCH($J4100,Mapping!$A$3:$A$13,0)),"(unmapped)")),IFERROR(INDEX(Mapping!$B$17:$B$22,MATCH($F4100,Mapping!$A$17:$A$22,0)),$F4100)&amp;" "&amp;IF($G4100="Banking","Banking",IFERROR(INDEX(Mapping!$E$17:$E$28,MATCH($J4100,Mapping!$D$17:$D$28,0)),"(unmapped)")))))</f>
        <v/>
      </c>
    </row>
    <row r="4101" spans="11:11" x14ac:dyDescent="0.3">
      <c r="K4101" t="str">
        <f>IF($D4101="","",IFERROR(INDEX(Mapping!$H$3:$H$32,MATCH($B4101,Mapping!$G$3:$G$32,0)),IF(LEFT($F4101,3)="P2P",IFERROR(INDEX(Mapping!$E$3:$E$6,MATCH($G4101,Mapping!$D$3:$D$6,0)),IFERROR(INDEX(Mapping!$B$3:$B$13,MATCH($J4101,Mapping!$A$3:$A$13,0)),"(unmapped)")),IFERROR(INDEX(Mapping!$B$17:$B$22,MATCH($F4101,Mapping!$A$17:$A$22,0)),$F4101)&amp;" "&amp;IF($G4101="Banking","Banking",IFERROR(INDEX(Mapping!$E$17:$E$28,MATCH($J4101,Mapping!$D$17:$D$28,0)),"(unmapped)")))))</f>
        <v/>
      </c>
    </row>
    <row r="4102" spans="11:11" x14ac:dyDescent="0.3">
      <c r="K4102" t="str">
        <f>IF($D4102="","",IFERROR(INDEX(Mapping!$H$3:$H$32,MATCH($B4102,Mapping!$G$3:$G$32,0)),IF(LEFT($F4102,3)="P2P",IFERROR(INDEX(Mapping!$E$3:$E$6,MATCH($G4102,Mapping!$D$3:$D$6,0)),IFERROR(INDEX(Mapping!$B$3:$B$13,MATCH($J4102,Mapping!$A$3:$A$13,0)),"(unmapped)")),IFERROR(INDEX(Mapping!$B$17:$B$22,MATCH($F4102,Mapping!$A$17:$A$22,0)),$F4102)&amp;" "&amp;IF($G4102="Banking","Banking",IFERROR(INDEX(Mapping!$E$17:$E$28,MATCH($J4102,Mapping!$D$17:$D$28,0)),"(unmapped)")))))</f>
        <v/>
      </c>
    </row>
    <row r="4103" spans="11:11" x14ac:dyDescent="0.3">
      <c r="K4103" t="str">
        <f>IF($D4103="","",IFERROR(INDEX(Mapping!$H$3:$H$32,MATCH($B4103,Mapping!$G$3:$G$32,0)),IF(LEFT($F4103,3)="P2P",IFERROR(INDEX(Mapping!$E$3:$E$6,MATCH($G4103,Mapping!$D$3:$D$6,0)),IFERROR(INDEX(Mapping!$B$3:$B$13,MATCH($J4103,Mapping!$A$3:$A$13,0)),"(unmapped)")),IFERROR(INDEX(Mapping!$B$17:$B$22,MATCH($F4103,Mapping!$A$17:$A$22,0)),$F4103)&amp;" "&amp;IF($G4103="Banking","Banking",IFERROR(INDEX(Mapping!$E$17:$E$28,MATCH($J4103,Mapping!$D$17:$D$28,0)),"(unmapped)")))))</f>
        <v/>
      </c>
    </row>
    <row r="4104" spans="11:11" x14ac:dyDescent="0.3">
      <c r="K4104" t="str">
        <f>IF($D4104="","",IFERROR(INDEX(Mapping!$H$3:$H$32,MATCH($B4104,Mapping!$G$3:$G$32,0)),IF(LEFT($F4104,3)="P2P",IFERROR(INDEX(Mapping!$E$3:$E$6,MATCH($G4104,Mapping!$D$3:$D$6,0)),IFERROR(INDEX(Mapping!$B$3:$B$13,MATCH($J4104,Mapping!$A$3:$A$13,0)),"(unmapped)")),IFERROR(INDEX(Mapping!$B$17:$B$22,MATCH($F4104,Mapping!$A$17:$A$22,0)),$F4104)&amp;" "&amp;IF($G4104="Banking","Banking",IFERROR(INDEX(Mapping!$E$17:$E$28,MATCH($J4104,Mapping!$D$17:$D$28,0)),"(unmapped)")))))</f>
        <v/>
      </c>
    </row>
    <row r="4105" spans="11:11" x14ac:dyDescent="0.3">
      <c r="K4105" t="str">
        <f>IF($D4105="","",IFERROR(INDEX(Mapping!$H$3:$H$32,MATCH($B4105,Mapping!$G$3:$G$32,0)),IF(LEFT($F4105,3)="P2P",IFERROR(INDEX(Mapping!$E$3:$E$6,MATCH($G4105,Mapping!$D$3:$D$6,0)),IFERROR(INDEX(Mapping!$B$3:$B$13,MATCH($J4105,Mapping!$A$3:$A$13,0)),"(unmapped)")),IFERROR(INDEX(Mapping!$B$17:$B$22,MATCH($F4105,Mapping!$A$17:$A$22,0)),$F4105)&amp;" "&amp;IF($G4105="Banking","Banking",IFERROR(INDEX(Mapping!$E$17:$E$28,MATCH($J4105,Mapping!$D$17:$D$28,0)),"(unmapped)")))))</f>
        <v/>
      </c>
    </row>
    <row r="4106" spans="11:11" x14ac:dyDescent="0.3">
      <c r="K4106" t="str">
        <f>IF($D4106="","",IFERROR(INDEX(Mapping!$H$3:$H$32,MATCH($B4106,Mapping!$G$3:$G$32,0)),IF(LEFT($F4106,3)="P2P",IFERROR(INDEX(Mapping!$E$3:$E$6,MATCH($G4106,Mapping!$D$3:$D$6,0)),IFERROR(INDEX(Mapping!$B$3:$B$13,MATCH($J4106,Mapping!$A$3:$A$13,0)),"(unmapped)")),IFERROR(INDEX(Mapping!$B$17:$B$22,MATCH($F4106,Mapping!$A$17:$A$22,0)),$F4106)&amp;" "&amp;IF($G4106="Banking","Banking",IFERROR(INDEX(Mapping!$E$17:$E$28,MATCH($J4106,Mapping!$D$17:$D$28,0)),"(unmapped)")))))</f>
        <v/>
      </c>
    </row>
    <row r="4107" spans="11:11" x14ac:dyDescent="0.3">
      <c r="K4107" t="str">
        <f>IF($D4107="","",IFERROR(INDEX(Mapping!$H$3:$H$32,MATCH($B4107,Mapping!$G$3:$G$32,0)),IF(LEFT($F4107,3)="P2P",IFERROR(INDEX(Mapping!$E$3:$E$6,MATCH($G4107,Mapping!$D$3:$D$6,0)),IFERROR(INDEX(Mapping!$B$3:$B$13,MATCH($J4107,Mapping!$A$3:$A$13,0)),"(unmapped)")),IFERROR(INDEX(Mapping!$B$17:$B$22,MATCH($F4107,Mapping!$A$17:$A$22,0)),$F4107)&amp;" "&amp;IF($G4107="Banking","Banking",IFERROR(INDEX(Mapping!$E$17:$E$28,MATCH($J4107,Mapping!$D$17:$D$28,0)),"(unmapped)")))))</f>
        <v/>
      </c>
    </row>
    <row r="4108" spans="11:11" x14ac:dyDescent="0.3">
      <c r="K4108" t="str">
        <f>IF($D4108="","",IFERROR(INDEX(Mapping!$H$3:$H$32,MATCH($B4108,Mapping!$G$3:$G$32,0)),IF(LEFT($F4108,3)="P2P",IFERROR(INDEX(Mapping!$E$3:$E$6,MATCH($G4108,Mapping!$D$3:$D$6,0)),IFERROR(INDEX(Mapping!$B$3:$B$13,MATCH($J4108,Mapping!$A$3:$A$13,0)),"(unmapped)")),IFERROR(INDEX(Mapping!$B$17:$B$22,MATCH($F4108,Mapping!$A$17:$A$22,0)),$F4108)&amp;" "&amp;IF($G4108="Banking","Banking",IFERROR(INDEX(Mapping!$E$17:$E$28,MATCH($J4108,Mapping!$D$17:$D$28,0)),"(unmapped)")))))</f>
        <v/>
      </c>
    </row>
    <row r="4109" spans="11:11" x14ac:dyDescent="0.3">
      <c r="K4109" t="str">
        <f>IF($D4109="","",IFERROR(INDEX(Mapping!$H$3:$H$32,MATCH($B4109,Mapping!$G$3:$G$32,0)),IF(LEFT($F4109,3)="P2P",IFERROR(INDEX(Mapping!$E$3:$E$6,MATCH($G4109,Mapping!$D$3:$D$6,0)),IFERROR(INDEX(Mapping!$B$3:$B$13,MATCH($J4109,Mapping!$A$3:$A$13,0)),"(unmapped)")),IFERROR(INDEX(Mapping!$B$17:$B$22,MATCH($F4109,Mapping!$A$17:$A$22,0)),$F4109)&amp;" "&amp;IF($G4109="Banking","Banking",IFERROR(INDEX(Mapping!$E$17:$E$28,MATCH($J4109,Mapping!$D$17:$D$28,0)),"(unmapped)")))))</f>
        <v/>
      </c>
    </row>
    <row r="4110" spans="11:11" x14ac:dyDescent="0.3">
      <c r="K4110" t="str">
        <f>IF($D4110="","",IFERROR(INDEX(Mapping!$H$3:$H$32,MATCH($B4110,Mapping!$G$3:$G$32,0)),IF(LEFT($F4110,3)="P2P",IFERROR(INDEX(Mapping!$E$3:$E$6,MATCH($G4110,Mapping!$D$3:$D$6,0)),IFERROR(INDEX(Mapping!$B$3:$B$13,MATCH($J4110,Mapping!$A$3:$A$13,0)),"(unmapped)")),IFERROR(INDEX(Mapping!$B$17:$B$22,MATCH($F4110,Mapping!$A$17:$A$22,0)),$F4110)&amp;" "&amp;IF($G4110="Banking","Banking",IFERROR(INDEX(Mapping!$E$17:$E$28,MATCH($J4110,Mapping!$D$17:$D$28,0)),"(unmapped)")))))</f>
        <v/>
      </c>
    </row>
    <row r="4111" spans="11:11" x14ac:dyDescent="0.3">
      <c r="K4111" t="str">
        <f>IF($D4111="","",IFERROR(INDEX(Mapping!$H$3:$H$32,MATCH($B4111,Mapping!$G$3:$G$32,0)),IF(LEFT($F4111,3)="P2P",IFERROR(INDEX(Mapping!$E$3:$E$6,MATCH($G4111,Mapping!$D$3:$D$6,0)),IFERROR(INDEX(Mapping!$B$3:$B$13,MATCH($J4111,Mapping!$A$3:$A$13,0)),"(unmapped)")),IFERROR(INDEX(Mapping!$B$17:$B$22,MATCH($F4111,Mapping!$A$17:$A$22,0)),$F4111)&amp;" "&amp;IF($G4111="Banking","Banking",IFERROR(INDEX(Mapping!$E$17:$E$28,MATCH($J4111,Mapping!$D$17:$D$28,0)),"(unmapped)")))))</f>
        <v/>
      </c>
    </row>
    <row r="4112" spans="11:11" x14ac:dyDescent="0.3">
      <c r="K4112" t="str">
        <f>IF($D4112="","",IFERROR(INDEX(Mapping!$H$3:$H$32,MATCH($B4112,Mapping!$G$3:$G$32,0)),IF(LEFT($F4112,3)="P2P",IFERROR(INDEX(Mapping!$E$3:$E$6,MATCH($G4112,Mapping!$D$3:$D$6,0)),IFERROR(INDEX(Mapping!$B$3:$B$13,MATCH($J4112,Mapping!$A$3:$A$13,0)),"(unmapped)")),IFERROR(INDEX(Mapping!$B$17:$B$22,MATCH($F4112,Mapping!$A$17:$A$22,0)),$F4112)&amp;" "&amp;IF($G4112="Banking","Banking",IFERROR(INDEX(Mapping!$E$17:$E$28,MATCH($J4112,Mapping!$D$17:$D$28,0)),"(unmapped)")))))</f>
        <v/>
      </c>
    </row>
    <row r="4113" spans="11:11" x14ac:dyDescent="0.3">
      <c r="K4113" t="str">
        <f>IF($D4113="","",IFERROR(INDEX(Mapping!$H$3:$H$32,MATCH($B4113,Mapping!$G$3:$G$32,0)),IF(LEFT($F4113,3)="P2P",IFERROR(INDEX(Mapping!$E$3:$E$6,MATCH($G4113,Mapping!$D$3:$D$6,0)),IFERROR(INDEX(Mapping!$B$3:$B$13,MATCH($J4113,Mapping!$A$3:$A$13,0)),"(unmapped)")),IFERROR(INDEX(Mapping!$B$17:$B$22,MATCH($F4113,Mapping!$A$17:$A$22,0)),$F4113)&amp;" "&amp;IF($G4113="Banking","Banking",IFERROR(INDEX(Mapping!$E$17:$E$28,MATCH($J4113,Mapping!$D$17:$D$28,0)),"(unmapped)")))))</f>
        <v/>
      </c>
    </row>
    <row r="4114" spans="11:11" x14ac:dyDescent="0.3">
      <c r="K4114" t="str">
        <f>IF($D4114="","",IFERROR(INDEX(Mapping!$H$3:$H$32,MATCH($B4114,Mapping!$G$3:$G$32,0)),IF(LEFT($F4114,3)="P2P",IFERROR(INDEX(Mapping!$E$3:$E$6,MATCH($G4114,Mapping!$D$3:$D$6,0)),IFERROR(INDEX(Mapping!$B$3:$B$13,MATCH($J4114,Mapping!$A$3:$A$13,0)),"(unmapped)")),IFERROR(INDEX(Mapping!$B$17:$B$22,MATCH($F4114,Mapping!$A$17:$A$22,0)),$F4114)&amp;" "&amp;IF($G4114="Banking","Banking",IFERROR(INDEX(Mapping!$E$17:$E$28,MATCH($J4114,Mapping!$D$17:$D$28,0)),"(unmapped)")))))</f>
        <v/>
      </c>
    </row>
    <row r="4115" spans="11:11" x14ac:dyDescent="0.3">
      <c r="K4115" t="str">
        <f>IF($D4115="","",IFERROR(INDEX(Mapping!$H$3:$H$32,MATCH($B4115,Mapping!$G$3:$G$32,0)),IF(LEFT($F4115,3)="P2P",IFERROR(INDEX(Mapping!$E$3:$E$6,MATCH($G4115,Mapping!$D$3:$D$6,0)),IFERROR(INDEX(Mapping!$B$3:$B$13,MATCH($J4115,Mapping!$A$3:$A$13,0)),"(unmapped)")),IFERROR(INDEX(Mapping!$B$17:$B$22,MATCH($F4115,Mapping!$A$17:$A$22,0)),$F4115)&amp;" "&amp;IF($G4115="Banking","Banking",IFERROR(INDEX(Mapping!$E$17:$E$28,MATCH($J4115,Mapping!$D$17:$D$28,0)),"(unmapped)")))))</f>
        <v/>
      </c>
    </row>
    <row r="4116" spans="11:11" x14ac:dyDescent="0.3">
      <c r="K4116" t="str">
        <f>IF($D4116="","",IFERROR(INDEX(Mapping!$H$3:$H$32,MATCH($B4116,Mapping!$G$3:$G$32,0)),IF(LEFT($F4116,3)="P2P",IFERROR(INDEX(Mapping!$E$3:$E$6,MATCH($G4116,Mapping!$D$3:$D$6,0)),IFERROR(INDEX(Mapping!$B$3:$B$13,MATCH($J4116,Mapping!$A$3:$A$13,0)),"(unmapped)")),IFERROR(INDEX(Mapping!$B$17:$B$22,MATCH($F4116,Mapping!$A$17:$A$22,0)),$F4116)&amp;" "&amp;IF($G4116="Banking","Banking",IFERROR(INDEX(Mapping!$E$17:$E$28,MATCH($J4116,Mapping!$D$17:$D$28,0)),"(unmapped)")))))</f>
        <v/>
      </c>
    </row>
    <row r="4117" spans="11:11" x14ac:dyDescent="0.3">
      <c r="K4117" t="str">
        <f>IF($D4117="","",IFERROR(INDEX(Mapping!$H$3:$H$32,MATCH($B4117,Mapping!$G$3:$G$32,0)),IF(LEFT($F4117,3)="P2P",IFERROR(INDEX(Mapping!$E$3:$E$6,MATCH($G4117,Mapping!$D$3:$D$6,0)),IFERROR(INDEX(Mapping!$B$3:$B$13,MATCH($J4117,Mapping!$A$3:$A$13,0)),"(unmapped)")),IFERROR(INDEX(Mapping!$B$17:$B$22,MATCH($F4117,Mapping!$A$17:$A$22,0)),$F4117)&amp;" "&amp;IF($G4117="Banking","Banking",IFERROR(INDEX(Mapping!$E$17:$E$28,MATCH($J4117,Mapping!$D$17:$D$28,0)),"(unmapped)")))))</f>
        <v/>
      </c>
    </row>
    <row r="4118" spans="11:11" x14ac:dyDescent="0.3">
      <c r="K4118" t="str">
        <f>IF($D4118="","",IFERROR(INDEX(Mapping!$H$3:$H$32,MATCH($B4118,Mapping!$G$3:$G$32,0)),IF(LEFT($F4118,3)="P2P",IFERROR(INDEX(Mapping!$E$3:$E$6,MATCH($G4118,Mapping!$D$3:$D$6,0)),IFERROR(INDEX(Mapping!$B$3:$B$13,MATCH($J4118,Mapping!$A$3:$A$13,0)),"(unmapped)")),IFERROR(INDEX(Mapping!$B$17:$B$22,MATCH($F4118,Mapping!$A$17:$A$22,0)),$F4118)&amp;" "&amp;IF($G4118="Banking","Banking",IFERROR(INDEX(Mapping!$E$17:$E$28,MATCH($J4118,Mapping!$D$17:$D$28,0)),"(unmapped)")))))</f>
        <v/>
      </c>
    </row>
    <row r="4119" spans="11:11" x14ac:dyDescent="0.3">
      <c r="K4119" t="str">
        <f>IF($D4119="","",IFERROR(INDEX(Mapping!$H$3:$H$32,MATCH($B4119,Mapping!$G$3:$G$32,0)),IF(LEFT($F4119,3)="P2P",IFERROR(INDEX(Mapping!$E$3:$E$6,MATCH($G4119,Mapping!$D$3:$D$6,0)),IFERROR(INDEX(Mapping!$B$3:$B$13,MATCH($J4119,Mapping!$A$3:$A$13,0)),"(unmapped)")),IFERROR(INDEX(Mapping!$B$17:$B$22,MATCH($F4119,Mapping!$A$17:$A$22,0)),$F4119)&amp;" "&amp;IF($G4119="Banking","Banking",IFERROR(INDEX(Mapping!$E$17:$E$28,MATCH($J4119,Mapping!$D$17:$D$28,0)),"(unmapped)")))))</f>
        <v/>
      </c>
    </row>
    <row r="4120" spans="11:11" x14ac:dyDescent="0.3">
      <c r="K4120" t="str">
        <f>IF($D4120="","",IFERROR(INDEX(Mapping!$H$3:$H$32,MATCH($B4120,Mapping!$G$3:$G$32,0)),IF(LEFT($F4120,3)="P2P",IFERROR(INDEX(Mapping!$E$3:$E$6,MATCH($G4120,Mapping!$D$3:$D$6,0)),IFERROR(INDEX(Mapping!$B$3:$B$13,MATCH($J4120,Mapping!$A$3:$A$13,0)),"(unmapped)")),IFERROR(INDEX(Mapping!$B$17:$B$22,MATCH($F4120,Mapping!$A$17:$A$22,0)),$F4120)&amp;" "&amp;IF($G4120="Banking","Banking",IFERROR(INDEX(Mapping!$E$17:$E$28,MATCH($J4120,Mapping!$D$17:$D$28,0)),"(unmapped)")))))</f>
        <v/>
      </c>
    </row>
    <row r="4121" spans="11:11" x14ac:dyDescent="0.3">
      <c r="K4121" t="str">
        <f>IF($D4121="","",IFERROR(INDEX(Mapping!$H$3:$H$32,MATCH($B4121,Mapping!$G$3:$G$32,0)),IF(LEFT($F4121,3)="P2P",IFERROR(INDEX(Mapping!$E$3:$E$6,MATCH($G4121,Mapping!$D$3:$D$6,0)),IFERROR(INDEX(Mapping!$B$3:$B$13,MATCH($J4121,Mapping!$A$3:$A$13,0)),"(unmapped)")),IFERROR(INDEX(Mapping!$B$17:$B$22,MATCH($F4121,Mapping!$A$17:$A$22,0)),$F4121)&amp;" "&amp;IF($G4121="Banking","Banking",IFERROR(INDEX(Mapping!$E$17:$E$28,MATCH($J4121,Mapping!$D$17:$D$28,0)),"(unmapped)")))))</f>
        <v/>
      </c>
    </row>
    <row r="4122" spans="11:11" x14ac:dyDescent="0.3">
      <c r="K4122" t="str">
        <f>IF($D4122="","",IFERROR(INDEX(Mapping!$H$3:$H$32,MATCH($B4122,Mapping!$G$3:$G$32,0)),IF(LEFT($F4122,3)="P2P",IFERROR(INDEX(Mapping!$E$3:$E$6,MATCH($G4122,Mapping!$D$3:$D$6,0)),IFERROR(INDEX(Mapping!$B$3:$B$13,MATCH($J4122,Mapping!$A$3:$A$13,0)),"(unmapped)")),IFERROR(INDEX(Mapping!$B$17:$B$22,MATCH($F4122,Mapping!$A$17:$A$22,0)),$F4122)&amp;" "&amp;IF($G4122="Banking","Banking",IFERROR(INDEX(Mapping!$E$17:$E$28,MATCH($J4122,Mapping!$D$17:$D$28,0)),"(unmapped)")))))</f>
        <v/>
      </c>
    </row>
    <row r="4123" spans="11:11" x14ac:dyDescent="0.3">
      <c r="K4123" t="str">
        <f>IF($D4123="","",IFERROR(INDEX(Mapping!$H$3:$H$32,MATCH($B4123,Mapping!$G$3:$G$32,0)),IF(LEFT($F4123,3)="P2P",IFERROR(INDEX(Mapping!$E$3:$E$6,MATCH($G4123,Mapping!$D$3:$D$6,0)),IFERROR(INDEX(Mapping!$B$3:$B$13,MATCH($J4123,Mapping!$A$3:$A$13,0)),"(unmapped)")),IFERROR(INDEX(Mapping!$B$17:$B$22,MATCH($F4123,Mapping!$A$17:$A$22,0)),$F4123)&amp;" "&amp;IF($G4123="Banking","Banking",IFERROR(INDEX(Mapping!$E$17:$E$28,MATCH($J4123,Mapping!$D$17:$D$28,0)),"(unmapped)")))))</f>
        <v/>
      </c>
    </row>
    <row r="4124" spans="11:11" x14ac:dyDescent="0.3">
      <c r="K4124" t="str">
        <f>IF($D4124="","",IFERROR(INDEX(Mapping!$H$3:$H$32,MATCH($B4124,Mapping!$G$3:$G$32,0)),IF(LEFT($F4124,3)="P2P",IFERROR(INDEX(Mapping!$E$3:$E$6,MATCH($G4124,Mapping!$D$3:$D$6,0)),IFERROR(INDEX(Mapping!$B$3:$B$13,MATCH($J4124,Mapping!$A$3:$A$13,0)),"(unmapped)")),IFERROR(INDEX(Mapping!$B$17:$B$22,MATCH($F4124,Mapping!$A$17:$A$22,0)),$F4124)&amp;" "&amp;IF($G4124="Banking","Banking",IFERROR(INDEX(Mapping!$E$17:$E$28,MATCH($J4124,Mapping!$D$17:$D$28,0)),"(unmapped)")))))</f>
        <v/>
      </c>
    </row>
    <row r="4125" spans="11:11" x14ac:dyDescent="0.3">
      <c r="K4125" t="str">
        <f>IF($D4125="","",IFERROR(INDEX(Mapping!$H$3:$H$32,MATCH($B4125,Mapping!$G$3:$G$32,0)),IF(LEFT($F4125,3)="P2P",IFERROR(INDEX(Mapping!$E$3:$E$6,MATCH($G4125,Mapping!$D$3:$D$6,0)),IFERROR(INDEX(Mapping!$B$3:$B$13,MATCH($J4125,Mapping!$A$3:$A$13,0)),"(unmapped)")),IFERROR(INDEX(Mapping!$B$17:$B$22,MATCH($F4125,Mapping!$A$17:$A$22,0)),$F4125)&amp;" "&amp;IF($G4125="Banking","Banking",IFERROR(INDEX(Mapping!$E$17:$E$28,MATCH($J4125,Mapping!$D$17:$D$28,0)),"(unmapped)")))))</f>
        <v/>
      </c>
    </row>
    <row r="4126" spans="11:11" x14ac:dyDescent="0.3">
      <c r="K4126" t="str">
        <f>IF($D4126="","",IFERROR(INDEX(Mapping!$H$3:$H$32,MATCH($B4126,Mapping!$G$3:$G$32,0)),IF(LEFT($F4126,3)="P2P",IFERROR(INDEX(Mapping!$E$3:$E$6,MATCH($G4126,Mapping!$D$3:$D$6,0)),IFERROR(INDEX(Mapping!$B$3:$B$13,MATCH($J4126,Mapping!$A$3:$A$13,0)),"(unmapped)")),IFERROR(INDEX(Mapping!$B$17:$B$22,MATCH($F4126,Mapping!$A$17:$A$22,0)),$F4126)&amp;" "&amp;IF($G4126="Banking","Banking",IFERROR(INDEX(Mapping!$E$17:$E$28,MATCH($J4126,Mapping!$D$17:$D$28,0)),"(unmapped)")))))</f>
        <v/>
      </c>
    </row>
    <row r="4127" spans="11:11" x14ac:dyDescent="0.3">
      <c r="K4127" t="str">
        <f>IF($D4127="","",IFERROR(INDEX(Mapping!$H$3:$H$32,MATCH($B4127,Mapping!$G$3:$G$32,0)),IF(LEFT($F4127,3)="P2P",IFERROR(INDEX(Mapping!$E$3:$E$6,MATCH($G4127,Mapping!$D$3:$D$6,0)),IFERROR(INDEX(Mapping!$B$3:$B$13,MATCH($J4127,Mapping!$A$3:$A$13,0)),"(unmapped)")),IFERROR(INDEX(Mapping!$B$17:$B$22,MATCH($F4127,Mapping!$A$17:$A$22,0)),$F4127)&amp;" "&amp;IF($G4127="Banking","Banking",IFERROR(INDEX(Mapping!$E$17:$E$28,MATCH($J4127,Mapping!$D$17:$D$28,0)),"(unmapped)")))))</f>
        <v/>
      </c>
    </row>
    <row r="4128" spans="11:11" x14ac:dyDescent="0.3">
      <c r="K4128" t="str">
        <f>IF($D4128="","",IFERROR(INDEX(Mapping!$H$3:$H$32,MATCH($B4128,Mapping!$G$3:$G$32,0)),IF(LEFT($F4128,3)="P2P",IFERROR(INDEX(Mapping!$E$3:$E$6,MATCH($G4128,Mapping!$D$3:$D$6,0)),IFERROR(INDEX(Mapping!$B$3:$B$13,MATCH($J4128,Mapping!$A$3:$A$13,0)),"(unmapped)")),IFERROR(INDEX(Mapping!$B$17:$B$22,MATCH($F4128,Mapping!$A$17:$A$22,0)),$F4128)&amp;" "&amp;IF($G4128="Banking","Banking",IFERROR(INDEX(Mapping!$E$17:$E$28,MATCH($J4128,Mapping!$D$17:$D$28,0)),"(unmapped)")))))</f>
        <v/>
      </c>
    </row>
    <row r="4129" spans="11:11" x14ac:dyDescent="0.3">
      <c r="K4129" t="str">
        <f>IF($D4129="","",IFERROR(INDEX(Mapping!$H$3:$H$32,MATCH($B4129,Mapping!$G$3:$G$32,0)),IF(LEFT($F4129,3)="P2P",IFERROR(INDEX(Mapping!$E$3:$E$6,MATCH($G4129,Mapping!$D$3:$D$6,0)),IFERROR(INDEX(Mapping!$B$3:$B$13,MATCH($J4129,Mapping!$A$3:$A$13,0)),"(unmapped)")),IFERROR(INDEX(Mapping!$B$17:$B$22,MATCH($F4129,Mapping!$A$17:$A$22,0)),$F4129)&amp;" "&amp;IF($G4129="Banking","Banking",IFERROR(INDEX(Mapping!$E$17:$E$28,MATCH($J4129,Mapping!$D$17:$D$28,0)),"(unmapped)")))))</f>
        <v/>
      </c>
    </row>
    <row r="4130" spans="11:11" x14ac:dyDescent="0.3">
      <c r="K4130" t="str">
        <f>IF($D4130="","",IFERROR(INDEX(Mapping!$H$3:$H$32,MATCH($B4130,Mapping!$G$3:$G$32,0)),IF(LEFT($F4130,3)="P2P",IFERROR(INDEX(Mapping!$E$3:$E$6,MATCH($G4130,Mapping!$D$3:$D$6,0)),IFERROR(INDEX(Mapping!$B$3:$B$13,MATCH($J4130,Mapping!$A$3:$A$13,0)),"(unmapped)")),IFERROR(INDEX(Mapping!$B$17:$B$22,MATCH($F4130,Mapping!$A$17:$A$22,0)),$F4130)&amp;" "&amp;IF($G4130="Banking","Banking",IFERROR(INDEX(Mapping!$E$17:$E$28,MATCH($J4130,Mapping!$D$17:$D$28,0)),"(unmapped)")))))</f>
        <v/>
      </c>
    </row>
    <row r="4131" spans="11:11" x14ac:dyDescent="0.3">
      <c r="K4131" t="str">
        <f>IF($D4131="","",IFERROR(INDEX(Mapping!$H$3:$H$32,MATCH($B4131,Mapping!$G$3:$G$32,0)),IF(LEFT($F4131,3)="P2P",IFERROR(INDEX(Mapping!$E$3:$E$6,MATCH($G4131,Mapping!$D$3:$D$6,0)),IFERROR(INDEX(Mapping!$B$3:$B$13,MATCH($J4131,Mapping!$A$3:$A$13,0)),"(unmapped)")),IFERROR(INDEX(Mapping!$B$17:$B$22,MATCH($F4131,Mapping!$A$17:$A$22,0)),$F4131)&amp;" "&amp;IF($G4131="Banking","Banking",IFERROR(INDEX(Mapping!$E$17:$E$28,MATCH($J4131,Mapping!$D$17:$D$28,0)),"(unmapped)")))))</f>
        <v/>
      </c>
    </row>
    <row r="4132" spans="11:11" x14ac:dyDescent="0.3">
      <c r="K4132" t="str">
        <f>IF($D4132="","",IFERROR(INDEX(Mapping!$H$3:$H$32,MATCH($B4132,Mapping!$G$3:$G$32,0)),IF(LEFT($F4132,3)="P2P",IFERROR(INDEX(Mapping!$E$3:$E$6,MATCH($G4132,Mapping!$D$3:$D$6,0)),IFERROR(INDEX(Mapping!$B$3:$B$13,MATCH($J4132,Mapping!$A$3:$A$13,0)),"(unmapped)")),IFERROR(INDEX(Mapping!$B$17:$B$22,MATCH($F4132,Mapping!$A$17:$A$22,0)),$F4132)&amp;" "&amp;IF($G4132="Banking","Banking",IFERROR(INDEX(Mapping!$E$17:$E$28,MATCH($J4132,Mapping!$D$17:$D$28,0)),"(unmapped)")))))</f>
        <v/>
      </c>
    </row>
    <row r="4133" spans="11:11" x14ac:dyDescent="0.3">
      <c r="K4133" t="str">
        <f>IF($D4133="","",IFERROR(INDEX(Mapping!$H$3:$H$32,MATCH($B4133,Mapping!$G$3:$G$32,0)),IF(LEFT($F4133,3)="P2P",IFERROR(INDEX(Mapping!$E$3:$E$6,MATCH($G4133,Mapping!$D$3:$D$6,0)),IFERROR(INDEX(Mapping!$B$3:$B$13,MATCH($J4133,Mapping!$A$3:$A$13,0)),"(unmapped)")),IFERROR(INDEX(Mapping!$B$17:$B$22,MATCH($F4133,Mapping!$A$17:$A$22,0)),$F4133)&amp;" "&amp;IF($G4133="Banking","Banking",IFERROR(INDEX(Mapping!$E$17:$E$28,MATCH($J4133,Mapping!$D$17:$D$28,0)),"(unmapped)")))))</f>
        <v/>
      </c>
    </row>
    <row r="4134" spans="11:11" x14ac:dyDescent="0.3">
      <c r="K4134" t="str">
        <f>IF($D4134="","",IFERROR(INDEX(Mapping!$H$3:$H$32,MATCH($B4134,Mapping!$G$3:$G$32,0)),IF(LEFT($F4134,3)="P2P",IFERROR(INDEX(Mapping!$E$3:$E$6,MATCH($G4134,Mapping!$D$3:$D$6,0)),IFERROR(INDEX(Mapping!$B$3:$B$13,MATCH($J4134,Mapping!$A$3:$A$13,0)),"(unmapped)")),IFERROR(INDEX(Mapping!$B$17:$B$22,MATCH($F4134,Mapping!$A$17:$A$22,0)),$F4134)&amp;" "&amp;IF($G4134="Banking","Banking",IFERROR(INDEX(Mapping!$E$17:$E$28,MATCH($J4134,Mapping!$D$17:$D$28,0)),"(unmapped)")))))</f>
        <v/>
      </c>
    </row>
    <row r="4135" spans="11:11" x14ac:dyDescent="0.3">
      <c r="K4135" t="str">
        <f>IF($D4135="","",IFERROR(INDEX(Mapping!$H$3:$H$32,MATCH($B4135,Mapping!$G$3:$G$32,0)),IF(LEFT($F4135,3)="P2P",IFERROR(INDEX(Mapping!$E$3:$E$6,MATCH($G4135,Mapping!$D$3:$D$6,0)),IFERROR(INDEX(Mapping!$B$3:$B$13,MATCH($J4135,Mapping!$A$3:$A$13,0)),"(unmapped)")),IFERROR(INDEX(Mapping!$B$17:$B$22,MATCH($F4135,Mapping!$A$17:$A$22,0)),$F4135)&amp;" "&amp;IF($G4135="Banking","Banking",IFERROR(INDEX(Mapping!$E$17:$E$28,MATCH($J4135,Mapping!$D$17:$D$28,0)),"(unmapped)")))))</f>
        <v/>
      </c>
    </row>
    <row r="4136" spans="11:11" x14ac:dyDescent="0.3">
      <c r="K4136" t="str">
        <f>IF($D4136="","",IFERROR(INDEX(Mapping!$H$3:$H$32,MATCH($B4136,Mapping!$G$3:$G$32,0)),IF(LEFT($F4136,3)="P2P",IFERROR(INDEX(Mapping!$E$3:$E$6,MATCH($G4136,Mapping!$D$3:$D$6,0)),IFERROR(INDEX(Mapping!$B$3:$B$13,MATCH($J4136,Mapping!$A$3:$A$13,0)),"(unmapped)")),IFERROR(INDEX(Mapping!$B$17:$B$22,MATCH($F4136,Mapping!$A$17:$A$22,0)),$F4136)&amp;" "&amp;IF($G4136="Banking","Banking",IFERROR(INDEX(Mapping!$E$17:$E$28,MATCH($J4136,Mapping!$D$17:$D$28,0)),"(unmapped)")))))</f>
        <v/>
      </c>
    </row>
    <row r="4137" spans="11:11" x14ac:dyDescent="0.3">
      <c r="K4137" t="str">
        <f>IF($D4137="","",IFERROR(INDEX(Mapping!$H$3:$H$32,MATCH($B4137,Mapping!$G$3:$G$32,0)),IF(LEFT($F4137,3)="P2P",IFERROR(INDEX(Mapping!$E$3:$E$6,MATCH($G4137,Mapping!$D$3:$D$6,0)),IFERROR(INDEX(Mapping!$B$3:$B$13,MATCH($J4137,Mapping!$A$3:$A$13,0)),"(unmapped)")),IFERROR(INDEX(Mapping!$B$17:$B$22,MATCH($F4137,Mapping!$A$17:$A$22,0)),$F4137)&amp;" "&amp;IF($G4137="Banking","Banking",IFERROR(INDEX(Mapping!$E$17:$E$28,MATCH($J4137,Mapping!$D$17:$D$28,0)),"(unmapped)")))))</f>
        <v/>
      </c>
    </row>
    <row r="4138" spans="11:11" x14ac:dyDescent="0.3">
      <c r="K4138" t="str">
        <f>IF($D4138="","",IFERROR(INDEX(Mapping!$H$3:$H$32,MATCH($B4138,Mapping!$G$3:$G$32,0)),IF(LEFT($F4138,3)="P2P",IFERROR(INDEX(Mapping!$E$3:$E$6,MATCH($G4138,Mapping!$D$3:$D$6,0)),IFERROR(INDEX(Mapping!$B$3:$B$13,MATCH($J4138,Mapping!$A$3:$A$13,0)),"(unmapped)")),IFERROR(INDEX(Mapping!$B$17:$B$22,MATCH($F4138,Mapping!$A$17:$A$22,0)),$F4138)&amp;" "&amp;IF($G4138="Banking","Banking",IFERROR(INDEX(Mapping!$E$17:$E$28,MATCH($J4138,Mapping!$D$17:$D$28,0)),"(unmapped)")))))</f>
        <v/>
      </c>
    </row>
    <row r="4139" spans="11:11" x14ac:dyDescent="0.3">
      <c r="K4139" t="str">
        <f>IF($D4139="","",IFERROR(INDEX(Mapping!$H$3:$H$32,MATCH($B4139,Mapping!$G$3:$G$32,0)),IF(LEFT($F4139,3)="P2P",IFERROR(INDEX(Mapping!$E$3:$E$6,MATCH($G4139,Mapping!$D$3:$D$6,0)),IFERROR(INDEX(Mapping!$B$3:$B$13,MATCH($J4139,Mapping!$A$3:$A$13,0)),"(unmapped)")),IFERROR(INDEX(Mapping!$B$17:$B$22,MATCH($F4139,Mapping!$A$17:$A$22,0)),$F4139)&amp;" "&amp;IF($G4139="Banking","Banking",IFERROR(INDEX(Mapping!$E$17:$E$28,MATCH($J4139,Mapping!$D$17:$D$28,0)),"(unmapped)")))))</f>
        <v/>
      </c>
    </row>
    <row r="4140" spans="11:11" x14ac:dyDescent="0.3">
      <c r="K4140" t="str">
        <f>IF($D4140="","",IFERROR(INDEX(Mapping!$H$3:$H$32,MATCH($B4140,Mapping!$G$3:$G$32,0)),IF(LEFT($F4140,3)="P2P",IFERROR(INDEX(Mapping!$E$3:$E$6,MATCH($G4140,Mapping!$D$3:$D$6,0)),IFERROR(INDEX(Mapping!$B$3:$B$13,MATCH($J4140,Mapping!$A$3:$A$13,0)),"(unmapped)")),IFERROR(INDEX(Mapping!$B$17:$B$22,MATCH($F4140,Mapping!$A$17:$A$22,0)),$F4140)&amp;" "&amp;IF($G4140="Banking","Banking",IFERROR(INDEX(Mapping!$E$17:$E$28,MATCH($J4140,Mapping!$D$17:$D$28,0)),"(unmapped)")))))</f>
        <v/>
      </c>
    </row>
    <row r="4141" spans="11:11" x14ac:dyDescent="0.3">
      <c r="K4141" t="str">
        <f>IF($D4141="","",IFERROR(INDEX(Mapping!$H$3:$H$32,MATCH($B4141,Mapping!$G$3:$G$32,0)),IF(LEFT($F4141,3)="P2P",IFERROR(INDEX(Mapping!$E$3:$E$6,MATCH($G4141,Mapping!$D$3:$D$6,0)),IFERROR(INDEX(Mapping!$B$3:$B$13,MATCH($J4141,Mapping!$A$3:$A$13,0)),"(unmapped)")),IFERROR(INDEX(Mapping!$B$17:$B$22,MATCH($F4141,Mapping!$A$17:$A$22,0)),$F4141)&amp;" "&amp;IF($G4141="Banking","Banking",IFERROR(INDEX(Mapping!$E$17:$E$28,MATCH($J4141,Mapping!$D$17:$D$28,0)),"(unmapped)")))))</f>
        <v/>
      </c>
    </row>
    <row r="4142" spans="11:11" x14ac:dyDescent="0.3">
      <c r="K4142" t="str">
        <f>IF($D4142="","",IFERROR(INDEX(Mapping!$H$3:$H$32,MATCH($B4142,Mapping!$G$3:$G$32,0)),IF(LEFT($F4142,3)="P2P",IFERROR(INDEX(Mapping!$E$3:$E$6,MATCH($G4142,Mapping!$D$3:$D$6,0)),IFERROR(INDEX(Mapping!$B$3:$B$13,MATCH($J4142,Mapping!$A$3:$A$13,0)),"(unmapped)")),IFERROR(INDEX(Mapping!$B$17:$B$22,MATCH($F4142,Mapping!$A$17:$A$22,0)),$F4142)&amp;" "&amp;IF($G4142="Banking","Banking",IFERROR(INDEX(Mapping!$E$17:$E$28,MATCH($J4142,Mapping!$D$17:$D$28,0)),"(unmapped)")))))</f>
        <v/>
      </c>
    </row>
    <row r="4143" spans="11:11" x14ac:dyDescent="0.3">
      <c r="K4143" t="str">
        <f>IF($D4143="","",IFERROR(INDEX(Mapping!$H$3:$H$32,MATCH($B4143,Mapping!$G$3:$G$32,0)),IF(LEFT($F4143,3)="P2P",IFERROR(INDEX(Mapping!$E$3:$E$6,MATCH($G4143,Mapping!$D$3:$D$6,0)),IFERROR(INDEX(Mapping!$B$3:$B$13,MATCH($J4143,Mapping!$A$3:$A$13,0)),"(unmapped)")),IFERROR(INDEX(Mapping!$B$17:$B$22,MATCH($F4143,Mapping!$A$17:$A$22,0)),$F4143)&amp;" "&amp;IF($G4143="Banking","Banking",IFERROR(INDEX(Mapping!$E$17:$E$28,MATCH($J4143,Mapping!$D$17:$D$28,0)),"(unmapped)")))))</f>
        <v/>
      </c>
    </row>
    <row r="4144" spans="11:11" x14ac:dyDescent="0.3">
      <c r="K4144" t="str">
        <f>IF($D4144="","",IFERROR(INDEX(Mapping!$H$3:$H$32,MATCH($B4144,Mapping!$G$3:$G$32,0)),IF(LEFT($F4144,3)="P2P",IFERROR(INDEX(Mapping!$E$3:$E$6,MATCH($G4144,Mapping!$D$3:$D$6,0)),IFERROR(INDEX(Mapping!$B$3:$B$13,MATCH($J4144,Mapping!$A$3:$A$13,0)),"(unmapped)")),IFERROR(INDEX(Mapping!$B$17:$B$22,MATCH($F4144,Mapping!$A$17:$A$22,0)),$F4144)&amp;" "&amp;IF($G4144="Banking","Banking",IFERROR(INDEX(Mapping!$E$17:$E$28,MATCH($J4144,Mapping!$D$17:$D$28,0)),"(unmapped)")))))</f>
        <v/>
      </c>
    </row>
    <row r="4145" spans="11:11" x14ac:dyDescent="0.3">
      <c r="K4145" t="str">
        <f>IF($D4145="","",IFERROR(INDEX(Mapping!$H$3:$H$32,MATCH($B4145,Mapping!$G$3:$G$32,0)),IF(LEFT($F4145,3)="P2P",IFERROR(INDEX(Mapping!$E$3:$E$6,MATCH($G4145,Mapping!$D$3:$D$6,0)),IFERROR(INDEX(Mapping!$B$3:$B$13,MATCH($J4145,Mapping!$A$3:$A$13,0)),"(unmapped)")),IFERROR(INDEX(Mapping!$B$17:$B$22,MATCH($F4145,Mapping!$A$17:$A$22,0)),$F4145)&amp;" "&amp;IF($G4145="Banking","Banking",IFERROR(INDEX(Mapping!$E$17:$E$28,MATCH($J4145,Mapping!$D$17:$D$28,0)),"(unmapped)")))))</f>
        <v/>
      </c>
    </row>
    <row r="4146" spans="11:11" x14ac:dyDescent="0.3">
      <c r="K4146" t="str">
        <f>IF($D4146="","",IFERROR(INDEX(Mapping!$H$3:$H$32,MATCH($B4146,Mapping!$G$3:$G$32,0)),IF(LEFT($F4146,3)="P2P",IFERROR(INDEX(Mapping!$E$3:$E$6,MATCH($G4146,Mapping!$D$3:$D$6,0)),IFERROR(INDEX(Mapping!$B$3:$B$13,MATCH($J4146,Mapping!$A$3:$A$13,0)),"(unmapped)")),IFERROR(INDEX(Mapping!$B$17:$B$22,MATCH($F4146,Mapping!$A$17:$A$22,0)),$F4146)&amp;" "&amp;IF($G4146="Banking","Banking",IFERROR(INDEX(Mapping!$E$17:$E$28,MATCH($J4146,Mapping!$D$17:$D$28,0)),"(unmapped)")))))</f>
        <v/>
      </c>
    </row>
    <row r="4147" spans="11:11" x14ac:dyDescent="0.3">
      <c r="K4147" t="str">
        <f>IF($D4147="","",IFERROR(INDEX(Mapping!$H$3:$H$32,MATCH($B4147,Mapping!$G$3:$G$32,0)),IF(LEFT($F4147,3)="P2P",IFERROR(INDEX(Mapping!$E$3:$E$6,MATCH($G4147,Mapping!$D$3:$D$6,0)),IFERROR(INDEX(Mapping!$B$3:$B$13,MATCH($J4147,Mapping!$A$3:$A$13,0)),"(unmapped)")),IFERROR(INDEX(Mapping!$B$17:$B$22,MATCH($F4147,Mapping!$A$17:$A$22,0)),$F4147)&amp;" "&amp;IF($G4147="Banking","Banking",IFERROR(INDEX(Mapping!$E$17:$E$28,MATCH($J4147,Mapping!$D$17:$D$28,0)),"(unmapped)")))))</f>
        <v/>
      </c>
    </row>
    <row r="4148" spans="11:11" x14ac:dyDescent="0.3">
      <c r="K4148" t="str">
        <f>IF($D4148="","",IFERROR(INDEX(Mapping!$H$3:$H$32,MATCH($B4148,Mapping!$G$3:$G$32,0)),IF(LEFT($F4148,3)="P2P",IFERROR(INDEX(Mapping!$E$3:$E$6,MATCH($G4148,Mapping!$D$3:$D$6,0)),IFERROR(INDEX(Mapping!$B$3:$B$13,MATCH($J4148,Mapping!$A$3:$A$13,0)),"(unmapped)")),IFERROR(INDEX(Mapping!$B$17:$B$22,MATCH($F4148,Mapping!$A$17:$A$22,0)),$F4148)&amp;" "&amp;IF($G4148="Banking","Banking",IFERROR(INDEX(Mapping!$E$17:$E$28,MATCH($J4148,Mapping!$D$17:$D$28,0)),"(unmapped)")))))</f>
        <v/>
      </c>
    </row>
    <row r="4149" spans="11:11" x14ac:dyDescent="0.3">
      <c r="K4149" t="str">
        <f>IF($D4149="","",IFERROR(INDEX(Mapping!$H$3:$H$32,MATCH($B4149,Mapping!$G$3:$G$32,0)),IF(LEFT($F4149,3)="P2P",IFERROR(INDEX(Mapping!$E$3:$E$6,MATCH($G4149,Mapping!$D$3:$D$6,0)),IFERROR(INDEX(Mapping!$B$3:$B$13,MATCH($J4149,Mapping!$A$3:$A$13,0)),"(unmapped)")),IFERROR(INDEX(Mapping!$B$17:$B$22,MATCH($F4149,Mapping!$A$17:$A$22,0)),$F4149)&amp;" "&amp;IF($G4149="Banking","Banking",IFERROR(INDEX(Mapping!$E$17:$E$28,MATCH($J4149,Mapping!$D$17:$D$28,0)),"(unmapped)")))))</f>
        <v/>
      </c>
    </row>
    <row r="4150" spans="11:11" x14ac:dyDescent="0.3">
      <c r="K4150" t="str">
        <f>IF($D4150="","",IFERROR(INDEX(Mapping!$H$3:$H$32,MATCH($B4150,Mapping!$G$3:$G$32,0)),IF(LEFT($F4150,3)="P2P",IFERROR(INDEX(Mapping!$E$3:$E$6,MATCH($G4150,Mapping!$D$3:$D$6,0)),IFERROR(INDEX(Mapping!$B$3:$B$13,MATCH($J4150,Mapping!$A$3:$A$13,0)),"(unmapped)")),IFERROR(INDEX(Mapping!$B$17:$B$22,MATCH($F4150,Mapping!$A$17:$A$22,0)),$F4150)&amp;" "&amp;IF($G4150="Banking","Banking",IFERROR(INDEX(Mapping!$E$17:$E$28,MATCH($J4150,Mapping!$D$17:$D$28,0)),"(unmapped)")))))</f>
        <v/>
      </c>
    </row>
    <row r="4151" spans="11:11" x14ac:dyDescent="0.3">
      <c r="K4151" t="str">
        <f>IF($D4151="","",IFERROR(INDEX(Mapping!$H$3:$H$32,MATCH($B4151,Mapping!$G$3:$G$32,0)),IF(LEFT($F4151,3)="P2P",IFERROR(INDEX(Mapping!$E$3:$E$6,MATCH($G4151,Mapping!$D$3:$D$6,0)),IFERROR(INDEX(Mapping!$B$3:$B$13,MATCH($J4151,Mapping!$A$3:$A$13,0)),"(unmapped)")),IFERROR(INDEX(Mapping!$B$17:$B$22,MATCH($F4151,Mapping!$A$17:$A$22,0)),$F4151)&amp;" "&amp;IF($G4151="Banking","Banking",IFERROR(INDEX(Mapping!$E$17:$E$28,MATCH($J4151,Mapping!$D$17:$D$28,0)),"(unmapped)")))))</f>
        <v/>
      </c>
    </row>
    <row r="4152" spans="11:11" x14ac:dyDescent="0.3">
      <c r="K4152" t="str">
        <f>IF($D4152="","",IFERROR(INDEX(Mapping!$H$3:$H$32,MATCH($B4152,Mapping!$G$3:$G$32,0)),IF(LEFT($F4152,3)="P2P",IFERROR(INDEX(Mapping!$E$3:$E$6,MATCH($G4152,Mapping!$D$3:$D$6,0)),IFERROR(INDEX(Mapping!$B$3:$B$13,MATCH($J4152,Mapping!$A$3:$A$13,0)),"(unmapped)")),IFERROR(INDEX(Mapping!$B$17:$B$22,MATCH($F4152,Mapping!$A$17:$A$22,0)),$F4152)&amp;" "&amp;IF($G4152="Banking","Banking",IFERROR(INDEX(Mapping!$E$17:$E$28,MATCH($J4152,Mapping!$D$17:$D$28,0)),"(unmapped)")))))</f>
        <v/>
      </c>
    </row>
    <row r="4153" spans="11:11" x14ac:dyDescent="0.3">
      <c r="K4153" t="str">
        <f>IF($D4153="","",IFERROR(INDEX(Mapping!$H$3:$H$32,MATCH($B4153,Mapping!$G$3:$G$32,0)),IF(LEFT($F4153,3)="P2P",IFERROR(INDEX(Mapping!$E$3:$E$6,MATCH($G4153,Mapping!$D$3:$D$6,0)),IFERROR(INDEX(Mapping!$B$3:$B$13,MATCH($J4153,Mapping!$A$3:$A$13,0)),"(unmapped)")),IFERROR(INDEX(Mapping!$B$17:$B$22,MATCH($F4153,Mapping!$A$17:$A$22,0)),$F4153)&amp;" "&amp;IF($G4153="Banking","Banking",IFERROR(INDEX(Mapping!$E$17:$E$28,MATCH($J4153,Mapping!$D$17:$D$28,0)),"(unmapped)")))))</f>
        <v/>
      </c>
    </row>
    <row r="4154" spans="11:11" x14ac:dyDescent="0.3">
      <c r="K4154" t="str">
        <f>IF($D4154="","",IFERROR(INDEX(Mapping!$H$3:$H$32,MATCH($B4154,Mapping!$G$3:$G$32,0)),IF(LEFT($F4154,3)="P2P",IFERROR(INDEX(Mapping!$E$3:$E$6,MATCH($G4154,Mapping!$D$3:$D$6,0)),IFERROR(INDEX(Mapping!$B$3:$B$13,MATCH($J4154,Mapping!$A$3:$A$13,0)),"(unmapped)")),IFERROR(INDEX(Mapping!$B$17:$B$22,MATCH($F4154,Mapping!$A$17:$A$22,0)),$F4154)&amp;" "&amp;IF($G4154="Banking","Banking",IFERROR(INDEX(Mapping!$E$17:$E$28,MATCH($J4154,Mapping!$D$17:$D$28,0)),"(unmapped)")))))</f>
        <v/>
      </c>
    </row>
    <row r="4155" spans="11:11" x14ac:dyDescent="0.3">
      <c r="K4155" t="str">
        <f>IF($D4155="","",IFERROR(INDEX(Mapping!$H$3:$H$32,MATCH($B4155,Mapping!$G$3:$G$32,0)),IF(LEFT($F4155,3)="P2P",IFERROR(INDEX(Mapping!$E$3:$E$6,MATCH($G4155,Mapping!$D$3:$D$6,0)),IFERROR(INDEX(Mapping!$B$3:$B$13,MATCH($J4155,Mapping!$A$3:$A$13,0)),"(unmapped)")),IFERROR(INDEX(Mapping!$B$17:$B$22,MATCH($F4155,Mapping!$A$17:$A$22,0)),$F4155)&amp;" "&amp;IF($G4155="Banking","Banking",IFERROR(INDEX(Mapping!$E$17:$E$28,MATCH($J4155,Mapping!$D$17:$D$28,0)),"(unmapped)")))))</f>
        <v/>
      </c>
    </row>
    <row r="4156" spans="11:11" x14ac:dyDescent="0.3">
      <c r="K4156" t="str">
        <f>IF($D4156="","",IFERROR(INDEX(Mapping!$H$3:$H$32,MATCH($B4156,Mapping!$G$3:$G$32,0)),IF(LEFT($F4156,3)="P2P",IFERROR(INDEX(Mapping!$E$3:$E$6,MATCH($G4156,Mapping!$D$3:$D$6,0)),IFERROR(INDEX(Mapping!$B$3:$B$13,MATCH($J4156,Mapping!$A$3:$A$13,0)),"(unmapped)")),IFERROR(INDEX(Mapping!$B$17:$B$22,MATCH($F4156,Mapping!$A$17:$A$22,0)),$F4156)&amp;" "&amp;IF($G4156="Banking","Banking",IFERROR(INDEX(Mapping!$E$17:$E$28,MATCH($J4156,Mapping!$D$17:$D$28,0)),"(unmapped)")))))</f>
        <v/>
      </c>
    </row>
    <row r="4157" spans="11:11" x14ac:dyDescent="0.3">
      <c r="K4157" t="str">
        <f>IF($D4157="","",IFERROR(INDEX(Mapping!$H$3:$H$32,MATCH($B4157,Mapping!$G$3:$G$32,0)),IF(LEFT($F4157,3)="P2P",IFERROR(INDEX(Mapping!$E$3:$E$6,MATCH($G4157,Mapping!$D$3:$D$6,0)),IFERROR(INDEX(Mapping!$B$3:$B$13,MATCH($J4157,Mapping!$A$3:$A$13,0)),"(unmapped)")),IFERROR(INDEX(Mapping!$B$17:$B$22,MATCH($F4157,Mapping!$A$17:$A$22,0)),$F4157)&amp;" "&amp;IF($G4157="Banking","Banking",IFERROR(INDEX(Mapping!$E$17:$E$28,MATCH($J4157,Mapping!$D$17:$D$28,0)),"(unmapped)")))))</f>
        <v/>
      </c>
    </row>
    <row r="4158" spans="11:11" x14ac:dyDescent="0.3">
      <c r="K4158" t="str">
        <f>IF($D4158="","",IFERROR(INDEX(Mapping!$H$3:$H$32,MATCH($B4158,Mapping!$G$3:$G$32,0)),IF(LEFT($F4158,3)="P2P",IFERROR(INDEX(Mapping!$E$3:$E$6,MATCH($G4158,Mapping!$D$3:$D$6,0)),IFERROR(INDEX(Mapping!$B$3:$B$13,MATCH($J4158,Mapping!$A$3:$A$13,0)),"(unmapped)")),IFERROR(INDEX(Mapping!$B$17:$B$22,MATCH($F4158,Mapping!$A$17:$A$22,0)),$F4158)&amp;" "&amp;IF($G4158="Banking","Banking",IFERROR(INDEX(Mapping!$E$17:$E$28,MATCH($J4158,Mapping!$D$17:$D$28,0)),"(unmapped)")))))</f>
        <v/>
      </c>
    </row>
    <row r="4159" spans="11:11" x14ac:dyDescent="0.3">
      <c r="K4159" t="str">
        <f>IF($D4159="","",IFERROR(INDEX(Mapping!$H$3:$H$32,MATCH($B4159,Mapping!$G$3:$G$32,0)),IF(LEFT($F4159,3)="P2P",IFERROR(INDEX(Mapping!$E$3:$E$6,MATCH($G4159,Mapping!$D$3:$D$6,0)),IFERROR(INDEX(Mapping!$B$3:$B$13,MATCH($J4159,Mapping!$A$3:$A$13,0)),"(unmapped)")),IFERROR(INDEX(Mapping!$B$17:$B$22,MATCH($F4159,Mapping!$A$17:$A$22,0)),$F4159)&amp;" "&amp;IF($G4159="Banking","Banking",IFERROR(INDEX(Mapping!$E$17:$E$28,MATCH($J4159,Mapping!$D$17:$D$28,0)),"(unmapped)")))))</f>
        <v/>
      </c>
    </row>
    <row r="4160" spans="11:11" x14ac:dyDescent="0.3">
      <c r="K4160" t="str">
        <f>IF($D4160="","",IFERROR(INDEX(Mapping!$H$3:$H$32,MATCH($B4160,Mapping!$G$3:$G$32,0)),IF(LEFT($F4160,3)="P2P",IFERROR(INDEX(Mapping!$E$3:$E$6,MATCH($G4160,Mapping!$D$3:$D$6,0)),IFERROR(INDEX(Mapping!$B$3:$B$13,MATCH($J4160,Mapping!$A$3:$A$13,0)),"(unmapped)")),IFERROR(INDEX(Mapping!$B$17:$B$22,MATCH($F4160,Mapping!$A$17:$A$22,0)),$F4160)&amp;" "&amp;IF($G4160="Banking","Banking",IFERROR(INDEX(Mapping!$E$17:$E$28,MATCH($J4160,Mapping!$D$17:$D$28,0)),"(unmapped)")))))</f>
        <v/>
      </c>
    </row>
    <row r="4161" spans="11:11" x14ac:dyDescent="0.3">
      <c r="K4161" t="str">
        <f>IF($D4161="","",IFERROR(INDEX(Mapping!$H$3:$H$32,MATCH($B4161,Mapping!$G$3:$G$32,0)),IF(LEFT($F4161,3)="P2P",IFERROR(INDEX(Mapping!$E$3:$E$6,MATCH($G4161,Mapping!$D$3:$D$6,0)),IFERROR(INDEX(Mapping!$B$3:$B$13,MATCH($J4161,Mapping!$A$3:$A$13,0)),"(unmapped)")),IFERROR(INDEX(Mapping!$B$17:$B$22,MATCH($F4161,Mapping!$A$17:$A$22,0)),$F4161)&amp;" "&amp;IF($G4161="Banking","Banking",IFERROR(INDEX(Mapping!$E$17:$E$28,MATCH($J4161,Mapping!$D$17:$D$28,0)),"(unmapped)")))))</f>
        <v/>
      </c>
    </row>
    <row r="4162" spans="11:11" x14ac:dyDescent="0.3">
      <c r="K4162" t="str">
        <f>IF($D4162="","",IFERROR(INDEX(Mapping!$H$3:$H$32,MATCH($B4162,Mapping!$G$3:$G$32,0)),IF(LEFT($F4162,3)="P2P",IFERROR(INDEX(Mapping!$E$3:$E$6,MATCH($G4162,Mapping!$D$3:$D$6,0)),IFERROR(INDEX(Mapping!$B$3:$B$13,MATCH($J4162,Mapping!$A$3:$A$13,0)),"(unmapped)")),IFERROR(INDEX(Mapping!$B$17:$B$22,MATCH($F4162,Mapping!$A$17:$A$22,0)),$F4162)&amp;" "&amp;IF($G4162="Banking","Banking",IFERROR(INDEX(Mapping!$E$17:$E$28,MATCH($J4162,Mapping!$D$17:$D$28,0)),"(unmapped)")))))</f>
        <v/>
      </c>
    </row>
    <row r="4163" spans="11:11" x14ac:dyDescent="0.3">
      <c r="K4163" t="str">
        <f>IF($D4163="","",IFERROR(INDEX(Mapping!$H$3:$H$32,MATCH($B4163,Mapping!$G$3:$G$32,0)),IF(LEFT($F4163,3)="P2P",IFERROR(INDEX(Mapping!$E$3:$E$6,MATCH($G4163,Mapping!$D$3:$D$6,0)),IFERROR(INDEX(Mapping!$B$3:$B$13,MATCH($J4163,Mapping!$A$3:$A$13,0)),"(unmapped)")),IFERROR(INDEX(Mapping!$B$17:$B$22,MATCH($F4163,Mapping!$A$17:$A$22,0)),$F4163)&amp;" "&amp;IF($G4163="Banking","Banking",IFERROR(INDEX(Mapping!$E$17:$E$28,MATCH($J4163,Mapping!$D$17:$D$28,0)),"(unmapped)")))))</f>
        <v/>
      </c>
    </row>
    <row r="4164" spans="11:11" x14ac:dyDescent="0.3">
      <c r="K4164" t="str">
        <f>IF($D4164="","",IFERROR(INDEX(Mapping!$H$3:$H$32,MATCH($B4164,Mapping!$G$3:$G$32,0)),IF(LEFT($F4164,3)="P2P",IFERROR(INDEX(Mapping!$E$3:$E$6,MATCH($G4164,Mapping!$D$3:$D$6,0)),IFERROR(INDEX(Mapping!$B$3:$B$13,MATCH($J4164,Mapping!$A$3:$A$13,0)),"(unmapped)")),IFERROR(INDEX(Mapping!$B$17:$B$22,MATCH($F4164,Mapping!$A$17:$A$22,0)),$F4164)&amp;" "&amp;IF($G4164="Banking","Banking",IFERROR(INDEX(Mapping!$E$17:$E$28,MATCH($J4164,Mapping!$D$17:$D$28,0)),"(unmapped)")))))</f>
        <v/>
      </c>
    </row>
    <row r="4165" spans="11:11" x14ac:dyDescent="0.3">
      <c r="K4165" t="str">
        <f>IF($D4165="","",IFERROR(INDEX(Mapping!$H$3:$H$32,MATCH($B4165,Mapping!$G$3:$G$32,0)),IF(LEFT($F4165,3)="P2P",IFERROR(INDEX(Mapping!$E$3:$E$6,MATCH($G4165,Mapping!$D$3:$D$6,0)),IFERROR(INDEX(Mapping!$B$3:$B$13,MATCH($J4165,Mapping!$A$3:$A$13,0)),"(unmapped)")),IFERROR(INDEX(Mapping!$B$17:$B$22,MATCH($F4165,Mapping!$A$17:$A$22,0)),$F4165)&amp;" "&amp;IF($G4165="Banking","Banking",IFERROR(INDEX(Mapping!$E$17:$E$28,MATCH($J4165,Mapping!$D$17:$D$28,0)),"(unmapped)")))))</f>
        <v/>
      </c>
    </row>
    <row r="4166" spans="11:11" x14ac:dyDescent="0.3">
      <c r="K4166" t="str">
        <f>IF($D4166="","",IFERROR(INDEX(Mapping!$H$3:$H$32,MATCH($B4166,Mapping!$G$3:$G$32,0)),IF(LEFT($F4166,3)="P2P",IFERROR(INDEX(Mapping!$E$3:$E$6,MATCH($G4166,Mapping!$D$3:$D$6,0)),IFERROR(INDEX(Mapping!$B$3:$B$13,MATCH($J4166,Mapping!$A$3:$A$13,0)),"(unmapped)")),IFERROR(INDEX(Mapping!$B$17:$B$22,MATCH($F4166,Mapping!$A$17:$A$22,0)),$F4166)&amp;" "&amp;IF($G4166="Banking","Banking",IFERROR(INDEX(Mapping!$E$17:$E$28,MATCH($J4166,Mapping!$D$17:$D$28,0)),"(unmapped)")))))</f>
        <v/>
      </c>
    </row>
    <row r="4167" spans="11:11" x14ac:dyDescent="0.3">
      <c r="K4167" t="str">
        <f>IF($D4167="","",IFERROR(INDEX(Mapping!$H$3:$H$32,MATCH($B4167,Mapping!$G$3:$G$32,0)),IF(LEFT($F4167,3)="P2P",IFERROR(INDEX(Mapping!$E$3:$E$6,MATCH($G4167,Mapping!$D$3:$D$6,0)),IFERROR(INDEX(Mapping!$B$3:$B$13,MATCH($J4167,Mapping!$A$3:$A$13,0)),"(unmapped)")),IFERROR(INDEX(Mapping!$B$17:$B$22,MATCH($F4167,Mapping!$A$17:$A$22,0)),$F4167)&amp;" "&amp;IF($G4167="Banking","Banking",IFERROR(INDEX(Mapping!$E$17:$E$28,MATCH($J4167,Mapping!$D$17:$D$28,0)),"(unmapped)")))))</f>
        <v/>
      </c>
    </row>
    <row r="4168" spans="11:11" x14ac:dyDescent="0.3">
      <c r="K4168" t="str">
        <f>IF($D4168="","",IFERROR(INDEX(Mapping!$H$3:$H$32,MATCH($B4168,Mapping!$G$3:$G$32,0)),IF(LEFT($F4168,3)="P2P",IFERROR(INDEX(Mapping!$E$3:$E$6,MATCH($G4168,Mapping!$D$3:$D$6,0)),IFERROR(INDEX(Mapping!$B$3:$B$13,MATCH($J4168,Mapping!$A$3:$A$13,0)),"(unmapped)")),IFERROR(INDEX(Mapping!$B$17:$B$22,MATCH($F4168,Mapping!$A$17:$A$22,0)),$F4168)&amp;" "&amp;IF($G4168="Banking","Banking",IFERROR(INDEX(Mapping!$E$17:$E$28,MATCH($J4168,Mapping!$D$17:$D$28,0)),"(unmapped)")))))</f>
        <v/>
      </c>
    </row>
    <row r="4169" spans="11:11" x14ac:dyDescent="0.3">
      <c r="K4169" t="str">
        <f>IF($D4169="","",IFERROR(INDEX(Mapping!$H$3:$H$32,MATCH($B4169,Mapping!$G$3:$G$32,0)),IF(LEFT($F4169,3)="P2P",IFERROR(INDEX(Mapping!$E$3:$E$6,MATCH($G4169,Mapping!$D$3:$D$6,0)),IFERROR(INDEX(Mapping!$B$3:$B$13,MATCH($J4169,Mapping!$A$3:$A$13,0)),"(unmapped)")),IFERROR(INDEX(Mapping!$B$17:$B$22,MATCH($F4169,Mapping!$A$17:$A$22,0)),$F4169)&amp;" "&amp;IF($G4169="Banking","Banking",IFERROR(INDEX(Mapping!$E$17:$E$28,MATCH($J4169,Mapping!$D$17:$D$28,0)),"(unmapped)")))))</f>
        <v/>
      </c>
    </row>
    <row r="4170" spans="11:11" x14ac:dyDescent="0.3">
      <c r="K4170" t="str">
        <f>IF($D4170="","",IFERROR(INDEX(Mapping!$H$3:$H$32,MATCH($B4170,Mapping!$G$3:$G$32,0)),IF(LEFT($F4170,3)="P2P",IFERROR(INDEX(Mapping!$E$3:$E$6,MATCH($G4170,Mapping!$D$3:$D$6,0)),IFERROR(INDEX(Mapping!$B$3:$B$13,MATCH($J4170,Mapping!$A$3:$A$13,0)),"(unmapped)")),IFERROR(INDEX(Mapping!$B$17:$B$22,MATCH($F4170,Mapping!$A$17:$A$22,0)),$F4170)&amp;" "&amp;IF($G4170="Banking","Banking",IFERROR(INDEX(Mapping!$E$17:$E$28,MATCH($J4170,Mapping!$D$17:$D$28,0)),"(unmapped)")))))</f>
        <v/>
      </c>
    </row>
    <row r="4171" spans="11:11" x14ac:dyDescent="0.3">
      <c r="K4171" t="str">
        <f>IF($D4171="","",IFERROR(INDEX(Mapping!$H$3:$H$32,MATCH($B4171,Mapping!$G$3:$G$32,0)),IF(LEFT($F4171,3)="P2P",IFERROR(INDEX(Mapping!$E$3:$E$6,MATCH($G4171,Mapping!$D$3:$D$6,0)),IFERROR(INDEX(Mapping!$B$3:$B$13,MATCH($J4171,Mapping!$A$3:$A$13,0)),"(unmapped)")),IFERROR(INDEX(Mapping!$B$17:$B$22,MATCH($F4171,Mapping!$A$17:$A$22,0)),$F4171)&amp;" "&amp;IF($G4171="Banking","Banking",IFERROR(INDEX(Mapping!$E$17:$E$28,MATCH($J4171,Mapping!$D$17:$D$28,0)),"(unmapped)")))))</f>
        <v/>
      </c>
    </row>
    <row r="4172" spans="11:11" x14ac:dyDescent="0.3">
      <c r="K4172" t="str">
        <f>IF($D4172="","",IFERROR(INDEX(Mapping!$H$3:$H$32,MATCH($B4172,Mapping!$G$3:$G$32,0)),IF(LEFT($F4172,3)="P2P",IFERROR(INDEX(Mapping!$E$3:$E$6,MATCH($G4172,Mapping!$D$3:$D$6,0)),IFERROR(INDEX(Mapping!$B$3:$B$13,MATCH($J4172,Mapping!$A$3:$A$13,0)),"(unmapped)")),IFERROR(INDEX(Mapping!$B$17:$B$22,MATCH($F4172,Mapping!$A$17:$A$22,0)),$F4172)&amp;" "&amp;IF($G4172="Banking","Banking",IFERROR(INDEX(Mapping!$E$17:$E$28,MATCH($J4172,Mapping!$D$17:$D$28,0)),"(unmapped)")))))</f>
        <v/>
      </c>
    </row>
    <row r="4173" spans="11:11" x14ac:dyDescent="0.3">
      <c r="K4173" t="str">
        <f>IF($D4173="","",IFERROR(INDEX(Mapping!$H$3:$H$32,MATCH($B4173,Mapping!$G$3:$G$32,0)),IF(LEFT($F4173,3)="P2P",IFERROR(INDEX(Mapping!$E$3:$E$6,MATCH($G4173,Mapping!$D$3:$D$6,0)),IFERROR(INDEX(Mapping!$B$3:$B$13,MATCH($J4173,Mapping!$A$3:$A$13,0)),"(unmapped)")),IFERROR(INDEX(Mapping!$B$17:$B$22,MATCH($F4173,Mapping!$A$17:$A$22,0)),$F4173)&amp;" "&amp;IF($G4173="Banking","Banking",IFERROR(INDEX(Mapping!$E$17:$E$28,MATCH($J4173,Mapping!$D$17:$D$28,0)),"(unmapped)")))))</f>
        <v/>
      </c>
    </row>
    <row r="4174" spans="11:11" x14ac:dyDescent="0.3">
      <c r="K4174" t="str">
        <f>IF($D4174="","",IFERROR(INDEX(Mapping!$H$3:$H$32,MATCH($B4174,Mapping!$G$3:$G$32,0)),IF(LEFT($F4174,3)="P2P",IFERROR(INDEX(Mapping!$E$3:$E$6,MATCH($G4174,Mapping!$D$3:$D$6,0)),IFERROR(INDEX(Mapping!$B$3:$B$13,MATCH($J4174,Mapping!$A$3:$A$13,0)),"(unmapped)")),IFERROR(INDEX(Mapping!$B$17:$B$22,MATCH($F4174,Mapping!$A$17:$A$22,0)),$F4174)&amp;" "&amp;IF($G4174="Banking","Banking",IFERROR(INDEX(Mapping!$E$17:$E$28,MATCH($J4174,Mapping!$D$17:$D$28,0)),"(unmapped)")))))</f>
        <v/>
      </c>
    </row>
    <row r="4175" spans="11:11" x14ac:dyDescent="0.3">
      <c r="K4175" t="str">
        <f>IF($D4175="","",IFERROR(INDEX(Mapping!$H$3:$H$32,MATCH($B4175,Mapping!$G$3:$G$32,0)),IF(LEFT($F4175,3)="P2P",IFERROR(INDEX(Mapping!$E$3:$E$6,MATCH($G4175,Mapping!$D$3:$D$6,0)),IFERROR(INDEX(Mapping!$B$3:$B$13,MATCH($J4175,Mapping!$A$3:$A$13,0)),"(unmapped)")),IFERROR(INDEX(Mapping!$B$17:$B$22,MATCH($F4175,Mapping!$A$17:$A$22,0)),$F4175)&amp;" "&amp;IF($G4175="Banking","Banking",IFERROR(INDEX(Mapping!$E$17:$E$28,MATCH($J4175,Mapping!$D$17:$D$28,0)),"(unmapped)")))))</f>
        <v/>
      </c>
    </row>
    <row r="4176" spans="11:11" x14ac:dyDescent="0.3">
      <c r="K4176" t="str">
        <f>IF($D4176="","",IFERROR(INDEX(Mapping!$H$3:$H$32,MATCH($B4176,Mapping!$G$3:$G$32,0)),IF(LEFT($F4176,3)="P2P",IFERROR(INDEX(Mapping!$E$3:$E$6,MATCH($G4176,Mapping!$D$3:$D$6,0)),IFERROR(INDEX(Mapping!$B$3:$B$13,MATCH($J4176,Mapping!$A$3:$A$13,0)),"(unmapped)")),IFERROR(INDEX(Mapping!$B$17:$B$22,MATCH($F4176,Mapping!$A$17:$A$22,0)),$F4176)&amp;" "&amp;IF($G4176="Banking","Banking",IFERROR(INDEX(Mapping!$E$17:$E$28,MATCH($J4176,Mapping!$D$17:$D$28,0)),"(unmapped)")))))</f>
        <v/>
      </c>
    </row>
    <row r="4177" spans="11:11" x14ac:dyDescent="0.3">
      <c r="K4177" t="str">
        <f>IF($D4177="","",IFERROR(INDEX(Mapping!$H$3:$H$32,MATCH($B4177,Mapping!$G$3:$G$32,0)),IF(LEFT($F4177,3)="P2P",IFERROR(INDEX(Mapping!$E$3:$E$6,MATCH($G4177,Mapping!$D$3:$D$6,0)),IFERROR(INDEX(Mapping!$B$3:$B$13,MATCH($J4177,Mapping!$A$3:$A$13,0)),"(unmapped)")),IFERROR(INDEX(Mapping!$B$17:$B$22,MATCH($F4177,Mapping!$A$17:$A$22,0)),$F4177)&amp;" "&amp;IF($G4177="Banking","Banking",IFERROR(INDEX(Mapping!$E$17:$E$28,MATCH($J4177,Mapping!$D$17:$D$28,0)),"(unmapped)")))))</f>
        <v/>
      </c>
    </row>
    <row r="4178" spans="11:11" x14ac:dyDescent="0.3">
      <c r="K4178" t="str">
        <f>IF($D4178="","",IFERROR(INDEX(Mapping!$H$3:$H$32,MATCH($B4178,Mapping!$G$3:$G$32,0)),IF(LEFT($F4178,3)="P2P",IFERROR(INDEX(Mapping!$E$3:$E$6,MATCH($G4178,Mapping!$D$3:$D$6,0)),IFERROR(INDEX(Mapping!$B$3:$B$13,MATCH($J4178,Mapping!$A$3:$A$13,0)),"(unmapped)")),IFERROR(INDEX(Mapping!$B$17:$B$22,MATCH($F4178,Mapping!$A$17:$A$22,0)),$F4178)&amp;" "&amp;IF($G4178="Banking","Banking",IFERROR(INDEX(Mapping!$E$17:$E$28,MATCH($J4178,Mapping!$D$17:$D$28,0)),"(unmapped)")))))</f>
        <v/>
      </c>
    </row>
    <row r="4179" spans="11:11" x14ac:dyDescent="0.3">
      <c r="K4179" t="str">
        <f>IF($D4179="","",IFERROR(INDEX(Mapping!$H$3:$H$32,MATCH($B4179,Mapping!$G$3:$G$32,0)),IF(LEFT($F4179,3)="P2P",IFERROR(INDEX(Mapping!$E$3:$E$6,MATCH($G4179,Mapping!$D$3:$D$6,0)),IFERROR(INDEX(Mapping!$B$3:$B$13,MATCH($J4179,Mapping!$A$3:$A$13,0)),"(unmapped)")),IFERROR(INDEX(Mapping!$B$17:$B$22,MATCH($F4179,Mapping!$A$17:$A$22,0)),$F4179)&amp;" "&amp;IF($G4179="Banking","Banking",IFERROR(INDEX(Mapping!$E$17:$E$28,MATCH($J4179,Mapping!$D$17:$D$28,0)),"(unmapped)")))))</f>
        <v/>
      </c>
    </row>
    <row r="4180" spans="11:11" x14ac:dyDescent="0.3">
      <c r="K4180" t="str">
        <f>IF($D4180="","",IFERROR(INDEX(Mapping!$H$3:$H$32,MATCH($B4180,Mapping!$G$3:$G$32,0)),IF(LEFT($F4180,3)="P2P",IFERROR(INDEX(Mapping!$E$3:$E$6,MATCH($G4180,Mapping!$D$3:$D$6,0)),IFERROR(INDEX(Mapping!$B$3:$B$13,MATCH($J4180,Mapping!$A$3:$A$13,0)),"(unmapped)")),IFERROR(INDEX(Mapping!$B$17:$B$22,MATCH($F4180,Mapping!$A$17:$A$22,0)),$F4180)&amp;" "&amp;IF($G4180="Banking","Banking",IFERROR(INDEX(Mapping!$E$17:$E$28,MATCH($J4180,Mapping!$D$17:$D$28,0)),"(unmapped)")))))</f>
        <v/>
      </c>
    </row>
    <row r="4181" spans="11:11" x14ac:dyDescent="0.3">
      <c r="K4181" t="str">
        <f>IF($D4181="","",IFERROR(INDEX(Mapping!$H$3:$H$32,MATCH($B4181,Mapping!$G$3:$G$32,0)),IF(LEFT($F4181,3)="P2P",IFERROR(INDEX(Mapping!$E$3:$E$6,MATCH($G4181,Mapping!$D$3:$D$6,0)),IFERROR(INDEX(Mapping!$B$3:$B$13,MATCH($J4181,Mapping!$A$3:$A$13,0)),"(unmapped)")),IFERROR(INDEX(Mapping!$B$17:$B$22,MATCH($F4181,Mapping!$A$17:$A$22,0)),$F4181)&amp;" "&amp;IF($G4181="Banking","Banking",IFERROR(INDEX(Mapping!$E$17:$E$28,MATCH($J4181,Mapping!$D$17:$D$28,0)),"(unmapped)")))))</f>
        <v/>
      </c>
    </row>
    <row r="4182" spans="11:11" x14ac:dyDescent="0.3">
      <c r="K4182" t="str">
        <f>IF($D4182="","",IFERROR(INDEX(Mapping!$H$3:$H$32,MATCH($B4182,Mapping!$G$3:$G$32,0)),IF(LEFT($F4182,3)="P2P",IFERROR(INDEX(Mapping!$E$3:$E$6,MATCH($G4182,Mapping!$D$3:$D$6,0)),IFERROR(INDEX(Mapping!$B$3:$B$13,MATCH($J4182,Mapping!$A$3:$A$13,0)),"(unmapped)")),IFERROR(INDEX(Mapping!$B$17:$B$22,MATCH($F4182,Mapping!$A$17:$A$22,0)),$F4182)&amp;" "&amp;IF($G4182="Banking","Banking",IFERROR(INDEX(Mapping!$E$17:$E$28,MATCH($J4182,Mapping!$D$17:$D$28,0)),"(unmapped)")))))</f>
        <v/>
      </c>
    </row>
    <row r="4183" spans="11:11" x14ac:dyDescent="0.3">
      <c r="K4183" t="str">
        <f>IF($D4183="","",IFERROR(INDEX(Mapping!$H$3:$H$32,MATCH($B4183,Mapping!$G$3:$G$32,0)),IF(LEFT($F4183,3)="P2P",IFERROR(INDEX(Mapping!$E$3:$E$6,MATCH($G4183,Mapping!$D$3:$D$6,0)),IFERROR(INDEX(Mapping!$B$3:$B$13,MATCH($J4183,Mapping!$A$3:$A$13,0)),"(unmapped)")),IFERROR(INDEX(Mapping!$B$17:$B$22,MATCH($F4183,Mapping!$A$17:$A$22,0)),$F4183)&amp;" "&amp;IF($G4183="Banking","Banking",IFERROR(INDEX(Mapping!$E$17:$E$28,MATCH($J4183,Mapping!$D$17:$D$28,0)),"(unmapped)")))))</f>
        <v/>
      </c>
    </row>
    <row r="4184" spans="11:11" x14ac:dyDescent="0.3">
      <c r="K4184" t="str">
        <f>IF($D4184="","",IFERROR(INDEX(Mapping!$H$3:$H$32,MATCH($B4184,Mapping!$G$3:$G$32,0)),IF(LEFT($F4184,3)="P2P",IFERROR(INDEX(Mapping!$E$3:$E$6,MATCH($G4184,Mapping!$D$3:$D$6,0)),IFERROR(INDEX(Mapping!$B$3:$B$13,MATCH($J4184,Mapping!$A$3:$A$13,0)),"(unmapped)")),IFERROR(INDEX(Mapping!$B$17:$B$22,MATCH($F4184,Mapping!$A$17:$A$22,0)),$F4184)&amp;" "&amp;IF($G4184="Banking","Banking",IFERROR(INDEX(Mapping!$E$17:$E$28,MATCH($J4184,Mapping!$D$17:$D$28,0)),"(unmapped)")))))</f>
        <v/>
      </c>
    </row>
    <row r="4185" spans="11:11" x14ac:dyDescent="0.3">
      <c r="K4185" t="str">
        <f>IF($D4185="","",IFERROR(INDEX(Mapping!$H$3:$H$32,MATCH($B4185,Mapping!$G$3:$G$32,0)),IF(LEFT($F4185,3)="P2P",IFERROR(INDEX(Mapping!$E$3:$E$6,MATCH($G4185,Mapping!$D$3:$D$6,0)),IFERROR(INDEX(Mapping!$B$3:$B$13,MATCH($J4185,Mapping!$A$3:$A$13,0)),"(unmapped)")),IFERROR(INDEX(Mapping!$B$17:$B$22,MATCH($F4185,Mapping!$A$17:$A$22,0)),$F4185)&amp;" "&amp;IF($G4185="Banking","Banking",IFERROR(INDEX(Mapping!$E$17:$E$28,MATCH($J4185,Mapping!$D$17:$D$28,0)),"(unmapped)")))))</f>
        <v/>
      </c>
    </row>
    <row r="4186" spans="11:11" x14ac:dyDescent="0.3">
      <c r="K4186" t="str">
        <f>IF($D4186="","",IFERROR(INDEX(Mapping!$H$3:$H$32,MATCH($B4186,Mapping!$G$3:$G$32,0)),IF(LEFT($F4186,3)="P2P",IFERROR(INDEX(Mapping!$E$3:$E$6,MATCH($G4186,Mapping!$D$3:$D$6,0)),IFERROR(INDEX(Mapping!$B$3:$B$13,MATCH($J4186,Mapping!$A$3:$A$13,0)),"(unmapped)")),IFERROR(INDEX(Mapping!$B$17:$B$22,MATCH($F4186,Mapping!$A$17:$A$22,0)),$F4186)&amp;" "&amp;IF($G4186="Banking","Banking",IFERROR(INDEX(Mapping!$E$17:$E$28,MATCH($J4186,Mapping!$D$17:$D$28,0)),"(unmapped)")))))</f>
        <v/>
      </c>
    </row>
    <row r="4187" spans="11:11" x14ac:dyDescent="0.3">
      <c r="K4187" t="str">
        <f>IF($D4187="","",IFERROR(INDEX(Mapping!$H$3:$H$32,MATCH($B4187,Mapping!$G$3:$G$32,0)),IF(LEFT($F4187,3)="P2P",IFERROR(INDEX(Mapping!$E$3:$E$6,MATCH($G4187,Mapping!$D$3:$D$6,0)),IFERROR(INDEX(Mapping!$B$3:$B$13,MATCH($J4187,Mapping!$A$3:$A$13,0)),"(unmapped)")),IFERROR(INDEX(Mapping!$B$17:$B$22,MATCH($F4187,Mapping!$A$17:$A$22,0)),$F4187)&amp;" "&amp;IF($G4187="Banking","Banking",IFERROR(INDEX(Mapping!$E$17:$E$28,MATCH($J4187,Mapping!$D$17:$D$28,0)),"(unmapped)")))))</f>
        <v/>
      </c>
    </row>
    <row r="4188" spans="11:11" x14ac:dyDescent="0.3">
      <c r="K4188" t="str">
        <f>IF($D4188="","",IFERROR(INDEX(Mapping!$H$3:$H$32,MATCH($B4188,Mapping!$G$3:$G$32,0)),IF(LEFT($F4188,3)="P2P",IFERROR(INDEX(Mapping!$E$3:$E$6,MATCH($G4188,Mapping!$D$3:$D$6,0)),IFERROR(INDEX(Mapping!$B$3:$B$13,MATCH($J4188,Mapping!$A$3:$A$13,0)),"(unmapped)")),IFERROR(INDEX(Mapping!$B$17:$B$22,MATCH($F4188,Mapping!$A$17:$A$22,0)),$F4188)&amp;" "&amp;IF($G4188="Banking","Banking",IFERROR(INDEX(Mapping!$E$17:$E$28,MATCH($J4188,Mapping!$D$17:$D$28,0)),"(unmapped)")))))</f>
        <v/>
      </c>
    </row>
    <row r="4189" spans="11:11" x14ac:dyDescent="0.3">
      <c r="K4189" t="str">
        <f>IF($D4189="","",IFERROR(INDEX(Mapping!$H$3:$H$32,MATCH($B4189,Mapping!$G$3:$G$32,0)),IF(LEFT($F4189,3)="P2P",IFERROR(INDEX(Mapping!$E$3:$E$6,MATCH($G4189,Mapping!$D$3:$D$6,0)),IFERROR(INDEX(Mapping!$B$3:$B$13,MATCH($J4189,Mapping!$A$3:$A$13,0)),"(unmapped)")),IFERROR(INDEX(Mapping!$B$17:$B$22,MATCH($F4189,Mapping!$A$17:$A$22,0)),$F4189)&amp;" "&amp;IF($G4189="Banking","Banking",IFERROR(INDEX(Mapping!$E$17:$E$28,MATCH($J4189,Mapping!$D$17:$D$28,0)),"(unmapped)")))))</f>
        <v/>
      </c>
    </row>
    <row r="4190" spans="11:11" x14ac:dyDescent="0.3">
      <c r="K4190" t="str">
        <f>IF($D4190="","",IFERROR(INDEX(Mapping!$H$3:$H$32,MATCH($B4190,Mapping!$G$3:$G$32,0)),IF(LEFT($F4190,3)="P2P",IFERROR(INDEX(Mapping!$E$3:$E$6,MATCH($G4190,Mapping!$D$3:$D$6,0)),IFERROR(INDEX(Mapping!$B$3:$B$13,MATCH($J4190,Mapping!$A$3:$A$13,0)),"(unmapped)")),IFERROR(INDEX(Mapping!$B$17:$B$22,MATCH($F4190,Mapping!$A$17:$A$22,0)),$F4190)&amp;" "&amp;IF($G4190="Banking","Banking",IFERROR(INDEX(Mapping!$E$17:$E$28,MATCH($J4190,Mapping!$D$17:$D$28,0)),"(unmapped)")))))</f>
        <v/>
      </c>
    </row>
    <row r="4191" spans="11:11" x14ac:dyDescent="0.3">
      <c r="K4191" t="str">
        <f>IF($D4191="","",IFERROR(INDEX(Mapping!$H$3:$H$32,MATCH($B4191,Mapping!$G$3:$G$32,0)),IF(LEFT($F4191,3)="P2P",IFERROR(INDEX(Mapping!$E$3:$E$6,MATCH($G4191,Mapping!$D$3:$D$6,0)),IFERROR(INDEX(Mapping!$B$3:$B$13,MATCH($J4191,Mapping!$A$3:$A$13,0)),"(unmapped)")),IFERROR(INDEX(Mapping!$B$17:$B$22,MATCH($F4191,Mapping!$A$17:$A$22,0)),$F4191)&amp;" "&amp;IF($G4191="Banking","Banking",IFERROR(INDEX(Mapping!$E$17:$E$28,MATCH($J4191,Mapping!$D$17:$D$28,0)),"(unmapped)")))))</f>
        <v/>
      </c>
    </row>
    <row r="4192" spans="11:11" x14ac:dyDescent="0.3">
      <c r="K4192" t="str">
        <f>IF($D4192="","",IFERROR(INDEX(Mapping!$H$3:$H$32,MATCH($B4192,Mapping!$G$3:$G$32,0)),IF(LEFT($F4192,3)="P2P",IFERROR(INDEX(Mapping!$E$3:$E$6,MATCH($G4192,Mapping!$D$3:$D$6,0)),IFERROR(INDEX(Mapping!$B$3:$B$13,MATCH($J4192,Mapping!$A$3:$A$13,0)),"(unmapped)")),IFERROR(INDEX(Mapping!$B$17:$B$22,MATCH($F4192,Mapping!$A$17:$A$22,0)),$F4192)&amp;" "&amp;IF($G4192="Banking","Banking",IFERROR(INDEX(Mapping!$E$17:$E$28,MATCH($J4192,Mapping!$D$17:$D$28,0)),"(unmapped)")))))</f>
        <v/>
      </c>
    </row>
    <row r="4193" spans="11:11" x14ac:dyDescent="0.3">
      <c r="K4193" t="str">
        <f>IF($D4193="","",IFERROR(INDEX(Mapping!$H$3:$H$32,MATCH($B4193,Mapping!$G$3:$G$32,0)),IF(LEFT($F4193,3)="P2P",IFERROR(INDEX(Mapping!$E$3:$E$6,MATCH($G4193,Mapping!$D$3:$D$6,0)),IFERROR(INDEX(Mapping!$B$3:$B$13,MATCH($J4193,Mapping!$A$3:$A$13,0)),"(unmapped)")),IFERROR(INDEX(Mapping!$B$17:$B$22,MATCH($F4193,Mapping!$A$17:$A$22,0)),$F4193)&amp;" "&amp;IF($G4193="Banking","Banking",IFERROR(INDEX(Mapping!$E$17:$E$28,MATCH($J4193,Mapping!$D$17:$D$28,0)),"(unmapped)")))))</f>
        <v/>
      </c>
    </row>
    <row r="4194" spans="11:11" x14ac:dyDescent="0.3">
      <c r="K4194" t="str">
        <f>IF($D4194="","",IFERROR(INDEX(Mapping!$H$3:$H$32,MATCH($B4194,Mapping!$G$3:$G$32,0)),IF(LEFT($F4194,3)="P2P",IFERROR(INDEX(Mapping!$E$3:$E$6,MATCH($G4194,Mapping!$D$3:$D$6,0)),IFERROR(INDEX(Mapping!$B$3:$B$13,MATCH($J4194,Mapping!$A$3:$A$13,0)),"(unmapped)")),IFERROR(INDEX(Mapping!$B$17:$B$22,MATCH($F4194,Mapping!$A$17:$A$22,0)),$F4194)&amp;" "&amp;IF($G4194="Banking","Banking",IFERROR(INDEX(Mapping!$E$17:$E$28,MATCH($J4194,Mapping!$D$17:$D$28,0)),"(unmapped)")))))</f>
        <v/>
      </c>
    </row>
    <row r="4195" spans="11:11" x14ac:dyDescent="0.3">
      <c r="K4195" t="str">
        <f>IF($D4195="","",IFERROR(INDEX(Mapping!$H$3:$H$32,MATCH($B4195,Mapping!$G$3:$G$32,0)),IF(LEFT($F4195,3)="P2P",IFERROR(INDEX(Mapping!$E$3:$E$6,MATCH($G4195,Mapping!$D$3:$D$6,0)),IFERROR(INDEX(Mapping!$B$3:$B$13,MATCH($J4195,Mapping!$A$3:$A$13,0)),"(unmapped)")),IFERROR(INDEX(Mapping!$B$17:$B$22,MATCH($F4195,Mapping!$A$17:$A$22,0)),$F4195)&amp;" "&amp;IF($G4195="Banking","Banking",IFERROR(INDEX(Mapping!$E$17:$E$28,MATCH($J4195,Mapping!$D$17:$D$28,0)),"(unmapped)")))))</f>
        <v/>
      </c>
    </row>
    <row r="4196" spans="11:11" x14ac:dyDescent="0.3">
      <c r="K4196" t="str">
        <f>IF($D4196="","",IFERROR(INDEX(Mapping!$H$3:$H$32,MATCH($B4196,Mapping!$G$3:$G$32,0)),IF(LEFT($F4196,3)="P2P",IFERROR(INDEX(Mapping!$E$3:$E$6,MATCH($G4196,Mapping!$D$3:$D$6,0)),IFERROR(INDEX(Mapping!$B$3:$B$13,MATCH($J4196,Mapping!$A$3:$A$13,0)),"(unmapped)")),IFERROR(INDEX(Mapping!$B$17:$B$22,MATCH($F4196,Mapping!$A$17:$A$22,0)),$F4196)&amp;" "&amp;IF($G4196="Banking","Banking",IFERROR(INDEX(Mapping!$E$17:$E$28,MATCH($J4196,Mapping!$D$17:$D$28,0)),"(unmapped)")))))</f>
        <v/>
      </c>
    </row>
    <row r="4197" spans="11:11" x14ac:dyDescent="0.3">
      <c r="K4197" t="str">
        <f>IF($D4197="","",IFERROR(INDEX(Mapping!$H$3:$H$32,MATCH($B4197,Mapping!$G$3:$G$32,0)),IF(LEFT($F4197,3)="P2P",IFERROR(INDEX(Mapping!$E$3:$E$6,MATCH($G4197,Mapping!$D$3:$D$6,0)),IFERROR(INDEX(Mapping!$B$3:$B$13,MATCH($J4197,Mapping!$A$3:$A$13,0)),"(unmapped)")),IFERROR(INDEX(Mapping!$B$17:$B$22,MATCH($F4197,Mapping!$A$17:$A$22,0)),$F4197)&amp;" "&amp;IF($G4197="Banking","Banking",IFERROR(INDEX(Mapping!$E$17:$E$28,MATCH($J4197,Mapping!$D$17:$D$28,0)),"(unmapped)")))))</f>
        <v/>
      </c>
    </row>
    <row r="4198" spans="11:11" x14ac:dyDescent="0.3">
      <c r="K4198" t="str">
        <f>IF($D4198="","",IFERROR(INDEX(Mapping!$H$3:$H$32,MATCH($B4198,Mapping!$G$3:$G$32,0)),IF(LEFT($F4198,3)="P2P",IFERROR(INDEX(Mapping!$E$3:$E$6,MATCH($G4198,Mapping!$D$3:$D$6,0)),IFERROR(INDEX(Mapping!$B$3:$B$13,MATCH($J4198,Mapping!$A$3:$A$13,0)),"(unmapped)")),IFERROR(INDEX(Mapping!$B$17:$B$22,MATCH($F4198,Mapping!$A$17:$A$22,0)),$F4198)&amp;" "&amp;IF($G4198="Banking","Banking",IFERROR(INDEX(Mapping!$E$17:$E$28,MATCH($J4198,Mapping!$D$17:$D$28,0)),"(unmapped)")))))</f>
        <v/>
      </c>
    </row>
    <row r="4199" spans="11:11" x14ac:dyDescent="0.3">
      <c r="K4199" t="str">
        <f>IF($D4199="","",IFERROR(INDEX(Mapping!$H$3:$H$32,MATCH($B4199,Mapping!$G$3:$G$32,0)),IF(LEFT($F4199,3)="P2P",IFERROR(INDEX(Mapping!$E$3:$E$6,MATCH($G4199,Mapping!$D$3:$D$6,0)),IFERROR(INDEX(Mapping!$B$3:$B$13,MATCH($J4199,Mapping!$A$3:$A$13,0)),"(unmapped)")),IFERROR(INDEX(Mapping!$B$17:$B$22,MATCH($F4199,Mapping!$A$17:$A$22,0)),$F4199)&amp;" "&amp;IF($G4199="Banking","Banking",IFERROR(INDEX(Mapping!$E$17:$E$28,MATCH($J4199,Mapping!$D$17:$D$28,0)),"(unmapped)")))))</f>
        <v/>
      </c>
    </row>
    <row r="4200" spans="11:11" x14ac:dyDescent="0.3">
      <c r="K4200" t="str">
        <f>IF($D4200="","",IFERROR(INDEX(Mapping!$H$3:$H$32,MATCH($B4200,Mapping!$G$3:$G$32,0)),IF(LEFT($F4200,3)="P2P",IFERROR(INDEX(Mapping!$E$3:$E$6,MATCH($G4200,Mapping!$D$3:$D$6,0)),IFERROR(INDEX(Mapping!$B$3:$B$13,MATCH($J4200,Mapping!$A$3:$A$13,0)),"(unmapped)")),IFERROR(INDEX(Mapping!$B$17:$B$22,MATCH($F4200,Mapping!$A$17:$A$22,0)),$F4200)&amp;" "&amp;IF($G4200="Banking","Banking",IFERROR(INDEX(Mapping!$E$17:$E$28,MATCH($J4200,Mapping!$D$17:$D$28,0)),"(unmapped)")))))</f>
        <v/>
      </c>
    </row>
    <row r="4201" spans="11:11" x14ac:dyDescent="0.3">
      <c r="K4201" t="str">
        <f>IF($D4201="","",IFERROR(INDEX(Mapping!$H$3:$H$32,MATCH($B4201,Mapping!$G$3:$G$32,0)),IF(LEFT($F4201,3)="P2P",IFERROR(INDEX(Mapping!$E$3:$E$6,MATCH($G4201,Mapping!$D$3:$D$6,0)),IFERROR(INDEX(Mapping!$B$3:$B$13,MATCH($J4201,Mapping!$A$3:$A$13,0)),"(unmapped)")),IFERROR(INDEX(Mapping!$B$17:$B$22,MATCH($F4201,Mapping!$A$17:$A$22,0)),$F4201)&amp;" "&amp;IF($G4201="Banking","Banking",IFERROR(INDEX(Mapping!$E$17:$E$28,MATCH($J4201,Mapping!$D$17:$D$28,0)),"(unmapped)")))))</f>
        <v/>
      </c>
    </row>
    <row r="4202" spans="11:11" x14ac:dyDescent="0.3">
      <c r="K4202" t="str">
        <f>IF($D4202="","",IFERROR(INDEX(Mapping!$H$3:$H$32,MATCH($B4202,Mapping!$G$3:$G$32,0)),IF(LEFT($F4202,3)="P2P",IFERROR(INDEX(Mapping!$E$3:$E$6,MATCH($G4202,Mapping!$D$3:$D$6,0)),IFERROR(INDEX(Mapping!$B$3:$B$13,MATCH($J4202,Mapping!$A$3:$A$13,0)),"(unmapped)")),IFERROR(INDEX(Mapping!$B$17:$B$22,MATCH($F4202,Mapping!$A$17:$A$22,0)),$F4202)&amp;" "&amp;IF($G4202="Banking","Banking",IFERROR(INDEX(Mapping!$E$17:$E$28,MATCH($J4202,Mapping!$D$17:$D$28,0)),"(unmapped)")))))</f>
        <v/>
      </c>
    </row>
    <row r="4203" spans="11:11" x14ac:dyDescent="0.3">
      <c r="K4203" t="str">
        <f>IF($D4203="","",IFERROR(INDEX(Mapping!$H$3:$H$32,MATCH($B4203,Mapping!$G$3:$G$32,0)),IF(LEFT($F4203,3)="P2P",IFERROR(INDEX(Mapping!$E$3:$E$6,MATCH($G4203,Mapping!$D$3:$D$6,0)),IFERROR(INDEX(Mapping!$B$3:$B$13,MATCH($J4203,Mapping!$A$3:$A$13,0)),"(unmapped)")),IFERROR(INDEX(Mapping!$B$17:$B$22,MATCH($F4203,Mapping!$A$17:$A$22,0)),$F4203)&amp;" "&amp;IF($G4203="Banking","Banking",IFERROR(INDEX(Mapping!$E$17:$E$28,MATCH($J4203,Mapping!$D$17:$D$28,0)),"(unmapped)")))))</f>
        <v/>
      </c>
    </row>
    <row r="4204" spans="11:11" x14ac:dyDescent="0.3">
      <c r="K4204" t="str">
        <f>IF($D4204="","",IFERROR(INDEX(Mapping!$H$3:$H$32,MATCH($B4204,Mapping!$G$3:$G$32,0)),IF(LEFT($F4204,3)="P2P",IFERROR(INDEX(Mapping!$E$3:$E$6,MATCH($G4204,Mapping!$D$3:$D$6,0)),IFERROR(INDEX(Mapping!$B$3:$B$13,MATCH($J4204,Mapping!$A$3:$A$13,0)),"(unmapped)")),IFERROR(INDEX(Mapping!$B$17:$B$22,MATCH($F4204,Mapping!$A$17:$A$22,0)),$F4204)&amp;" "&amp;IF($G4204="Banking","Banking",IFERROR(INDEX(Mapping!$E$17:$E$28,MATCH($J4204,Mapping!$D$17:$D$28,0)),"(unmapped)")))))</f>
        <v/>
      </c>
    </row>
    <row r="4205" spans="11:11" x14ac:dyDescent="0.3">
      <c r="K4205" t="str">
        <f>IF($D4205="","",IFERROR(INDEX(Mapping!$H$3:$H$32,MATCH($B4205,Mapping!$G$3:$G$32,0)),IF(LEFT($F4205,3)="P2P",IFERROR(INDEX(Mapping!$E$3:$E$6,MATCH($G4205,Mapping!$D$3:$D$6,0)),IFERROR(INDEX(Mapping!$B$3:$B$13,MATCH($J4205,Mapping!$A$3:$A$13,0)),"(unmapped)")),IFERROR(INDEX(Mapping!$B$17:$B$22,MATCH($F4205,Mapping!$A$17:$A$22,0)),$F4205)&amp;" "&amp;IF($G4205="Banking","Banking",IFERROR(INDEX(Mapping!$E$17:$E$28,MATCH($J4205,Mapping!$D$17:$D$28,0)),"(unmapped)")))))</f>
        <v/>
      </c>
    </row>
    <row r="4206" spans="11:11" x14ac:dyDescent="0.3">
      <c r="K4206" t="str">
        <f>IF($D4206="","",IFERROR(INDEX(Mapping!$H$3:$H$32,MATCH($B4206,Mapping!$G$3:$G$32,0)),IF(LEFT($F4206,3)="P2P",IFERROR(INDEX(Mapping!$E$3:$E$6,MATCH($G4206,Mapping!$D$3:$D$6,0)),IFERROR(INDEX(Mapping!$B$3:$B$13,MATCH($J4206,Mapping!$A$3:$A$13,0)),"(unmapped)")),IFERROR(INDEX(Mapping!$B$17:$B$22,MATCH($F4206,Mapping!$A$17:$A$22,0)),$F4206)&amp;" "&amp;IF($G4206="Banking","Banking",IFERROR(INDEX(Mapping!$E$17:$E$28,MATCH($J4206,Mapping!$D$17:$D$28,0)),"(unmapped)")))))</f>
        <v/>
      </c>
    </row>
    <row r="4207" spans="11:11" x14ac:dyDescent="0.3">
      <c r="K4207" t="str">
        <f>IF($D4207="","",IFERROR(INDEX(Mapping!$H$3:$H$32,MATCH($B4207,Mapping!$G$3:$G$32,0)),IF(LEFT($F4207,3)="P2P",IFERROR(INDEX(Mapping!$E$3:$E$6,MATCH($G4207,Mapping!$D$3:$D$6,0)),IFERROR(INDEX(Mapping!$B$3:$B$13,MATCH($J4207,Mapping!$A$3:$A$13,0)),"(unmapped)")),IFERROR(INDEX(Mapping!$B$17:$B$22,MATCH($F4207,Mapping!$A$17:$A$22,0)),$F4207)&amp;" "&amp;IF($G4207="Banking","Banking",IFERROR(INDEX(Mapping!$E$17:$E$28,MATCH($J4207,Mapping!$D$17:$D$28,0)),"(unmapped)")))))</f>
        <v/>
      </c>
    </row>
    <row r="4208" spans="11:11" x14ac:dyDescent="0.3">
      <c r="K4208" t="str">
        <f>IF($D4208="","",IFERROR(INDEX(Mapping!$H$3:$H$32,MATCH($B4208,Mapping!$G$3:$G$32,0)),IF(LEFT($F4208,3)="P2P",IFERROR(INDEX(Mapping!$E$3:$E$6,MATCH($G4208,Mapping!$D$3:$D$6,0)),IFERROR(INDEX(Mapping!$B$3:$B$13,MATCH($J4208,Mapping!$A$3:$A$13,0)),"(unmapped)")),IFERROR(INDEX(Mapping!$B$17:$B$22,MATCH($F4208,Mapping!$A$17:$A$22,0)),$F4208)&amp;" "&amp;IF($G4208="Banking","Banking",IFERROR(INDEX(Mapping!$E$17:$E$28,MATCH($J4208,Mapping!$D$17:$D$28,0)),"(unmapped)")))))</f>
        <v/>
      </c>
    </row>
    <row r="4209" spans="11:11" x14ac:dyDescent="0.3">
      <c r="K4209" t="str">
        <f>IF($D4209="","",IFERROR(INDEX(Mapping!$H$3:$H$32,MATCH($B4209,Mapping!$G$3:$G$32,0)),IF(LEFT($F4209,3)="P2P",IFERROR(INDEX(Mapping!$E$3:$E$6,MATCH($G4209,Mapping!$D$3:$D$6,0)),IFERROR(INDEX(Mapping!$B$3:$B$13,MATCH($J4209,Mapping!$A$3:$A$13,0)),"(unmapped)")),IFERROR(INDEX(Mapping!$B$17:$B$22,MATCH($F4209,Mapping!$A$17:$A$22,0)),$F4209)&amp;" "&amp;IF($G4209="Banking","Banking",IFERROR(INDEX(Mapping!$E$17:$E$28,MATCH($J4209,Mapping!$D$17:$D$28,0)),"(unmapped)")))))</f>
        <v/>
      </c>
    </row>
    <row r="4210" spans="11:11" x14ac:dyDescent="0.3">
      <c r="K4210" t="str">
        <f>IF($D4210="","",IFERROR(INDEX(Mapping!$H$3:$H$32,MATCH($B4210,Mapping!$G$3:$G$32,0)),IF(LEFT($F4210,3)="P2P",IFERROR(INDEX(Mapping!$E$3:$E$6,MATCH($G4210,Mapping!$D$3:$D$6,0)),IFERROR(INDEX(Mapping!$B$3:$B$13,MATCH($J4210,Mapping!$A$3:$A$13,0)),"(unmapped)")),IFERROR(INDEX(Mapping!$B$17:$B$22,MATCH($F4210,Mapping!$A$17:$A$22,0)),$F4210)&amp;" "&amp;IF($G4210="Banking","Banking",IFERROR(INDEX(Mapping!$E$17:$E$28,MATCH($J4210,Mapping!$D$17:$D$28,0)),"(unmapped)")))))</f>
        <v/>
      </c>
    </row>
    <row r="4211" spans="11:11" x14ac:dyDescent="0.3">
      <c r="K4211" t="str">
        <f>IF($D4211="","",IFERROR(INDEX(Mapping!$H$3:$H$32,MATCH($B4211,Mapping!$G$3:$G$32,0)),IF(LEFT($F4211,3)="P2P",IFERROR(INDEX(Mapping!$E$3:$E$6,MATCH($G4211,Mapping!$D$3:$D$6,0)),IFERROR(INDEX(Mapping!$B$3:$B$13,MATCH($J4211,Mapping!$A$3:$A$13,0)),"(unmapped)")),IFERROR(INDEX(Mapping!$B$17:$B$22,MATCH($F4211,Mapping!$A$17:$A$22,0)),$F4211)&amp;" "&amp;IF($G4211="Banking","Banking",IFERROR(INDEX(Mapping!$E$17:$E$28,MATCH($J4211,Mapping!$D$17:$D$28,0)),"(unmapped)")))))</f>
        <v/>
      </c>
    </row>
    <row r="4212" spans="11:11" x14ac:dyDescent="0.3">
      <c r="K4212" t="str">
        <f>IF($D4212="","",IFERROR(INDEX(Mapping!$H$3:$H$32,MATCH($B4212,Mapping!$G$3:$G$32,0)),IF(LEFT($F4212,3)="P2P",IFERROR(INDEX(Mapping!$E$3:$E$6,MATCH($G4212,Mapping!$D$3:$D$6,0)),IFERROR(INDEX(Mapping!$B$3:$B$13,MATCH($J4212,Mapping!$A$3:$A$13,0)),"(unmapped)")),IFERROR(INDEX(Mapping!$B$17:$B$22,MATCH($F4212,Mapping!$A$17:$A$22,0)),$F4212)&amp;" "&amp;IF($G4212="Banking","Banking",IFERROR(INDEX(Mapping!$E$17:$E$28,MATCH($J4212,Mapping!$D$17:$D$28,0)),"(unmapped)")))))</f>
        <v/>
      </c>
    </row>
    <row r="4213" spans="11:11" x14ac:dyDescent="0.3">
      <c r="K4213" t="str">
        <f>IF($D4213="","",IFERROR(INDEX(Mapping!$H$3:$H$32,MATCH($B4213,Mapping!$G$3:$G$32,0)),IF(LEFT($F4213,3)="P2P",IFERROR(INDEX(Mapping!$E$3:$E$6,MATCH($G4213,Mapping!$D$3:$D$6,0)),IFERROR(INDEX(Mapping!$B$3:$B$13,MATCH($J4213,Mapping!$A$3:$A$13,0)),"(unmapped)")),IFERROR(INDEX(Mapping!$B$17:$B$22,MATCH($F4213,Mapping!$A$17:$A$22,0)),$F4213)&amp;" "&amp;IF($G4213="Banking","Banking",IFERROR(INDEX(Mapping!$E$17:$E$28,MATCH($J4213,Mapping!$D$17:$D$28,0)),"(unmapped)")))))</f>
        <v/>
      </c>
    </row>
    <row r="4214" spans="11:11" x14ac:dyDescent="0.3">
      <c r="K4214" t="str">
        <f>IF($D4214="","",IFERROR(INDEX(Mapping!$H$3:$H$32,MATCH($B4214,Mapping!$G$3:$G$32,0)),IF(LEFT($F4214,3)="P2P",IFERROR(INDEX(Mapping!$E$3:$E$6,MATCH($G4214,Mapping!$D$3:$D$6,0)),IFERROR(INDEX(Mapping!$B$3:$B$13,MATCH($J4214,Mapping!$A$3:$A$13,0)),"(unmapped)")),IFERROR(INDEX(Mapping!$B$17:$B$22,MATCH($F4214,Mapping!$A$17:$A$22,0)),$F4214)&amp;" "&amp;IF($G4214="Banking","Banking",IFERROR(INDEX(Mapping!$E$17:$E$28,MATCH($J4214,Mapping!$D$17:$D$28,0)),"(unmapped)")))))</f>
        <v/>
      </c>
    </row>
    <row r="4215" spans="11:11" x14ac:dyDescent="0.3">
      <c r="K4215" t="str">
        <f>IF($D4215="","",IFERROR(INDEX(Mapping!$H$3:$H$32,MATCH($B4215,Mapping!$G$3:$G$32,0)),IF(LEFT($F4215,3)="P2P",IFERROR(INDEX(Mapping!$E$3:$E$6,MATCH($G4215,Mapping!$D$3:$D$6,0)),IFERROR(INDEX(Mapping!$B$3:$B$13,MATCH($J4215,Mapping!$A$3:$A$13,0)),"(unmapped)")),IFERROR(INDEX(Mapping!$B$17:$B$22,MATCH($F4215,Mapping!$A$17:$A$22,0)),$F4215)&amp;" "&amp;IF($G4215="Banking","Banking",IFERROR(INDEX(Mapping!$E$17:$E$28,MATCH($J4215,Mapping!$D$17:$D$28,0)),"(unmapped)")))))</f>
        <v/>
      </c>
    </row>
    <row r="4216" spans="11:11" x14ac:dyDescent="0.3">
      <c r="K4216" t="str">
        <f>IF($D4216="","",IFERROR(INDEX(Mapping!$H$3:$H$32,MATCH($B4216,Mapping!$G$3:$G$32,0)),IF(LEFT($F4216,3)="P2P",IFERROR(INDEX(Mapping!$E$3:$E$6,MATCH($G4216,Mapping!$D$3:$D$6,0)),IFERROR(INDEX(Mapping!$B$3:$B$13,MATCH($J4216,Mapping!$A$3:$A$13,0)),"(unmapped)")),IFERROR(INDEX(Mapping!$B$17:$B$22,MATCH($F4216,Mapping!$A$17:$A$22,0)),$F4216)&amp;" "&amp;IF($G4216="Banking","Banking",IFERROR(INDEX(Mapping!$E$17:$E$28,MATCH($J4216,Mapping!$D$17:$D$28,0)),"(unmapped)")))))</f>
        <v/>
      </c>
    </row>
    <row r="4217" spans="11:11" x14ac:dyDescent="0.3">
      <c r="K4217" t="str">
        <f>IF($D4217="","",IFERROR(INDEX(Mapping!$H$3:$H$32,MATCH($B4217,Mapping!$G$3:$G$32,0)),IF(LEFT($F4217,3)="P2P",IFERROR(INDEX(Mapping!$E$3:$E$6,MATCH($G4217,Mapping!$D$3:$D$6,0)),IFERROR(INDEX(Mapping!$B$3:$B$13,MATCH($J4217,Mapping!$A$3:$A$13,0)),"(unmapped)")),IFERROR(INDEX(Mapping!$B$17:$B$22,MATCH($F4217,Mapping!$A$17:$A$22,0)),$F4217)&amp;" "&amp;IF($G4217="Banking","Banking",IFERROR(INDEX(Mapping!$E$17:$E$28,MATCH($J4217,Mapping!$D$17:$D$28,0)),"(unmapped)")))))</f>
        <v/>
      </c>
    </row>
    <row r="4218" spans="11:11" x14ac:dyDescent="0.3">
      <c r="K4218" t="str">
        <f>IF($D4218="","",IFERROR(INDEX(Mapping!$H$3:$H$32,MATCH($B4218,Mapping!$G$3:$G$32,0)),IF(LEFT($F4218,3)="P2P",IFERROR(INDEX(Mapping!$E$3:$E$6,MATCH($G4218,Mapping!$D$3:$D$6,0)),IFERROR(INDEX(Mapping!$B$3:$B$13,MATCH($J4218,Mapping!$A$3:$A$13,0)),"(unmapped)")),IFERROR(INDEX(Mapping!$B$17:$B$22,MATCH($F4218,Mapping!$A$17:$A$22,0)),$F4218)&amp;" "&amp;IF($G4218="Banking","Banking",IFERROR(INDEX(Mapping!$E$17:$E$28,MATCH($J4218,Mapping!$D$17:$D$28,0)),"(unmapped)")))))</f>
        <v/>
      </c>
    </row>
    <row r="4219" spans="11:11" x14ac:dyDescent="0.3">
      <c r="K4219" t="str">
        <f>IF($D4219="","",IFERROR(INDEX(Mapping!$H$3:$H$32,MATCH($B4219,Mapping!$G$3:$G$32,0)),IF(LEFT($F4219,3)="P2P",IFERROR(INDEX(Mapping!$E$3:$E$6,MATCH($G4219,Mapping!$D$3:$D$6,0)),IFERROR(INDEX(Mapping!$B$3:$B$13,MATCH($J4219,Mapping!$A$3:$A$13,0)),"(unmapped)")),IFERROR(INDEX(Mapping!$B$17:$B$22,MATCH($F4219,Mapping!$A$17:$A$22,0)),$F4219)&amp;" "&amp;IF($G4219="Banking","Banking",IFERROR(INDEX(Mapping!$E$17:$E$28,MATCH($J4219,Mapping!$D$17:$D$28,0)),"(unmapped)")))))</f>
        <v/>
      </c>
    </row>
    <row r="4220" spans="11:11" x14ac:dyDescent="0.3">
      <c r="K4220" t="str">
        <f>IF($D4220="","",IFERROR(INDEX(Mapping!$H$3:$H$32,MATCH($B4220,Mapping!$G$3:$G$32,0)),IF(LEFT($F4220,3)="P2P",IFERROR(INDEX(Mapping!$E$3:$E$6,MATCH($G4220,Mapping!$D$3:$D$6,0)),IFERROR(INDEX(Mapping!$B$3:$B$13,MATCH($J4220,Mapping!$A$3:$A$13,0)),"(unmapped)")),IFERROR(INDEX(Mapping!$B$17:$B$22,MATCH($F4220,Mapping!$A$17:$A$22,0)),$F4220)&amp;" "&amp;IF($G4220="Banking","Banking",IFERROR(INDEX(Mapping!$E$17:$E$28,MATCH($J4220,Mapping!$D$17:$D$28,0)),"(unmapped)")))))</f>
        <v/>
      </c>
    </row>
    <row r="4221" spans="11:11" x14ac:dyDescent="0.3">
      <c r="K4221" t="str">
        <f>IF($D4221="","",IFERROR(INDEX(Mapping!$H$3:$H$32,MATCH($B4221,Mapping!$G$3:$G$32,0)),IF(LEFT($F4221,3)="P2P",IFERROR(INDEX(Mapping!$E$3:$E$6,MATCH($G4221,Mapping!$D$3:$D$6,0)),IFERROR(INDEX(Mapping!$B$3:$B$13,MATCH($J4221,Mapping!$A$3:$A$13,0)),"(unmapped)")),IFERROR(INDEX(Mapping!$B$17:$B$22,MATCH($F4221,Mapping!$A$17:$A$22,0)),$F4221)&amp;" "&amp;IF($G4221="Banking","Banking",IFERROR(INDEX(Mapping!$E$17:$E$28,MATCH($J4221,Mapping!$D$17:$D$28,0)),"(unmapped)")))))</f>
        <v/>
      </c>
    </row>
    <row r="4222" spans="11:11" x14ac:dyDescent="0.3">
      <c r="K4222" t="str">
        <f>IF($D4222="","",IFERROR(INDEX(Mapping!$H$3:$H$32,MATCH($B4222,Mapping!$G$3:$G$32,0)),IF(LEFT($F4222,3)="P2P",IFERROR(INDEX(Mapping!$E$3:$E$6,MATCH($G4222,Mapping!$D$3:$D$6,0)),IFERROR(INDEX(Mapping!$B$3:$B$13,MATCH($J4222,Mapping!$A$3:$A$13,0)),"(unmapped)")),IFERROR(INDEX(Mapping!$B$17:$B$22,MATCH($F4222,Mapping!$A$17:$A$22,0)),$F4222)&amp;" "&amp;IF($G4222="Banking","Banking",IFERROR(INDEX(Mapping!$E$17:$E$28,MATCH($J4222,Mapping!$D$17:$D$28,0)),"(unmapped)")))))</f>
        <v/>
      </c>
    </row>
    <row r="4223" spans="11:11" x14ac:dyDescent="0.3">
      <c r="K4223" t="str">
        <f>IF($D4223="","",IFERROR(INDEX(Mapping!$H$3:$H$32,MATCH($B4223,Mapping!$G$3:$G$32,0)),IF(LEFT($F4223,3)="P2P",IFERROR(INDEX(Mapping!$E$3:$E$6,MATCH($G4223,Mapping!$D$3:$D$6,0)),IFERROR(INDEX(Mapping!$B$3:$B$13,MATCH($J4223,Mapping!$A$3:$A$13,0)),"(unmapped)")),IFERROR(INDEX(Mapping!$B$17:$B$22,MATCH($F4223,Mapping!$A$17:$A$22,0)),$F4223)&amp;" "&amp;IF($G4223="Banking","Banking",IFERROR(INDEX(Mapping!$E$17:$E$28,MATCH($J4223,Mapping!$D$17:$D$28,0)),"(unmapped)")))))</f>
        <v/>
      </c>
    </row>
    <row r="4224" spans="11:11" x14ac:dyDescent="0.3">
      <c r="K4224" t="str">
        <f>IF($D4224="","",IFERROR(INDEX(Mapping!$H$3:$H$32,MATCH($B4224,Mapping!$G$3:$G$32,0)),IF(LEFT($F4224,3)="P2P",IFERROR(INDEX(Mapping!$E$3:$E$6,MATCH($G4224,Mapping!$D$3:$D$6,0)),IFERROR(INDEX(Mapping!$B$3:$B$13,MATCH($J4224,Mapping!$A$3:$A$13,0)),"(unmapped)")),IFERROR(INDEX(Mapping!$B$17:$B$22,MATCH($F4224,Mapping!$A$17:$A$22,0)),$F4224)&amp;" "&amp;IF($G4224="Banking","Banking",IFERROR(INDEX(Mapping!$E$17:$E$28,MATCH($J4224,Mapping!$D$17:$D$28,0)),"(unmapped)")))))</f>
        <v/>
      </c>
    </row>
    <row r="4225" spans="11:11" x14ac:dyDescent="0.3">
      <c r="K4225" t="str">
        <f>IF($D4225="","",IFERROR(INDEX(Mapping!$H$3:$H$32,MATCH($B4225,Mapping!$G$3:$G$32,0)),IF(LEFT($F4225,3)="P2P",IFERROR(INDEX(Mapping!$E$3:$E$6,MATCH($G4225,Mapping!$D$3:$D$6,0)),IFERROR(INDEX(Mapping!$B$3:$B$13,MATCH($J4225,Mapping!$A$3:$A$13,0)),"(unmapped)")),IFERROR(INDEX(Mapping!$B$17:$B$22,MATCH($F4225,Mapping!$A$17:$A$22,0)),$F4225)&amp;" "&amp;IF($G4225="Banking","Banking",IFERROR(INDEX(Mapping!$E$17:$E$28,MATCH($J4225,Mapping!$D$17:$D$28,0)),"(unmapped)")))))</f>
        <v/>
      </c>
    </row>
    <row r="4226" spans="11:11" x14ac:dyDescent="0.3">
      <c r="K4226" t="str">
        <f>IF($D4226="","",IFERROR(INDEX(Mapping!$H$3:$H$32,MATCH($B4226,Mapping!$G$3:$G$32,0)),IF(LEFT($F4226,3)="P2P",IFERROR(INDEX(Mapping!$E$3:$E$6,MATCH($G4226,Mapping!$D$3:$D$6,0)),IFERROR(INDEX(Mapping!$B$3:$B$13,MATCH($J4226,Mapping!$A$3:$A$13,0)),"(unmapped)")),IFERROR(INDEX(Mapping!$B$17:$B$22,MATCH($F4226,Mapping!$A$17:$A$22,0)),$F4226)&amp;" "&amp;IF($G4226="Banking","Banking",IFERROR(INDEX(Mapping!$E$17:$E$28,MATCH($J4226,Mapping!$D$17:$D$28,0)),"(unmapped)")))))</f>
        <v/>
      </c>
    </row>
    <row r="4227" spans="11:11" x14ac:dyDescent="0.3">
      <c r="K4227" t="str">
        <f>IF($D4227="","",IFERROR(INDEX(Mapping!$H$3:$H$32,MATCH($B4227,Mapping!$G$3:$G$32,0)),IF(LEFT($F4227,3)="P2P",IFERROR(INDEX(Mapping!$E$3:$E$6,MATCH($G4227,Mapping!$D$3:$D$6,0)),IFERROR(INDEX(Mapping!$B$3:$B$13,MATCH($J4227,Mapping!$A$3:$A$13,0)),"(unmapped)")),IFERROR(INDEX(Mapping!$B$17:$B$22,MATCH($F4227,Mapping!$A$17:$A$22,0)),$F4227)&amp;" "&amp;IF($G4227="Banking","Banking",IFERROR(INDEX(Mapping!$E$17:$E$28,MATCH($J4227,Mapping!$D$17:$D$28,0)),"(unmapped)")))))</f>
        <v/>
      </c>
    </row>
    <row r="4228" spans="11:11" x14ac:dyDescent="0.3">
      <c r="K4228" t="str">
        <f>IF($D4228="","",IFERROR(INDEX(Mapping!$H$3:$H$32,MATCH($B4228,Mapping!$G$3:$G$32,0)),IF(LEFT($F4228,3)="P2P",IFERROR(INDEX(Mapping!$E$3:$E$6,MATCH($G4228,Mapping!$D$3:$D$6,0)),IFERROR(INDEX(Mapping!$B$3:$B$13,MATCH($J4228,Mapping!$A$3:$A$13,0)),"(unmapped)")),IFERROR(INDEX(Mapping!$B$17:$B$22,MATCH($F4228,Mapping!$A$17:$A$22,0)),$F4228)&amp;" "&amp;IF($G4228="Banking","Banking",IFERROR(INDEX(Mapping!$E$17:$E$28,MATCH($J4228,Mapping!$D$17:$D$28,0)),"(unmapped)")))))</f>
        <v/>
      </c>
    </row>
    <row r="4229" spans="11:11" x14ac:dyDescent="0.3">
      <c r="K4229" t="str">
        <f>IF($D4229="","",IFERROR(INDEX(Mapping!$H$3:$H$32,MATCH($B4229,Mapping!$G$3:$G$32,0)),IF(LEFT($F4229,3)="P2P",IFERROR(INDEX(Mapping!$E$3:$E$6,MATCH($G4229,Mapping!$D$3:$D$6,0)),IFERROR(INDEX(Mapping!$B$3:$B$13,MATCH($J4229,Mapping!$A$3:$A$13,0)),"(unmapped)")),IFERROR(INDEX(Mapping!$B$17:$B$22,MATCH($F4229,Mapping!$A$17:$A$22,0)),$F4229)&amp;" "&amp;IF($G4229="Banking","Banking",IFERROR(INDEX(Mapping!$E$17:$E$28,MATCH($J4229,Mapping!$D$17:$D$28,0)),"(unmapped)")))))</f>
        <v/>
      </c>
    </row>
    <row r="4230" spans="11:11" x14ac:dyDescent="0.3">
      <c r="K4230" t="str">
        <f>IF($D4230="","",IFERROR(INDEX(Mapping!$H$3:$H$32,MATCH($B4230,Mapping!$G$3:$G$32,0)),IF(LEFT($F4230,3)="P2P",IFERROR(INDEX(Mapping!$E$3:$E$6,MATCH($G4230,Mapping!$D$3:$D$6,0)),IFERROR(INDEX(Mapping!$B$3:$B$13,MATCH($J4230,Mapping!$A$3:$A$13,0)),"(unmapped)")),IFERROR(INDEX(Mapping!$B$17:$B$22,MATCH($F4230,Mapping!$A$17:$A$22,0)),$F4230)&amp;" "&amp;IF($G4230="Banking","Banking",IFERROR(INDEX(Mapping!$E$17:$E$28,MATCH($J4230,Mapping!$D$17:$D$28,0)),"(unmapped)")))))</f>
        <v/>
      </c>
    </row>
    <row r="4231" spans="11:11" x14ac:dyDescent="0.3">
      <c r="K4231" t="str">
        <f>IF($D4231="","",IFERROR(INDEX(Mapping!$H$3:$H$32,MATCH($B4231,Mapping!$G$3:$G$32,0)),IF(LEFT($F4231,3)="P2P",IFERROR(INDEX(Mapping!$E$3:$E$6,MATCH($G4231,Mapping!$D$3:$D$6,0)),IFERROR(INDEX(Mapping!$B$3:$B$13,MATCH($J4231,Mapping!$A$3:$A$13,0)),"(unmapped)")),IFERROR(INDEX(Mapping!$B$17:$B$22,MATCH($F4231,Mapping!$A$17:$A$22,0)),$F4231)&amp;" "&amp;IF($G4231="Banking","Banking",IFERROR(INDEX(Mapping!$E$17:$E$28,MATCH($J4231,Mapping!$D$17:$D$28,0)),"(unmapped)")))))</f>
        <v/>
      </c>
    </row>
    <row r="4232" spans="11:11" x14ac:dyDescent="0.3">
      <c r="K4232" t="str">
        <f>IF($D4232="","",IFERROR(INDEX(Mapping!$H$3:$H$32,MATCH($B4232,Mapping!$G$3:$G$32,0)),IF(LEFT($F4232,3)="P2P",IFERROR(INDEX(Mapping!$E$3:$E$6,MATCH($G4232,Mapping!$D$3:$D$6,0)),IFERROR(INDEX(Mapping!$B$3:$B$13,MATCH($J4232,Mapping!$A$3:$A$13,0)),"(unmapped)")),IFERROR(INDEX(Mapping!$B$17:$B$22,MATCH($F4232,Mapping!$A$17:$A$22,0)),$F4232)&amp;" "&amp;IF($G4232="Banking","Banking",IFERROR(INDEX(Mapping!$E$17:$E$28,MATCH($J4232,Mapping!$D$17:$D$28,0)),"(unmapped)")))))</f>
        <v/>
      </c>
    </row>
    <row r="4233" spans="11:11" x14ac:dyDescent="0.3">
      <c r="K4233" t="str">
        <f>IF($D4233="","",IFERROR(INDEX(Mapping!$H$3:$H$32,MATCH($B4233,Mapping!$G$3:$G$32,0)),IF(LEFT($F4233,3)="P2P",IFERROR(INDEX(Mapping!$E$3:$E$6,MATCH($G4233,Mapping!$D$3:$D$6,0)),IFERROR(INDEX(Mapping!$B$3:$B$13,MATCH($J4233,Mapping!$A$3:$A$13,0)),"(unmapped)")),IFERROR(INDEX(Mapping!$B$17:$B$22,MATCH($F4233,Mapping!$A$17:$A$22,0)),$F4233)&amp;" "&amp;IF($G4233="Banking","Banking",IFERROR(INDEX(Mapping!$E$17:$E$28,MATCH($J4233,Mapping!$D$17:$D$28,0)),"(unmapped)")))))</f>
        <v/>
      </c>
    </row>
    <row r="4234" spans="11:11" x14ac:dyDescent="0.3">
      <c r="K4234" t="str">
        <f>IF($D4234="","",IFERROR(INDEX(Mapping!$H$3:$H$32,MATCH($B4234,Mapping!$G$3:$G$32,0)),IF(LEFT($F4234,3)="P2P",IFERROR(INDEX(Mapping!$E$3:$E$6,MATCH($G4234,Mapping!$D$3:$D$6,0)),IFERROR(INDEX(Mapping!$B$3:$B$13,MATCH($J4234,Mapping!$A$3:$A$13,0)),"(unmapped)")),IFERROR(INDEX(Mapping!$B$17:$B$22,MATCH($F4234,Mapping!$A$17:$A$22,0)),$F4234)&amp;" "&amp;IF($G4234="Banking","Banking",IFERROR(INDEX(Mapping!$E$17:$E$28,MATCH($J4234,Mapping!$D$17:$D$28,0)),"(unmapped)")))))</f>
        <v/>
      </c>
    </row>
    <row r="4235" spans="11:11" x14ac:dyDescent="0.3">
      <c r="K4235" t="str">
        <f>IF($D4235="","",IFERROR(INDEX(Mapping!$H$3:$H$32,MATCH($B4235,Mapping!$G$3:$G$32,0)),IF(LEFT($F4235,3)="P2P",IFERROR(INDEX(Mapping!$E$3:$E$6,MATCH($G4235,Mapping!$D$3:$D$6,0)),IFERROR(INDEX(Mapping!$B$3:$B$13,MATCH($J4235,Mapping!$A$3:$A$13,0)),"(unmapped)")),IFERROR(INDEX(Mapping!$B$17:$B$22,MATCH($F4235,Mapping!$A$17:$A$22,0)),$F4235)&amp;" "&amp;IF($G4235="Banking","Banking",IFERROR(INDEX(Mapping!$E$17:$E$28,MATCH($J4235,Mapping!$D$17:$D$28,0)),"(unmapped)")))))</f>
        <v/>
      </c>
    </row>
    <row r="4236" spans="11:11" x14ac:dyDescent="0.3">
      <c r="K4236" t="str">
        <f>IF($D4236="","",IFERROR(INDEX(Mapping!$H$3:$H$32,MATCH($B4236,Mapping!$G$3:$G$32,0)),IF(LEFT($F4236,3)="P2P",IFERROR(INDEX(Mapping!$E$3:$E$6,MATCH($G4236,Mapping!$D$3:$D$6,0)),IFERROR(INDEX(Mapping!$B$3:$B$13,MATCH($J4236,Mapping!$A$3:$A$13,0)),"(unmapped)")),IFERROR(INDEX(Mapping!$B$17:$B$22,MATCH($F4236,Mapping!$A$17:$A$22,0)),$F4236)&amp;" "&amp;IF($G4236="Banking","Banking",IFERROR(INDEX(Mapping!$E$17:$E$28,MATCH($J4236,Mapping!$D$17:$D$28,0)),"(unmapped)")))))</f>
        <v/>
      </c>
    </row>
    <row r="4237" spans="11:11" x14ac:dyDescent="0.3">
      <c r="K4237" t="str">
        <f>IF($D4237="","",IFERROR(INDEX(Mapping!$H$3:$H$32,MATCH($B4237,Mapping!$G$3:$G$32,0)),IF(LEFT($F4237,3)="P2P",IFERROR(INDEX(Mapping!$E$3:$E$6,MATCH($G4237,Mapping!$D$3:$D$6,0)),IFERROR(INDEX(Mapping!$B$3:$B$13,MATCH($J4237,Mapping!$A$3:$A$13,0)),"(unmapped)")),IFERROR(INDEX(Mapping!$B$17:$B$22,MATCH($F4237,Mapping!$A$17:$A$22,0)),$F4237)&amp;" "&amp;IF($G4237="Banking","Banking",IFERROR(INDEX(Mapping!$E$17:$E$28,MATCH($J4237,Mapping!$D$17:$D$28,0)),"(unmapped)")))))</f>
        <v/>
      </c>
    </row>
    <row r="4238" spans="11:11" x14ac:dyDescent="0.3">
      <c r="K4238" t="str">
        <f>IF($D4238="","",IFERROR(INDEX(Mapping!$H$3:$H$32,MATCH($B4238,Mapping!$G$3:$G$32,0)),IF(LEFT($F4238,3)="P2P",IFERROR(INDEX(Mapping!$E$3:$E$6,MATCH($G4238,Mapping!$D$3:$D$6,0)),IFERROR(INDEX(Mapping!$B$3:$B$13,MATCH($J4238,Mapping!$A$3:$A$13,0)),"(unmapped)")),IFERROR(INDEX(Mapping!$B$17:$B$22,MATCH($F4238,Mapping!$A$17:$A$22,0)),$F4238)&amp;" "&amp;IF($G4238="Banking","Banking",IFERROR(INDEX(Mapping!$E$17:$E$28,MATCH($J4238,Mapping!$D$17:$D$28,0)),"(unmapped)")))))</f>
        <v/>
      </c>
    </row>
    <row r="4239" spans="11:11" x14ac:dyDescent="0.3">
      <c r="K4239" t="str">
        <f>IF($D4239="","",IFERROR(INDEX(Mapping!$H$3:$H$32,MATCH($B4239,Mapping!$G$3:$G$32,0)),IF(LEFT($F4239,3)="P2P",IFERROR(INDEX(Mapping!$E$3:$E$6,MATCH($G4239,Mapping!$D$3:$D$6,0)),IFERROR(INDEX(Mapping!$B$3:$B$13,MATCH($J4239,Mapping!$A$3:$A$13,0)),"(unmapped)")),IFERROR(INDEX(Mapping!$B$17:$B$22,MATCH($F4239,Mapping!$A$17:$A$22,0)),$F4239)&amp;" "&amp;IF($G4239="Banking","Banking",IFERROR(INDEX(Mapping!$E$17:$E$28,MATCH($J4239,Mapping!$D$17:$D$28,0)),"(unmapped)")))))</f>
        <v/>
      </c>
    </row>
    <row r="4240" spans="11:11" x14ac:dyDescent="0.3">
      <c r="K4240" t="str">
        <f>IF($D4240="","",IFERROR(INDEX(Mapping!$H$3:$H$32,MATCH($B4240,Mapping!$G$3:$G$32,0)),IF(LEFT($F4240,3)="P2P",IFERROR(INDEX(Mapping!$E$3:$E$6,MATCH($G4240,Mapping!$D$3:$D$6,0)),IFERROR(INDEX(Mapping!$B$3:$B$13,MATCH($J4240,Mapping!$A$3:$A$13,0)),"(unmapped)")),IFERROR(INDEX(Mapping!$B$17:$B$22,MATCH($F4240,Mapping!$A$17:$A$22,0)),$F4240)&amp;" "&amp;IF($G4240="Banking","Banking",IFERROR(INDEX(Mapping!$E$17:$E$28,MATCH($J4240,Mapping!$D$17:$D$28,0)),"(unmapped)")))))</f>
        <v/>
      </c>
    </row>
    <row r="4241" spans="11:11" x14ac:dyDescent="0.3">
      <c r="K4241" t="str">
        <f>IF($D4241="","",IFERROR(INDEX(Mapping!$H$3:$H$32,MATCH($B4241,Mapping!$G$3:$G$32,0)),IF(LEFT($F4241,3)="P2P",IFERROR(INDEX(Mapping!$E$3:$E$6,MATCH($G4241,Mapping!$D$3:$D$6,0)),IFERROR(INDEX(Mapping!$B$3:$B$13,MATCH($J4241,Mapping!$A$3:$A$13,0)),"(unmapped)")),IFERROR(INDEX(Mapping!$B$17:$B$22,MATCH($F4241,Mapping!$A$17:$A$22,0)),$F4241)&amp;" "&amp;IF($G4241="Banking","Banking",IFERROR(INDEX(Mapping!$E$17:$E$28,MATCH($J4241,Mapping!$D$17:$D$28,0)),"(unmapped)")))))</f>
        <v/>
      </c>
    </row>
    <row r="4242" spans="11:11" x14ac:dyDescent="0.3">
      <c r="K4242" t="str">
        <f>IF($D4242="","",IFERROR(INDEX(Mapping!$H$3:$H$32,MATCH($B4242,Mapping!$G$3:$G$32,0)),IF(LEFT($F4242,3)="P2P",IFERROR(INDEX(Mapping!$E$3:$E$6,MATCH($G4242,Mapping!$D$3:$D$6,0)),IFERROR(INDEX(Mapping!$B$3:$B$13,MATCH($J4242,Mapping!$A$3:$A$13,0)),"(unmapped)")),IFERROR(INDEX(Mapping!$B$17:$B$22,MATCH($F4242,Mapping!$A$17:$A$22,0)),$F4242)&amp;" "&amp;IF($G4242="Banking","Banking",IFERROR(INDEX(Mapping!$E$17:$E$28,MATCH($J4242,Mapping!$D$17:$D$28,0)),"(unmapped)")))))</f>
        <v/>
      </c>
    </row>
    <row r="4243" spans="11:11" x14ac:dyDescent="0.3">
      <c r="K4243" t="str">
        <f>IF($D4243="","",IFERROR(INDEX(Mapping!$H$3:$H$32,MATCH($B4243,Mapping!$G$3:$G$32,0)),IF(LEFT($F4243,3)="P2P",IFERROR(INDEX(Mapping!$E$3:$E$6,MATCH($G4243,Mapping!$D$3:$D$6,0)),IFERROR(INDEX(Mapping!$B$3:$B$13,MATCH($J4243,Mapping!$A$3:$A$13,0)),"(unmapped)")),IFERROR(INDEX(Mapping!$B$17:$B$22,MATCH($F4243,Mapping!$A$17:$A$22,0)),$F4243)&amp;" "&amp;IF($G4243="Banking","Banking",IFERROR(INDEX(Mapping!$E$17:$E$28,MATCH($J4243,Mapping!$D$17:$D$28,0)),"(unmapped)")))))</f>
        <v/>
      </c>
    </row>
    <row r="4244" spans="11:11" x14ac:dyDescent="0.3">
      <c r="K4244" t="str">
        <f>IF($D4244="","",IFERROR(INDEX(Mapping!$H$3:$H$32,MATCH($B4244,Mapping!$G$3:$G$32,0)),IF(LEFT($F4244,3)="P2P",IFERROR(INDEX(Mapping!$E$3:$E$6,MATCH($G4244,Mapping!$D$3:$D$6,0)),IFERROR(INDEX(Mapping!$B$3:$B$13,MATCH($J4244,Mapping!$A$3:$A$13,0)),"(unmapped)")),IFERROR(INDEX(Mapping!$B$17:$B$22,MATCH($F4244,Mapping!$A$17:$A$22,0)),$F4244)&amp;" "&amp;IF($G4244="Banking","Banking",IFERROR(INDEX(Mapping!$E$17:$E$28,MATCH($J4244,Mapping!$D$17:$D$28,0)),"(unmapped)")))))</f>
        <v/>
      </c>
    </row>
    <row r="4245" spans="11:11" x14ac:dyDescent="0.3">
      <c r="K4245" t="str">
        <f>IF($D4245="","",IFERROR(INDEX(Mapping!$H$3:$H$32,MATCH($B4245,Mapping!$G$3:$G$32,0)),IF(LEFT($F4245,3)="P2P",IFERROR(INDEX(Mapping!$E$3:$E$6,MATCH($G4245,Mapping!$D$3:$D$6,0)),IFERROR(INDEX(Mapping!$B$3:$B$13,MATCH($J4245,Mapping!$A$3:$A$13,0)),"(unmapped)")),IFERROR(INDEX(Mapping!$B$17:$B$22,MATCH($F4245,Mapping!$A$17:$A$22,0)),$F4245)&amp;" "&amp;IF($G4245="Banking","Banking",IFERROR(INDEX(Mapping!$E$17:$E$28,MATCH($J4245,Mapping!$D$17:$D$28,0)),"(unmapped)")))))</f>
        <v/>
      </c>
    </row>
    <row r="4246" spans="11:11" x14ac:dyDescent="0.3">
      <c r="K4246" t="str">
        <f>IF($D4246="","",IFERROR(INDEX(Mapping!$H$3:$H$32,MATCH($B4246,Mapping!$G$3:$G$32,0)),IF(LEFT($F4246,3)="P2P",IFERROR(INDEX(Mapping!$E$3:$E$6,MATCH($G4246,Mapping!$D$3:$D$6,0)),IFERROR(INDEX(Mapping!$B$3:$B$13,MATCH($J4246,Mapping!$A$3:$A$13,0)),"(unmapped)")),IFERROR(INDEX(Mapping!$B$17:$B$22,MATCH($F4246,Mapping!$A$17:$A$22,0)),$F4246)&amp;" "&amp;IF($G4246="Banking","Banking",IFERROR(INDEX(Mapping!$E$17:$E$28,MATCH($J4246,Mapping!$D$17:$D$28,0)),"(unmapped)")))))</f>
        <v/>
      </c>
    </row>
    <row r="4247" spans="11:11" x14ac:dyDescent="0.3">
      <c r="K4247" t="str">
        <f>IF($D4247="","",IFERROR(INDEX(Mapping!$H$3:$H$32,MATCH($B4247,Mapping!$G$3:$G$32,0)),IF(LEFT($F4247,3)="P2P",IFERROR(INDEX(Mapping!$E$3:$E$6,MATCH($G4247,Mapping!$D$3:$D$6,0)),IFERROR(INDEX(Mapping!$B$3:$B$13,MATCH($J4247,Mapping!$A$3:$A$13,0)),"(unmapped)")),IFERROR(INDEX(Mapping!$B$17:$B$22,MATCH($F4247,Mapping!$A$17:$A$22,0)),$F4247)&amp;" "&amp;IF($G4247="Banking","Banking",IFERROR(INDEX(Mapping!$E$17:$E$28,MATCH($J4247,Mapping!$D$17:$D$28,0)),"(unmapped)")))))</f>
        <v/>
      </c>
    </row>
    <row r="4248" spans="11:11" x14ac:dyDescent="0.3">
      <c r="K4248" t="str">
        <f>IF($D4248="","",IFERROR(INDEX(Mapping!$H$3:$H$32,MATCH($B4248,Mapping!$G$3:$G$32,0)),IF(LEFT($F4248,3)="P2P",IFERROR(INDEX(Mapping!$E$3:$E$6,MATCH($G4248,Mapping!$D$3:$D$6,0)),IFERROR(INDEX(Mapping!$B$3:$B$13,MATCH($J4248,Mapping!$A$3:$A$13,0)),"(unmapped)")),IFERROR(INDEX(Mapping!$B$17:$B$22,MATCH($F4248,Mapping!$A$17:$A$22,0)),$F4248)&amp;" "&amp;IF($G4248="Banking","Banking",IFERROR(INDEX(Mapping!$E$17:$E$28,MATCH($J4248,Mapping!$D$17:$D$28,0)),"(unmapped)")))))</f>
        <v/>
      </c>
    </row>
    <row r="4249" spans="11:11" x14ac:dyDescent="0.3">
      <c r="K4249" t="str">
        <f>IF($D4249="","",IFERROR(INDEX(Mapping!$H$3:$H$32,MATCH($B4249,Mapping!$G$3:$G$32,0)),IF(LEFT($F4249,3)="P2P",IFERROR(INDEX(Mapping!$E$3:$E$6,MATCH($G4249,Mapping!$D$3:$D$6,0)),IFERROR(INDEX(Mapping!$B$3:$B$13,MATCH($J4249,Mapping!$A$3:$A$13,0)),"(unmapped)")),IFERROR(INDEX(Mapping!$B$17:$B$22,MATCH($F4249,Mapping!$A$17:$A$22,0)),$F4249)&amp;" "&amp;IF($G4249="Banking","Banking",IFERROR(INDEX(Mapping!$E$17:$E$28,MATCH($J4249,Mapping!$D$17:$D$28,0)),"(unmapped)")))))</f>
        <v/>
      </c>
    </row>
    <row r="4250" spans="11:11" x14ac:dyDescent="0.3">
      <c r="K4250" t="str">
        <f>IF($D4250="","",IFERROR(INDEX(Mapping!$H$3:$H$32,MATCH($B4250,Mapping!$G$3:$G$32,0)),IF(LEFT($F4250,3)="P2P",IFERROR(INDEX(Mapping!$E$3:$E$6,MATCH($G4250,Mapping!$D$3:$D$6,0)),IFERROR(INDEX(Mapping!$B$3:$B$13,MATCH($J4250,Mapping!$A$3:$A$13,0)),"(unmapped)")),IFERROR(INDEX(Mapping!$B$17:$B$22,MATCH($F4250,Mapping!$A$17:$A$22,0)),$F4250)&amp;" "&amp;IF($G4250="Banking","Banking",IFERROR(INDEX(Mapping!$E$17:$E$28,MATCH($J4250,Mapping!$D$17:$D$28,0)),"(unmapped)")))))</f>
        <v/>
      </c>
    </row>
    <row r="4251" spans="11:11" x14ac:dyDescent="0.3">
      <c r="K4251" t="str">
        <f>IF($D4251="","",IFERROR(INDEX(Mapping!$H$3:$H$32,MATCH($B4251,Mapping!$G$3:$G$32,0)),IF(LEFT($F4251,3)="P2P",IFERROR(INDEX(Mapping!$E$3:$E$6,MATCH($G4251,Mapping!$D$3:$D$6,0)),IFERROR(INDEX(Mapping!$B$3:$B$13,MATCH($J4251,Mapping!$A$3:$A$13,0)),"(unmapped)")),IFERROR(INDEX(Mapping!$B$17:$B$22,MATCH($F4251,Mapping!$A$17:$A$22,0)),$F4251)&amp;" "&amp;IF($G4251="Banking","Banking",IFERROR(INDEX(Mapping!$E$17:$E$28,MATCH($J4251,Mapping!$D$17:$D$28,0)),"(unmapped)")))))</f>
        <v/>
      </c>
    </row>
    <row r="4252" spans="11:11" x14ac:dyDescent="0.3">
      <c r="K4252" t="str">
        <f>IF($D4252="","",IFERROR(INDEX(Mapping!$H$3:$H$32,MATCH($B4252,Mapping!$G$3:$G$32,0)),IF(LEFT($F4252,3)="P2P",IFERROR(INDEX(Mapping!$E$3:$E$6,MATCH($G4252,Mapping!$D$3:$D$6,0)),IFERROR(INDEX(Mapping!$B$3:$B$13,MATCH($J4252,Mapping!$A$3:$A$13,0)),"(unmapped)")),IFERROR(INDEX(Mapping!$B$17:$B$22,MATCH($F4252,Mapping!$A$17:$A$22,0)),$F4252)&amp;" "&amp;IF($G4252="Banking","Banking",IFERROR(INDEX(Mapping!$E$17:$E$28,MATCH($J4252,Mapping!$D$17:$D$28,0)),"(unmapped)")))))</f>
        <v/>
      </c>
    </row>
    <row r="4253" spans="11:11" x14ac:dyDescent="0.3">
      <c r="K4253" t="str">
        <f>IF($D4253="","",IFERROR(INDEX(Mapping!$H$3:$H$32,MATCH($B4253,Mapping!$G$3:$G$32,0)),IF(LEFT($F4253,3)="P2P",IFERROR(INDEX(Mapping!$E$3:$E$6,MATCH($G4253,Mapping!$D$3:$D$6,0)),IFERROR(INDEX(Mapping!$B$3:$B$13,MATCH($J4253,Mapping!$A$3:$A$13,0)),"(unmapped)")),IFERROR(INDEX(Mapping!$B$17:$B$22,MATCH($F4253,Mapping!$A$17:$A$22,0)),$F4253)&amp;" "&amp;IF($G4253="Banking","Banking",IFERROR(INDEX(Mapping!$E$17:$E$28,MATCH($J4253,Mapping!$D$17:$D$28,0)),"(unmapped)")))))</f>
        <v/>
      </c>
    </row>
    <row r="4254" spans="11:11" x14ac:dyDescent="0.3">
      <c r="K4254" t="str">
        <f>IF($D4254="","",IFERROR(INDEX(Mapping!$H$3:$H$32,MATCH($B4254,Mapping!$G$3:$G$32,0)),IF(LEFT($F4254,3)="P2P",IFERROR(INDEX(Mapping!$E$3:$E$6,MATCH($G4254,Mapping!$D$3:$D$6,0)),IFERROR(INDEX(Mapping!$B$3:$B$13,MATCH($J4254,Mapping!$A$3:$A$13,0)),"(unmapped)")),IFERROR(INDEX(Mapping!$B$17:$B$22,MATCH($F4254,Mapping!$A$17:$A$22,0)),$F4254)&amp;" "&amp;IF($G4254="Banking","Banking",IFERROR(INDEX(Mapping!$E$17:$E$28,MATCH($J4254,Mapping!$D$17:$D$28,0)),"(unmapped)")))))</f>
        <v/>
      </c>
    </row>
    <row r="4255" spans="11:11" x14ac:dyDescent="0.3">
      <c r="K4255" t="str">
        <f>IF($D4255="","",IFERROR(INDEX(Mapping!$H$3:$H$32,MATCH($B4255,Mapping!$G$3:$G$32,0)),IF(LEFT($F4255,3)="P2P",IFERROR(INDEX(Mapping!$E$3:$E$6,MATCH($G4255,Mapping!$D$3:$D$6,0)),IFERROR(INDEX(Mapping!$B$3:$B$13,MATCH($J4255,Mapping!$A$3:$A$13,0)),"(unmapped)")),IFERROR(INDEX(Mapping!$B$17:$B$22,MATCH($F4255,Mapping!$A$17:$A$22,0)),$F4255)&amp;" "&amp;IF($G4255="Banking","Banking",IFERROR(INDEX(Mapping!$E$17:$E$28,MATCH($J4255,Mapping!$D$17:$D$28,0)),"(unmapped)")))))</f>
        <v/>
      </c>
    </row>
    <row r="4256" spans="11:11" x14ac:dyDescent="0.3">
      <c r="K4256" t="str">
        <f>IF($D4256="","",IFERROR(INDEX(Mapping!$H$3:$H$32,MATCH($B4256,Mapping!$G$3:$G$32,0)),IF(LEFT($F4256,3)="P2P",IFERROR(INDEX(Mapping!$E$3:$E$6,MATCH($G4256,Mapping!$D$3:$D$6,0)),IFERROR(INDEX(Mapping!$B$3:$B$13,MATCH($J4256,Mapping!$A$3:$A$13,0)),"(unmapped)")),IFERROR(INDEX(Mapping!$B$17:$B$22,MATCH($F4256,Mapping!$A$17:$A$22,0)),$F4256)&amp;" "&amp;IF($G4256="Banking","Banking",IFERROR(INDEX(Mapping!$E$17:$E$28,MATCH($J4256,Mapping!$D$17:$D$28,0)),"(unmapped)")))))</f>
        <v/>
      </c>
    </row>
    <row r="4257" spans="11:11" x14ac:dyDescent="0.3">
      <c r="K4257" t="str">
        <f>IF($D4257="","",IFERROR(INDEX(Mapping!$H$3:$H$32,MATCH($B4257,Mapping!$G$3:$G$32,0)),IF(LEFT($F4257,3)="P2P",IFERROR(INDEX(Mapping!$E$3:$E$6,MATCH($G4257,Mapping!$D$3:$D$6,0)),IFERROR(INDEX(Mapping!$B$3:$B$13,MATCH($J4257,Mapping!$A$3:$A$13,0)),"(unmapped)")),IFERROR(INDEX(Mapping!$B$17:$B$22,MATCH($F4257,Mapping!$A$17:$A$22,0)),$F4257)&amp;" "&amp;IF($G4257="Banking","Banking",IFERROR(INDEX(Mapping!$E$17:$E$28,MATCH($J4257,Mapping!$D$17:$D$28,0)),"(unmapped)")))))</f>
        <v/>
      </c>
    </row>
    <row r="4258" spans="11:11" x14ac:dyDescent="0.3">
      <c r="K4258" t="str">
        <f>IF($D4258="","",IFERROR(INDEX(Mapping!$H$3:$H$32,MATCH($B4258,Mapping!$G$3:$G$32,0)),IF(LEFT($F4258,3)="P2P",IFERROR(INDEX(Mapping!$E$3:$E$6,MATCH($G4258,Mapping!$D$3:$D$6,0)),IFERROR(INDEX(Mapping!$B$3:$B$13,MATCH($J4258,Mapping!$A$3:$A$13,0)),"(unmapped)")),IFERROR(INDEX(Mapping!$B$17:$B$22,MATCH($F4258,Mapping!$A$17:$A$22,0)),$F4258)&amp;" "&amp;IF($G4258="Banking","Banking",IFERROR(INDEX(Mapping!$E$17:$E$28,MATCH($J4258,Mapping!$D$17:$D$28,0)),"(unmapped)")))))</f>
        <v/>
      </c>
    </row>
    <row r="4259" spans="11:11" x14ac:dyDescent="0.3">
      <c r="K4259" t="str">
        <f>IF($D4259="","",IFERROR(INDEX(Mapping!$H$3:$H$32,MATCH($B4259,Mapping!$G$3:$G$32,0)),IF(LEFT($F4259,3)="P2P",IFERROR(INDEX(Mapping!$E$3:$E$6,MATCH($G4259,Mapping!$D$3:$D$6,0)),IFERROR(INDEX(Mapping!$B$3:$B$13,MATCH($J4259,Mapping!$A$3:$A$13,0)),"(unmapped)")),IFERROR(INDEX(Mapping!$B$17:$B$22,MATCH($F4259,Mapping!$A$17:$A$22,0)),$F4259)&amp;" "&amp;IF($G4259="Banking","Banking",IFERROR(INDEX(Mapping!$E$17:$E$28,MATCH($J4259,Mapping!$D$17:$D$28,0)),"(unmapped)")))))</f>
        <v/>
      </c>
    </row>
    <row r="4260" spans="11:11" x14ac:dyDescent="0.3">
      <c r="K4260" t="str">
        <f>IF($D4260="","",IFERROR(INDEX(Mapping!$H$3:$H$32,MATCH($B4260,Mapping!$G$3:$G$32,0)),IF(LEFT($F4260,3)="P2P",IFERROR(INDEX(Mapping!$E$3:$E$6,MATCH($G4260,Mapping!$D$3:$D$6,0)),IFERROR(INDEX(Mapping!$B$3:$B$13,MATCH($J4260,Mapping!$A$3:$A$13,0)),"(unmapped)")),IFERROR(INDEX(Mapping!$B$17:$B$22,MATCH($F4260,Mapping!$A$17:$A$22,0)),$F4260)&amp;" "&amp;IF($G4260="Banking","Banking",IFERROR(INDEX(Mapping!$E$17:$E$28,MATCH($J4260,Mapping!$D$17:$D$28,0)),"(unmapped)")))))</f>
        <v/>
      </c>
    </row>
    <row r="4261" spans="11:11" x14ac:dyDescent="0.3">
      <c r="K4261" t="str">
        <f>IF($D4261="","",IFERROR(INDEX(Mapping!$H$3:$H$32,MATCH($B4261,Mapping!$G$3:$G$32,0)),IF(LEFT($F4261,3)="P2P",IFERROR(INDEX(Mapping!$E$3:$E$6,MATCH($G4261,Mapping!$D$3:$D$6,0)),IFERROR(INDEX(Mapping!$B$3:$B$13,MATCH($J4261,Mapping!$A$3:$A$13,0)),"(unmapped)")),IFERROR(INDEX(Mapping!$B$17:$B$22,MATCH($F4261,Mapping!$A$17:$A$22,0)),$F4261)&amp;" "&amp;IF($G4261="Banking","Banking",IFERROR(INDEX(Mapping!$E$17:$E$28,MATCH($J4261,Mapping!$D$17:$D$28,0)),"(unmapped)")))))</f>
        <v/>
      </c>
    </row>
    <row r="4262" spans="11:11" x14ac:dyDescent="0.3">
      <c r="K4262" t="str">
        <f>IF($D4262="","",IFERROR(INDEX(Mapping!$H$3:$H$32,MATCH($B4262,Mapping!$G$3:$G$32,0)),IF(LEFT($F4262,3)="P2P",IFERROR(INDEX(Mapping!$E$3:$E$6,MATCH($G4262,Mapping!$D$3:$D$6,0)),IFERROR(INDEX(Mapping!$B$3:$B$13,MATCH($J4262,Mapping!$A$3:$A$13,0)),"(unmapped)")),IFERROR(INDEX(Mapping!$B$17:$B$22,MATCH($F4262,Mapping!$A$17:$A$22,0)),$F4262)&amp;" "&amp;IF($G4262="Banking","Banking",IFERROR(INDEX(Mapping!$E$17:$E$28,MATCH($J4262,Mapping!$D$17:$D$28,0)),"(unmapped)")))))</f>
        <v/>
      </c>
    </row>
    <row r="4263" spans="11:11" x14ac:dyDescent="0.3">
      <c r="K4263" t="str">
        <f>IF($D4263="","",IFERROR(INDEX(Mapping!$H$3:$H$32,MATCH($B4263,Mapping!$G$3:$G$32,0)),IF(LEFT($F4263,3)="P2P",IFERROR(INDEX(Mapping!$E$3:$E$6,MATCH($G4263,Mapping!$D$3:$D$6,0)),IFERROR(INDEX(Mapping!$B$3:$B$13,MATCH($J4263,Mapping!$A$3:$A$13,0)),"(unmapped)")),IFERROR(INDEX(Mapping!$B$17:$B$22,MATCH($F4263,Mapping!$A$17:$A$22,0)),$F4263)&amp;" "&amp;IF($G4263="Banking","Banking",IFERROR(INDEX(Mapping!$E$17:$E$28,MATCH($J4263,Mapping!$D$17:$D$28,0)),"(unmapped)")))))</f>
        <v/>
      </c>
    </row>
    <row r="4264" spans="11:11" x14ac:dyDescent="0.3">
      <c r="K4264" t="str">
        <f>IF($D4264="","",IFERROR(INDEX(Mapping!$H$3:$H$32,MATCH($B4264,Mapping!$G$3:$G$32,0)),IF(LEFT($F4264,3)="P2P",IFERROR(INDEX(Mapping!$E$3:$E$6,MATCH($G4264,Mapping!$D$3:$D$6,0)),IFERROR(INDEX(Mapping!$B$3:$B$13,MATCH($J4264,Mapping!$A$3:$A$13,0)),"(unmapped)")),IFERROR(INDEX(Mapping!$B$17:$B$22,MATCH($F4264,Mapping!$A$17:$A$22,0)),$F4264)&amp;" "&amp;IF($G4264="Banking","Banking",IFERROR(INDEX(Mapping!$E$17:$E$28,MATCH($J4264,Mapping!$D$17:$D$28,0)),"(unmapped)")))))</f>
        <v/>
      </c>
    </row>
    <row r="4265" spans="11:11" x14ac:dyDescent="0.3">
      <c r="K4265" t="str">
        <f>IF($D4265="","",IFERROR(INDEX(Mapping!$H$3:$H$32,MATCH($B4265,Mapping!$G$3:$G$32,0)),IF(LEFT($F4265,3)="P2P",IFERROR(INDEX(Mapping!$E$3:$E$6,MATCH($G4265,Mapping!$D$3:$D$6,0)),IFERROR(INDEX(Mapping!$B$3:$B$13,MATCH($J4265,Mapping!$A$3:$A$13,0)),"(unmapped)")),IFERROR(INDEX(Mapping!$B$17:$B$22,MATCH($F4265,Mapping!$A$17:$A$22,0)),$F4265)&amp;" "&amp;IF($G4265="Banking","Banking",IFERROR(INDEX(Mapping!$E$17:$E$28,MATCH($J4265,Mapping!$D$17:$D$28,0)),"(unmapped)")))))</f>
        <v/>
      </c>
    </row>
    <row r="4266" spans="11:11" x14ac:dyDescent="0.3">
      <c r="K4266" t="str">
        <f>IF($D4266="","",IFERROR(INDEX(Mapping!$H$3:$H$32,MATCH($B4266,Mapping!$G$3:$G$32,0)),IF(LEFT($F4266,3)="P2P",IFERROR(INDEX(Mapping!$E$3:$E$6,MATCH($G4266,Mapping!$D$3:$D$6,0)),IFERROR(INDEX(Mapping!$B$3:$B$13,MATCH($J4266,Mapping!$A$3:$A$13,0)),"(unmapped)")),IFERROR(INDEX(Mapping!$B$17:$B$22,MATCH($F4266,Mapping!$A$17:$A$22,0)),$F4266)&amp;" "&amp;IF($G4266="Banking","Banking",IFERROR(INDEX(Mapping!$E$17:$E$28,MATCH($J4266,Mapping!$D$17:$D$28,0)),"(unmapped)")))))</f>
        <v/>
      </c>
    </row>
    <row r="4267" spans="11:11" x14ac:dyDescent="0.3">
      <c r="K4267" t="str">
        <f>IF($D4267="","",IFERROR(INDEX(Mapping!$H$3:$H$32,MATCH($B4267,Mapping!$G$3:$G$32,0)),IF(LEFT($F4267,3)="P2P",IFERROR(INDEX(Mapping!$E$3:$E$6,MATCH($G4267,Mapping!$D$3:$D$6,0)),IFERROR(INDEX(Mapping!$B$3:$B$13,MATCH($J4267,Mapping!$A$3:$A$13,0)),"(unmapped)")),IFERROR(INDEX(Mapping!$B$17:$B$22,MATCH($F4267,Mapping!$A$17:$A$22,0)),$F4267)&amp;" "&amp;IF($G4267="Banking","Banking",IFERROR(INDEX(Mapping!$E$17:$E$28,MATCH($J4267,Mapping!$D$17:$D$28,0)),"(unmapped)")))))</f>
        <v/>
      </c>
    </row>
    <row r="4268" spans="11:11" x14ac:dyDescent="0.3">
      <c r="K4268" t="str">
        <f>IF($D4268="","",IFERROR(INDEX(Mapping!$H$3:$H$32,MATCH($B4268,Mapping!$G$3:$G$32,0)),IF(LEFT($F4268,3)="P2P",IFERROR(INDEX(Mapping!$E$3:$E$6,MATCH($G4268,Mapping!$D$3:$D$6,0)),IFERROR(INDEX(Mapping!$B$3:$B$13,MATCH($J4268,Mapping!$A$3:$A$13,0)),"(unmapped)")),IFERROR(INDEX(Mapping!$B$17:$B$22,MATCH($F4268,Mapping!$A$17:$A$22,0)),$F4268)&amp;" "&amp;IF($G4268="Banking","Banking",IFERROR(INDEX(Mapping!$E$17:$E$28,MATCH($J4268,Mapping!$D$17:$D$28,0)),"(unmapped)")))))</f>
        <v/>
      </c>
    </row>
    <row r="4269" spans="11:11" x14ac:dyDescent="0.3">
      <c r="K4269" t="str">
        <f>IF($D4269="","",IFERROR(INDEX(Mapping!$H$3:$H$32,MATCH($B4269,Mapping!$G$3:$G$32,0)),IF(LEFT($F4269,3)="P2P",IFERROR(INDEX(Mapping!$E$3:$E$6,MATCH($G4269,Mapping!$D$3:$D$6,0)),IFERROR(INDEX(Mapping!$B$3:$B$13,MATCH($J4269,Mapping!$A$3:$A$13,0)),"(unmapped)")),IFERROR(INDEX(Mapping!$B$17:$B$22,MATCH($F4269,Mapping!$A$17:$A$22,0)),$F4269)&amp;" "&amp;IF($G4269="Banking","Banking",IFERROR(INDEX(Mapping!$E$17:$E$28,MATCH($J4269,Mapping!$D$17:$D$28,0)),"(unmapped)")))))</f>
        <v/>
      </c>
    </row>
    <row r="4270" spans="11:11" x14ac:dyDescent="0.3">
      <c r="K4270" t="str">
        <f>IF($D4270="","",IFERROR(INDEX(Mapping!$H$3:$H$32,MATCH($B4270,Mapping!$G$3:$G$32,0)),IF(LEFT($F4270,3)="P2P",IFERROR(INDEX(Mapping!$E$3:$E$6,MATCH($G4270,Mapping!$D$3:$D$6,0)),IFERROR(INDEX(Mapping!$B$3:$B$13,MATCH($J4270,Mapping!$A$3:$A$13,0)),"(unmapped)")),IFERROR(INDEX(Mapping!$B$17:$B$22,MATCH($F4270,Mapping!$A$17:$A$22,0)),$F4270)&amp;" "&amp;IF($G4270="Banking","Banking",IFERROR(INDEX(Mapping!$E$17:$E$28,MATCH($J4270,Mapping!$D$17:$D$28,0)),"(unmapped)")))))</f>
        <v/>
      </c>
    </row>
    <row r="4271" spans="11:11" x14ac:dyDescent="0.3">
      <c r="K4271" t="str">
        <f>IF($D4271="","",IFERROR(INDEX(Mapping!$H$3:$H$32,MATCH($B4271,Mapping!$G$3:$G$32,0)),IF(LEFT($F4271,3)="P2P",IFERROR(INDEX(Mapping!$E$3:$E$6,MATCH($G4271,Mapping!$D$3:$D$6,0)),IFERROR(INDEX(Mapping!$B$3:$B$13,MATCH($J4271,Mapping!$A$3:$A$13,0)),"(unmapped)")),IFERROR(INDEX(Mapping!$B$17:$B$22,MATCH($F4271,Mapping!$A$17:$A$22,0)),$F4271)&amp;" "&amp;IF($G4271="Banking","Banking",IFERROR(INDEX(Mapping!$E$17:$E$28,MATCH($J4271,Mapping!$D$17:$D$28,0)),"(unmapped)")))))</f>
        <v/>
      </c>
    </row>
    <row r="4272" spans="11:11" x14ac:dyDescent="0.3">
      <c r="K4272" t="str">
        <f>IF($D4272="","",IFERROR(INDEX(Mapping!$H$3:$H$32,MATCH($B4272,Mapping!$G$3:$G$32,0)),IF(LEFT($F4272,3)="P2P",IFERROR(INDEX(Mapping!$E$3:$E$6,MATCH($G4272,Mapping!$D$3:$D$6,0)),IFERROR(INDEX(Mapping!$B$3:$B$13,MATCH($J4272,Mapping!$A$3:$A$13,0)),"(unmapped)")),IFERROR(INDEX(Mapping!$B$17:$B$22,MATCH($F4272,Mapping!$A$17:$A$22,0)),$F4272)&amp;" "&amp;IF($G4272="Banking","Banking",IFERROR(INDEX(Mapping!$E$17:$E$28,MATCH($J4272,Mapping!$D$17:$D$28,0)),"(unmapped)")))))</f>
        <v/>
      </c>
    </row>
    <row r="4273" spans="11:11" x14ac:dyDescent="0.3">
      <c r="K4273" t="str">
        <f>IF($D4273="","",IFERROR(INDEX(Mapping!$H$3:$H$32,MATCH($B4273,Mapping!$G$3:$G$32,0)),IF(LEFT($F4273,3)="P2P",IFERROR(INDEX(Mapping!$E$3:$E$6,MATCH($G4273,Mapping!$D$3:$D$6,0)),IFERROR(INDEX(Mapping!$B$3:$B$13,MATCH($J4273,Mapping!$A$3:$A$13,0)),"(unmapped)")),IFERROR(INDEX(Mapping!$B$17:$B$22,MATCH($F4273,Mapping!$A$17:$A$22,0)),$F4273)&amp;" "&amp;IF($G4273="Banking","Banking",IFERROR(INDEX(Mapping!$E$17:$E$28,MATCH($J4273,Mapping!$D$17:$D$28,0)),"(unmapped)")))))</f>
        <v/>
      </c>
    </row>
    <row r="4274" spans="11:11" x14ac:dyDescent="0.3">
      <c r="K4274" t="str">
        <f>IF($D4274="","",IFERROR(INDEX(Mapping!$H$3:$H$32,MATCH($B4274,Mapping!$G$3:$G$32,0)),IF(LEFT($F4274,3)="P2P",IFERROR(INDEX(Mapping!$E$3:$E$6,MATCH($G4274,Mapping!$D$3:$D$6,0)),IFERROR(INDEX(Mapping!$B$3:$B$13,MATCH($J4274,Mapping!$A$3:$A$13,0)),"(unmapped)")),IFERROR(INDEX(Mapping!$B$17:$B$22,MATCH($F4274,Mapping!$A$17:$A$22,0)),$F4274)&amp;" "&amp;IF($G4274="Banking","Banking",IFERROR(INDEX(Mapping!$E$17:$E$28,MATCH($J4274,Mapping!$D$17:$D$28,0)),"(unmapped)")))))</f>
        <v/>
      </c>
    </row>
    <row r="4275" spans="11:11" x14ac:dyDescent="0.3">
      <c r="K4275" t="str">
        <f>IF($D4275="","",IFERROR(INDEX(Mapping!$H$3:$H$32,MATCH($B4275,Mapping!$G$3:$G$32,0)),IF(LEFT($F4275,3)="P2P",IFERROR(INDEX(Mapping!$E$3:$E$6,MATCH($G4275,Mapping!$D$3:$D$6,0)),IFERROR(INDEX(Mapping!$B$3:$B$13,MATCH($J4275,Mapping!$A$3:$A$13,0)),"(unmapped)")),IFERROR(INDEX(Mapping!$B$17:$B$22,MATCH($F4275,Mapping!$A$17:$A$22,0)),$F4275)&amp;" "&amp;IF($G4275="Banking","Banking",IFERROR(INDEX(Mapping!$E$17:$E$28,MATCH($J4275,Mapping!$D$17:$D$28,0)),"(unmapped)")))))</f>
        <v/>
      </c>
    </row>
    <row r="4276" spans="11:11" x14ac:dyDescent="0.3">
      <c r="K4276" t="str">
        <f>IF($D4276="","",IFERROR(INDEX(Mapping!$H$3:$H$32,MATCH($B4276,Mapping!$G$3:$G$32,0)),IF(LEFT($F4276,3)="P2P",IFERROR(INDEX(Mapping!$E$3:$E$6,MATCH($G4276,Mapping!$D$3:$D$6,0)),IFERROR(INDEX(Mapping!$B$3:$B$13,MATCH($J4276,Mapping!$A$3:$A$13,0)),"(unmapped)")),IFERROR(INDEX(Mapping!$B$17:$B$22,MATCH($F4276,Mapping!$A$17:$A$22,0)),$F4276)&amp;" "&amp;IF($G4276="Banking","Banking",IFERROR(INDEX(Mapping!$E$17:$E$28,MATCH($J4276,Mapping!$D$17:$D$28,0)),"(unmapped)")))))</f>
        <v/>
      </c>
    </row>
    <row r="4277" spans="11:11" x14ac:dyDescent="0.3">
      <c r="K4277" t="str">
        <f>IF($D4277="","",IFERROR(INDEX(Mapping!$H$3:$H$32,MATCH($B4277,Mapping!$G$3:$G$32,0)),IF(LEFT($F4277,3)="P2P",IFERROR(INDEX(Mapping!$E$3:$E$6,MATCH($G4277,Mapping!$D$3:$D$6,0)),IFERROR(INDEX(Mapping!$B$3:$B$13,MATCH($J4277,Mapping!$A$3:$A$13,0)),"(unmapped)")),IFERROR(INDEX(Mapping!$B$17:$B$22,MATCH($F4277,Mapping!$A$17:$A$22,0)),$F4277)&amp;" "&amp;IF($G4277="Banking","Banking",IFERROR(INDEX(Mapping!$E$17:$E$28,MATCH($J4277,Mapping!$D$17:$D$28,0)),"(unmapped)")))))</f>
        <v/>
      </c>
    </row>
    <row r="4278" spans="11:11" x14ac:dyDescent="0.3">
      <c r="K4278" t="str">
        <f>IF($D4278="","",IFERROR(INDEX(Mapping!$H$3:$H$32,MATCH($B4278,Mapping!$G$3:$G$32,0)),IF(LEFT($F4278,3)="P2P",IFERROR(INDEX(Mapping!$E$3:$E$6,MATCH($G4278,Mapping!$D$3:$D$6,0)),IFERROR(INDEX(Mapping!$B$3:$B$13,MATCH($J4278,Mapping!$A$3:$A$13,0)),"(unmapped)")),IFERROR(INDEX(Mapping!$B$17:$B$22,MATCH($F4278,Mapping!$A$17:$A$22,0)),$F4278)&amp;" "&amp;IF($G4278="Banking","Banking",IFERROR(INDEX(Mapping!$E$17:$E$28,MATCH($J4278,Mapping!$D$17:$D$28,0)),"(unmapped)")))))</f>
        <v/>
      </c>
    </row>
    <row r="4279" spans="11:11" x14ac:dyDescent="0.3">
      <c r="K4279" t="str">
        <f>IF($D4279="","",IFERROR(INDEX(Mapping!$H$3:$H$32,MATCH($B4279,Mapping!$G$3:$G$32,0)),IF(LEFT($F4279,3)="P2P",IFERROR(INDEX(Mapping!$E$3:$E$6,MATCH($G4279,Mapping!$D$3:$D$6,0)),IFERROR(INDEX(Mapping!$B$3:$B$13,MATCH($J4279,Mapping!$A$3:$A$13,0)),"(unmapped)")),IFERROR(INDEX(Mapping!$B$17:$B$22,MATCH($F4279,Mapping!$A$17:$A$22,0)),$F4279)&amp;" "&amp;IF($G4279="Banking","Banking",IFERROR(INDEX(Mapping!$E$17:$E$28,MATCH($J4279,Mapping!$D$17:$D$28,0)),"(unmapped)")))))</f>
        <v/>
      </c>
    </row>
    <row r="4280" spans="11:11" x14ac:dyDescent="0.3">
      <c r="K4280" t="str">
        <f>IF($D4280="","",IFERROR(INDEX(Mapping!$H$3:$H$32,MATCH($B4280,Mapping!$G$3:$G$32,0)),IF(LEFT($F4280,3)="P2P",IFERROR(INDEX(Mapping!$E$3:$E$6,MATCH($G4280,Mapping!$D$3:$D$6,0)),IFERROR(INDEX(Mapping!$B$3:$B$13,MATCH($J4280,Mapping!$A$3:$A$13,0)),"(unmapped)")),IFERROR(INDEX(Mapping!$B$17:$B$22,MATCH($F4280,Mapping!$A$17:$A$22,0)),$F4280)&amp;" "&amp;IF($G4280="Banking","Banking",IFERROR(INDEX(Mapping!$E$17:$E$28,MATCH($J4280,Mapping!$D$17:$D$28,0)),"(unmapped)")))))</f>
        <v/>
      </c>
    </row>
    <row r="4281" spans="11:11" x14ac:dyDescent="0.3">
      <c r="K4281" t="str">
        <f>IF($D4281="","",IFERROR(INDEX(Mapping!$H$3:$H$32,MATCH($B4281,Mapping!$G$3:$G$32,0)),IF(LEFT($F4281,3)="P2P",IFERROR(INDEX(Mapping!$E$3:$E$6,MATCH($G4281,Mapping!$D$3:$D$6,0)),IFERROR(INDEX(Mapping!$B$3:$B$13,MATCH($J4281,Mapping!$A$3:$A$13,0)),"(unmapped)")),IFERROR(INDEX(Mapping!$B$17:$B$22,MATCH($F4281,Mapping!$A$17:$A$22,0)),$F4281)&amp;" "&amp;IF($G4281="Banking","Banking",IFERROR(INDEX(Mapping!$E$17:$E$28,MATCH($J4281,Mapping!$D$17:$D$28,0)),"(unmapped)")))))</f>
        <v/>
      </c>
    </row>
    <row r="4282" spans="11:11" x14ac:dyDescent="0.3">
      <c r="K4282" t="str">
        <f>IF($D4282="","",IFERROR(INDEX(Mapping!$H$3:$H$32,MATCH($B4282,Mapping!$G$3:$G$32,0)),IF(LEFT($F4282,3)="P2P",IFERROR(INDEX(Mapping!$E$3:$E$6,MATCH($G4282,Mapping!$D$3:$D$6,0)),IFERROR(INDEX(Mapping!$B$3:$B$13,MATCH($J4282,Mapping!$A$3:$A$13,0)),"(unmapped)")),IFERROR(INDEX(Mapping!$B$17:$B$22,MATCH($F4282,Mapping!$A$17:$A$22,0)),$F4282)&amp;" "&amp;IF($G4282="Banking","Banking",IFERROR(INDEX(Mapping!$E$17:$E$28,MATCH($J4282,Mapping!$D$17:$D$28,0)),"(unmapped)")))))</f>
        <v/>
      </c>
    </row>
    <row r="4283" spans="11:11" x14ac:dyDescent="0.3">
      <c r="K4283" t="str">
        <f>IF($D4283="","",IFERROR(INDEX(Mapping!$H$3:$H$32,MATCH($B4283,Mapping!$G$3:$G$32,0)),IF(LEFT($F4283,3)="P2P",IFERROR(INDEX(Mapping!$E$3:$E$6,MATCH($G4283,Mapping!$D$3:$D$6,0)),IFERROR(INDEX(Mapping!$B$3:$B$13,MATCH($J4283,Mapping!$A$3:$A$13,0)),"(unmapped)")),IFERROR(INDEX(Mapping!$B$17:$B$22,MATCH($F4283,Mapping!$A$17:$A$22,0)),$F4283)&amp;" "&amp;IF($G4283="Banking","Banking",IFERROR(INDEX(Mapping!$E$17:$E$28,MATCH($J4283,Mapping!$D$17:$D$28,0)),"(unmapped)")))))</f>
        <v/>
      </c>
    </row>
    <row r="4284" spans="11:11" x14ac:dyDescent="0.3">
      <c r="K4284" t="str">
        <f>IF($D4284="","",IFERROR(INDEX(Mapping!$H$3:$H$32,MATCH($B4284,Mapping!$G$3:$G$32,0)),IF(LEFT($F4284,3)="P2P",IFERROR(INDEX(Mapping!$E$3:$E$6,MATCH($G4284,Mapping!$D$3:$D$6,0)),IFERROR(INDEX(Mapping!$B$3:$B$13,MATCH($J4284,Mapping!$A$3:$A$13,0)),"(unmapped)")),IFERROR(INDEX(Mapping!$B$17:$B$22,MATCH($F4284,Mapping!$A$17:$A$22,0)),$F4284)&amp;" "&amp;IF($G4284="Banking","Banking",IFERROR(INDEX(Mapping!$E$17:$E$28,MATCH($J4284,Mapping!$D$17:$D$28,0)),"(unmapped)")))))</f>
        <v/>
      </c>
    </row>
    <row r="4285" spans="11:11" x14ac:dyDescent="0.3">
      <c r="K4285" t="str">
        <f>IF($D4285="","",IFERROR(INDEX(Mapping!$H$3:$H$32,MATCH($B4285,Mapping!$G$3:$G$32,0)),IF(LEFT($F4285,3)="P2P",IFERROR(INDEX(Mapping!$E$3:$E$6,MATCH($G4285,Mapping!$D$3:$D$6,0)),IFERROR(INDEX(Mapping!$B$3:$B$13,MATCH($J4285,Mapping!$A$3:$A$13,0)),"(unmapped)")),IFERROR(INDEX(Mapping!$B$17:$B$22,MATCH($F4285,Mapping!$A$17:$A$22,0)),$F4285)&amp;" "&amp;IF($G4285="Banking","Banking",IFERROR(INDEX(Mapping!$E$17:$E$28,MATCH($J4285,Mapping!$D$17:$D$28,0)),"(unmapped)")))))</f>
        <v/>
      </c>
    </row>
    <row r="4286" spans="11:11" x14ac:dyDescent="0.3">
      <c r="K4286" t="str">
        <f>IF($D4286="","",IFERROR(INDEX(Mapping!$H$3:$H$32,MATCH($B4286,Mapping!$G$3:$G$32,0)),IF(LEFT($F4286,3)="P2P",IFERROR(INDEX(Mapping!$E$3:$E$6,MATCH($G4286,Mapping!$D$3:$D$6,0)),IFERROR(INDEX(Mapping!$B$3:$B$13,MATCH($J4286,Mapping!$A$3:$A$13,0)),"(unmapped)")),IFERROR(INDEX(Mapping!$B$17:$B$22,MATCH($F4286,Mapping!$A$17:$A$22,0)),$F4286)&amp;" "&amp;IF($G4286="Banking","Banking",IFERROR(INDEX(Mapping!$E$17:$E$28,MATCH($J4286,Mapping!$D$17:$D$28,0)),"(unmapped)")))))</f>
        <v/>
      </c>
    </row>
    <row r="4287" spans="11:11" x14ac:dyDescent="0.3">
      <c r="K4287" t="str">
        <f>IF($D4287="","",IFERROR(INDEX(Mapping!$H$3:$H$32,MATCH($B4287,Mapping!$G$3:$G$32,0)),IF(LEFT($F4287,3)="P2P",IFERROR(INDEX(Mapping!$E$3:$E$6,MATCH($G4287,Mapping!$D$3:$D$6,0)),IFERROR(INDEX(Mapping!$B$3:$B$13,MATCH($J4287,Mapping!$A$3:$A$13,0)),"(unmapped)")),IFERROR(INDEX(Mapping!$B$17:$B$22,MATCH($F4287,Mapping!$A$17:$A$22,0)),$F4287)&amp;" "&amp;IF($G4287="Banking","Banking",IFERROR(INDEX(Mapping!$E$17:$E$28,MATCH($J4287,Mapping!$D$17:$D$28,0)),"(unmapped)")))))</f>
        <v/>
      </c>
    </row>
    <row r="4288" spans="11:11" x14ac:dyDescent="0.3">
      <c r="K4288" t="str">
        <f>IF($D4288="","",IFERROR(INDEX(Mapping!$H$3:$H$32,MATCH($B4288,Mapping!$G$3:$G$32,0)),IF(LEFT($F4288,3)="P2P",IFERROR(INDEX(Mapping!$E$3:$E$6,MATCH($G4288,Mapping!$D$3:$D$6,0)),IFERROR(INDEX(Mapping!$B$3:$B$13,MATCH($J4288,Mapping!$A$3:$A$13,0)),"(unmapped)")),IFERROR(INDEX(Mapping!$B$17:$B$22,MATCH($F4288,Mapping!$A$17:$A$22,0)),$F4288)&amp;" "&amp;IF($G4288="Banking","Banking",IFERROR(INDEX(Mapping!$E$17:$E$28,MATCH($J4288,Mapping!$D$17:$D$28,0)),"(unmapped)")))))</f>
        <v/>
      </c>
    </row>
    <row r="4289" spans="11:11" x14ac:dyDescent="0.3">
      <c r="K4289" t="str">
        <f>IF($D4289="","",IFERROR(INDEX(Mapping!$H$3:$H$32,MATCH($B4289,Mapping!$G$3:$G$32,0)),IF(LEFT($F4289,3)="P2P",IFERROR(INDEX(Mapping!$E$3:$E$6,MATCH($G4289,Mapping!$D$3:$D$6,0)),IFERROR(INDEX(Mapping!$B$3:$B$13,MATCH($J4289,Mapping!$A$3:$A$13,0)),"(unmapped)")),IFERROR(INDEX(Mapping!$B$17:$B$22,MATCH($F4289,Mapping!$A$17:$A$22,0)),$F4289)&amp;" "&amp;IF($G4289="Banking","Banking",IFERROR(INDEX(Mapping!$E$17:$E$28,MATCH($J4289,Mapping!$D$17:$D$28,0)),"(unmapped)")))))</f>
        <v/>
      </c>
    </row>
    <row r="4290" spans="11:11" x14ac:dyDescent="0.3">
      <c r="K4290" t="str">
        <f>IF($D4290="","",IFERROR(INDEX(Mapping!$H$3:$H$32,MATCH($B4290,Mapping!$G$3:$G$32,0)),IF(LEFT($F4290,3)="P2P",IFERROR(INDEX(Mapping!$E$3:$E$6,MATCH($G4290,Mapping!$D$3:$D$6,0)),IFERROR(INDEX(Mapping!$B$3:$B$13,MATCH($J4290,Mapping!$A$3:$A$13,0)),"(unmapped)")),IFERROR(INDEX(Mapping!$B$17:$B$22,MATCH($F4290,Mapping!$A$17:$A$22,0)),$F4290)&amp;" "&amp;IF($G4290="Banking","Banking",IFERROR(INDEX(Mapping!$E$17:$E$28,MATCH($J4290,Mapping!$D$17:$D$28,0)),"(unmapped)")))))</f>
        <v/>
      </c>
    </row>
    <row r="4291" spans="11:11" x14ac:dyDescent="0.3">
      <c r="K4291" t="str">
        <f>IF($D4291="","",IFERROR(INDEX(Mapping!$H$3:$H$32,MATCH($B4291,Mapping!$G$3:$G$32,0)),IF(LEFT($F4291,3)="P2P",IFERROR(INDEX(Mapping!$E$3:$E$6,MATCH($G4291,Mapping!$D$3:$D$6,0)),IFERROR(INDEX(Mapping!$B$3:$B$13,MATCH($J4291,Mapping!$A$3:$A$13,0)),"(unmapped)")),IFERROR(INDEX(Mapping!$B$17:$B$22,MATCH($F4291,Mapping!$A$17:$A$22,0)),$F4291)&amp;" "&amp;IF($G4291="Banking","Banking",IFERROR(INDEX(Mapping!$E$17:$E$28,MATCH($J4291,Mapping!$D$17:$D$28,0)),"(unmapped)")))))</f>
        <v/>
      </c>
    </row>
    <row r="4292" spans="11:11" x14ac:dyDescent="0.3">
      <c r="K4292" t="str">
        <f>IF($D4292="","",IFERROR(INDEX(Mapping!$H$3:$H$32,MATCH($B4292,Mapping!$G$3:$G$32,0)),IF(LEFT($F4292,3)="P2P",IFERROR(INDEX(Mapping!$E$3:$E$6,MATCH($G4292,Mapping!$D$3:$D$6,0)),IFERROR(INDEX(Mapping!$B$3:$B$13,MATCH($J4292,Mapping!$A$3:$A$13,0)),"(unmapped)")),IFERROR(INDEX(Mapping!$B$17:$B$22,MATCH($F4292,Mapping!$A$17:$A$22,0)),$F4292)&amp;" "&amp;IF($G4292="Banking","Banking",IFERROR(INDEX(Mapping!$E$17:$E$28,MATCH($J4292,Mapping!$D$17:$D$28,0)),"(unmapped)")))))</f>
        <v/>
      </c>
    </row>
    <row r="4293" spans="11:11" x14ac:dyDescent="0.3">
      <c r="K4293" t="str">
        <f>IF($D4293="","",IFERROR(INDEX(Mapping!$H$3:$H$32,MATCH($B4293,Mapping!$G$3:$G$32,0)),IF(LEFT($F4293,3)="P2P",IFERROR(INDEX(Mapping!$E$3:$E$6,MATCH($G4293,Mapping!$D$3:$D$6,0)),IFERROR(INDEX(Mapping!$B$3:$B$13,MATCH($J4293,Mapping!$A$3:$A$13,0)),"(unmapped)")),IFERROR(INDEX(Mapping!$B$17:$B$22,MATCH($F4293,Mapping!$A$17:$A$22,0)),$F4293)&amp;" "&amp;IF($G4293="Banking","Banking",IFERROR(INDEX(Mapping!$E$17:$E$28,MATCH($J4293,Mapping!$D$17:$D$28,0)),"(unmapped)")))))</f>
        <v/>
      </c>
    </row>
    <row r="4294" spans="11:11" x14ac:dyDescent="0.3">
      <c r="K4294" t="str">
        <f>IF($D4294="","",IFERROR(INDEX(Mapping!$H$3:$H$32,MATCH($B4294,Mapping!$G$3:$G$32,0)),IF(LEFT($F4294,3)="P2P",IFERROR(INDEX(Mapping!$E$3:$E$6,MATCH($G4294,Mapping!$D$3:$D$6,0)),IFERROR(INDEX(Mapping!$B$3:$B$13,MATCH($J4294,Mapping!$A$3:$A$13,0)),"(unmapped)")),IFERROR(INDEX(Mapping!$B$17:$B$22,MATCH($F4294,Mapping!$A$17:$A$22,0)),$F4294)&amp;" "&amp;IF($G4294="Banking","Banking",IFERROR(INDEX(Mapping!$E$17:$E$28,MATCH($J4294,Mapping!$D$17:$D$28,0)),"(unmapped)")))))</f>
        <v/>
      </c>
    </row>
    <row r="4295" spans="11:11" x14ac:dyDescent="0.3">
      <c r="K4295" t="str">
        <f>IF($D4295="","",IFERROR(INDEX(Mapping!$H$3:$H$32,MATCH($B4295,Mapping!$G$3:$G$32,0)),IF(LEFT($F4295,3)="P2P",IFERROR(INDEX(Mapping!$E$3:$E$6,MATCH($G4295,Mapping!$D$3:$D$6,0)),IFERROR(INDEX(Mapping!$B$3:$B$13,MATCH($J4295,Mapping!$A$3:$A$13,0)),"(unmapped)")),IFERROR(INDEX(Mapping!$B$17:$B$22,MATCH($F4295,Mapping!$A$17:$A$22,0)),$F4295)&amp;" "&amp;IF($G4295="Banking","Banking",IFERROR(INDEX(Mapping!$E$17:$E$28,MATCH($J4295,Mapping!$D$17:$D$28,0)),"(unmapped)")))))</f>
        <v/>
      </c>
    </row>
    <row r="4296" spans="11:11" x14ac:dyDescent="0.3">
      <c r="K4296" t="str">
        <f>IF($D4296="","",IFERROR(INDEX(Mapping!$H$3:$H$32,MATCH($B4296,Mapping!$G$3:$G$32,0)),IF(LEFT($F4296,3)="P2P",IFERROR(INDEX(Mapping!$E$3:$E$6,MATCH($G4296,Mapping!$D$3:$D$6,0)),IFERROR(INDEX(Mapping!$B$3:$B$13,MATCH($J4296,Mapping!$A$3:$A$13,0)),"(unmapped)")),IFERROR(INDEX(Mapping!$B$17:$B$22,MATCH($F4296,Mapping!$A$17:$A$22,0)),$F4296)&amp;" "&amp;IF($G4296="Banking","Banking",IFERROR(INDEX(Mapping!$E$17:$E$28,MATCH($J4296,Mapping!$D$17:$D$28,0)),"(unmapped)")))))</f>
        <v/>
      </c>
    </row>
    <row r="4297" spans="11:11" x14ac:dyDescent="0.3">
      <c r="K4297" t="str">
        <f>IF($D4297="","",IFERROR(INDEX(Mapping!$H$3:$H$32,MATCH($B4297,Mapping!$G$3:$G$32,0)),IF(LEFT($F4297,3)="P2P",IFERROR(INDEX(Mapping!$E$3:$E$6,MATCH($G4297,Mapping!$D$3:$D$6,0)),IFERROR(INDEX(Mapping!$B$3:$B$13,MATCH($J4297,Mapping!$A$3:$A$13,0)),"(unmapped)")),IFERROR(INDEX(Mapping!$B$17:$B$22,MATCH($F4297,Mapping!$A$17:$A$22,0)),$F4297)&amp;" "&amp;IF($G4297="Banking","Banking",IFERROR(INDEX(Mapping!$E$17:$E$28,MATCH($J4297,Mapping!$D$17:$D$28,0)),"(unmapped)")))))</f>
        <v/>
      </c>
    </row>
    <row r="4298" spans="11:11" x14ac:dyDescent="0.3">
      <c r="K4298" t="str">
        <f>IF($D4298="","",IFERROR(INDEX(Mapping!$H$3:$H$32,MATCH($B4298,Mapping!$G$3:$G$32,0)),IF(LEFT($F4298,3)="P2P",IFERROR(INDEX(Mapping!$E$3:$E$6,MATCH($G4298,Mapping!$D$3:$D$6,0)),IFERROR(INDEX(Mapping!$B$3:$B$13,MATCH($J4298,Mapping!$A$3:$A$13,0)),"(unmapped)")),IFERROR(INDEX(Mapping!$B$17:$B$22,MATCH($F4298,Mapping!$A$17:$A$22,0)),$F4298)&amp;" "&amp;IF($G4298="Banking","Banking",IFERROR(INDEX(Mapping!$E$17:$E$28,MATCH($J4298,Mapping!$D$17:$D$28,0)),"(unmapped)")))))</f>
        <v/>
      </c>
    </row>
    <row r="4299" spans="11:11" x14ac:dyDescent="0.3">
      <c r="K4299" t="str">
        <f>IF($D4299="","",IFERROR(INDEX(Mapping!$H$3:$H$32,MATCH($B4299,Mapping!$G$3:$G$32,0)),IF(LEFT($F4299,3)="P2P",IFERROR(INDEX(Mapping!$E$3:$E$6,MATCH($G4299,Mapping!$D$3:$D$6,0)),IFERROR(INDEX(Mapping!$B$3:$B$13,MATCH($J4299,Mapping!$A$3:$A$13,0)),"(unmapped)")),IFERROR(INDEX(Mapping!$B$17:$B$22,MATCH($F4299,Mapping!$A$17:$A$22,0)),$F4299)&amp;" "&amp;IF($G4299="Banking","Banking",IFERROR(INDEX(Mapping!$E$17:$E$28,MATCH($J4299,Mapping!$D$17:$D$28,0)),"(unmapped)")))))</f>
        <v/>
      </c>
    </row>
    <row r="4300" spans="11:11" x14ac:dyDescent="0.3">
      <c r="K4300" t="str">
        <f>IF($D4300="","",IFERROR(INDEX(Mapping!$H$3:$H$32,MATCH($B4300,Mapping!$G$3:$G$32,0)),IF(LEFT($F4300,3)="P2P",IFERROR(INDEX(Mapping!$E$3:$E$6,MATCH($G4300,Mapping!$D$3:$D$6,0)),IFERROR(INDEX(Mapping!$B$3:$B$13,MATCH($J4300,Mapping!$A$3:$A$13,0)),"(unmapped)")),IFERROR(INDEX(Mapping!$B$17:$B$22,MATCH($F4300,Mapping!$A$17:$A$22,0)),$F4300)&amp;" "&amp;IF($G4300="Banking","Banking",IFERROR(INDEX(Mapping!$E$17:$E$28,MATCH($J4300,Mapping!$D$17:$D$28,0)),"(unmapped)")))))</f>
        <v/>
      </c>
    </row>
    <row r="4301" spans="11:11" x14ac:dyDescent="0.3">
      <c r="K4301" t="str">
        <f>IF($D4301="","",IFERROR(INDEX(Mapping!$H$3:$H$32,MATCH($B4301,Mapping!$G$3:$G$32,0)),IF(LEFT($F4301,3)="P2P",IFERROR(INDEX(Mapping!$E$3:$E$6,MATCH($G4301,Mapping!$D$3:$D$6,0)),IFERROR(INDEX(Mapping!$B$3:$B$13,MATCH($J4301,Mapping!$A$3:$A$13,0)),"(unmapped)")),IFERROR(INDEX(Mapping!$B$17:$B$22,MATCH($F4301,Mapping!$A$17:$A$22,0)),$F4301)&amp;" "&amp;IF($G4301="Banking","Banking",IFERROR(INDEX(Mapping!$E$17:$E$28,MATCH($J4301,Mapping!$D$17:$D$28,0)),"(unmapped)")))))</f>
        <v/>
      </c>
    </row>
    <row r="4302" spans="11:11" x14ac:dyDescent="0.3">
      <c r="K4302" t="str">
        <f>IF($D4302="","",IFERROR(INDEX(Mapping!$H$3:$H$32,MATCH($B4302,Mapping!$G$3:$G$32,0)),IF(LEFT($F4302,3)="P2P",IFERROR(INDEX(Mapping!$E$3:$E$6,MATCH($G4302,Mapping!$D$3:$D$6,0)),IFERROR(INDEX(Mapping!$B$3:$B$13,MATCH($J4302,Mapping!$A$3:$A$13,0)),"(unmapped)")),IFERROR(INDEX(Mapping!$B$17:$B$22,MATCH($F4302,Mapping!$A$17:$A$22,0)),$F4302)&amp;" "&amp;IF($G4302="Banking","Banking",IFERROR(INDEX(Mapping!$E$17:$E$28,MATCH($J4302,Mapping!$D$17:$D$28,0)),"(unmapped)")))))</f>
        <v/>
      </c>
    </row>
    <row r="4303" spans="11:11" x14ac:dyDescent="0.3">
      <c r="K4303" t="str">
        <f>IF($D4303="","",IFERROR(INDEX(Mapping!$H$3:$H$32,MATCH($B4303,Mapping!$G$3:$G$32,0)),IF(LEFT($F4303,3)="P2P",IFERROR(INDEX(Mapping!$E$3:$E$6,MATCH($G4303,Mapping!$D$3:$D$6,0)),IFERROR(INDEX(Mapping!$B$3:$B$13,MATCH($J4303,Mapping!$A$3:$A$13,0)),"(unmapped)")),IFERROR(INDEX(Mapping!$B$17:$B$22,MATCH($F4303,Mapping!$A$17:$A$22,0)),$F4303)&amp;" "&amp;IF($G4303="Banking","Banking",IFERROR(INDEX(Mapping!$E$17:$E$28,MATCH($J4303,Mapping!$D$17:$D$28,0)),"(unmapped)")))))</f>
        <v/>
      </c>
    </row>
    <row r="4304" spans="11:11" x14ac:dyDescent="0.3">
      <c r="K4304" t="str">
        <f>IF($D4304="","",IFERROR(INDEX(Mapping!$H$3:$H$32,MATCH($B4304,Mapping!$G$3:$G$32,0)),IF(LEFT($F4304,3)="P2P",IFERROR(INDEX(Mapping!$E$3:$E$6,MATCH($G4304,Mapping!$D$3:$D$6,0)),IFERROR(INDEX(Mapping!$B$3:$B$13,MATCH($J4304,Mapping!$A$3:$A$13,0)),"(unmapped)")),IFERROR(INDEX(Mapping!$B$17:$B$22,MATCH($F4304,Mapping!$A$17:$A$22,0)),$F4304)&amp;" "&amp;IF($G4304="Banking","Banking",IFERROR(INDEX(Mapping!$E$17:$E$28,MATCH($J4304,Mapping!$D$17:$D$28,0)),"(unmapped)")))))</f>
        <v/>
      </c>
    </row>
    <row r="4305" spans="11:11" x14ac:dyDescent="0.3">
      <c r="K4305" t="str">
        <f>IF($D4305="","",IFERROR(INDEX(Mapping!$H$3:$H$32,MATCH($B4305,Mapping!$G$3:$G$32,0)),IF(LEFT($F4305,3)="P2P",IFERROR(INDEX(Mapping!$E$3:$E$6,MATCH($G4305,Mapping!$D$3:$D$6,0)),IFERROR(INDEX(Mapping!$B$3:$B$13,MATCH($J4305,Mapping!$A$3:$A$13,0)),"(unmapped)")),IFERROR(INDEX(Mapping!$B$17:$B$22,MATCH($F4305,Mapping!$A$17:$A$22,0)),$F4305)&amp;" "&amp;IF($G4305="Banking","Banking",IFERROR(INDEX(Mapping!$E$17:$E$28,MATCH($J4305,Mapping!$D$17:$D$28,0)),"(unmapped)")))))</f>
        <v/>
      </c>
    </row>
    <row r="4306" spans="11:11" x14ac:dyDescent="0.3">
      <c r="K4306" t="str">
        <f>IF($D4306="","",IFERROR(INDEX(Mapping!$H$3:$H$32,MATCH($B4306,Mapping!$G$3:$G$32,0)),IF(LEFT($F4306,3)="P2P",IFERROR(INDEX(Mapping!$E$3:$E$6,MATCH($G4306,Mapping!$D$3:$D$6,0)),IFERROR(INDEX(Mapping!$B$3:$B$13,MATCH($J4306,Mapping!$A$3:$A$13,0)),"(unmapped)")),IFERROR(INDEX(Mapping!$B$17:$B$22,MATCH($F4306,Mapping!$A$17:$A$22,0)),$F4306)&amp;" "&amp;IF($G4306="Banking","Banking",IFERROR(INDEX(Mapping!$E$17:$E$28,MATCH($J4306,Mapping!$D$17:$D$28,0)),"(unmapped)")))))</f>
        <v/>
      </c>
    </row>
    <row r="4307" spans="11:11" x14ac:dyDescent="0.3">
      <c r="K4307" t="str">
        <f>IF($D4307="","",IFERROR(INDEX(Mapping!$H$3:$H$32,MATCH($B4307,Mapping!$G$3:$G$32,0)),IF(LEFT($F4307,3)="P2P",IFERROR(INDEX(Mapping!$E$3:$E$6,MATCH($G4307,Mapping!$D$3:$D$6,0)),IFERROR(INDEX(Mapping!$B$3:$B$13,MATCH($J4307,Mapping!$A$3:$A$13,0)),"(unmapped)")),IFERROR(INDEX(Mapping!$B$17:$B$22,MATCH($F4307,Mapping!$A$17:$A$22,0)),$F4307)&amp;" "&amp;IF($G4307="Banking","Banking",IFERROR(INDEX(Mapping!$E$17:$E$28,MATCH($J4307,Mapping!$D$17:$D$28,0)),"(unmapped)")))))</f>
        <v/>
      </c>
    </row>
    <row r="4308" spans="11:11" x14ac:dyDescent="0.3">
      <c r="K4308" t="str">
        <f>IF($D4308="","",IFERROR(INDEX(Mapping!$H$3:$H$32,MATCH($B4308,Mapping!$G$3:$G$32,0)),IF(LEFT($F4308,3)="P2P",IFERROR(INDEX(Mapping!$E$3:$E$6,MATCH($G4308,Mapping!$D$3:$D$6,0)),IFERROR(INDEX(Mapping!$B$3:$B$13,MATCH($J4308,Mapping!$A$3:$A$13,0)),"(unmapped)")),IFERROR(INDEX(Mapping!$B$17:$B$22,MATCH($F4308,Mapping!$A$17:$A$22,0)),$F4308)&amp;" "&amp;IF($G4308="Banking","Banking",IFERROR(INDEX(Mapping!$E$17:$E$28,MATCH($J4308,Mapping!$D$17:$D$28,0)),"(unmapped)")))))</f>
        <v/>
      </c>
    </row>
    <row r="4309" spans="11:11" x14ac:dyDescent="0.3">
      <c r="K4309" t="str">
        <f>IF($D4309="","",IFERROR(INDEX(Mapping!$H$3:$H$32,MATCH($B4309,Mapping!$G$3:$G$32,0)),IF(LEFT($F4309,3)="P2P",IFERROR(INDEX(Mapping!$E$3:$E$6,MATCH($G4309,Mapping!$D$3:$D$6,0)),IFERROR(INDEX(Mapping!$B$3:$B$13,MATCH($J4309,Mapping!$A$3:$A$13,0)),"(unmapped)")),IFERROR(INDEX(Mapping!$B$17:$B$22,MATCH($F4309,Mapping!$A$17:$A$22,0)),$F4309)&amp;" "&amp;IF($G4309="Banking","Banking",IFERROR(INDEX(Mapping!$E$17:$E$28,MATCH($J4309,Mapping!$D$17:$D$28,0)),"(unmapped)")))))</f>
        <v/>
      </c>
    </row>
    <row r="4310" spans="11:11" x14ac:dyDescent="0.3">
      <c r="K4310" t="str">
        <f>IF($D4310="","",IFERROR(INDEX(Mapping!$H$3:$H$32,MATCH($B4310,Mapping!$G$3:$G$32,0)),IF(LEFT($F4310,3)="P2P",IFERROR(INDEX(Mapping!$E$3:$E$6,MATCH($G4310,Mapping!$D$3:$D$6,0)),IFERROR(INDEX(Mapping!$B$3:$B$13,MATCH($J4310,Mapping!$A$3:$A$13,0)),"(unmapped)")),IFERROR(INDEX(Mapping!$B$17:$B$22,MATCH($F4310,Mapping!$A$17:$A$22,0)),$F4310)&amp;" "&amp;IF($G4310="Banking","Banking",IFERROR(INDEX(Mapping!$E$17:$E$28,MATCH($J4310,Mapping!$D$17:$D$28,0)),"(unmapped)")))))</f>
        <v/>
      </c>
    </row>
    <row r="4311" spans="11:11" x14ac:dyDescent="0.3">
      <c r="K4311" t="str">
        <f>IF($D4311="","",IFERROR(INDEX(Mapping!$H$3:$H$32,MATCH($B4311,Mapping!$G$3:$G$32,0)),IF(LEFT($F4311,3)="P2P",IFERROR(INDEX(Mapping!$E$3:$E$6,MATCH($G4311,Mapping!$D$3:$D$6,0)),IFERROR(INDEX(Mapping!$B$3:$B$13,MATCH($J4311,Mapping!$A$3:$A$13,0)),"(unmapped)")),IFERROR(INDEX(Mapping!$B$17:$B$22,MATCH($F4311,Mapping!$A$17:$A$22,0)),$F4311)&amp;" "&amp;IF($G4311="Banking","Banking",IFERROR(INDEX(Mapping!$E$17:$E$28,MATCH($J4311,Mapping!$D$17:$D$28,0)),"(unmapped)")))))</f>
        <v/>
      </c>
    </row>
    <row r="4312" spans="11:11" x14ac:dyDescent="0.3">
      <c r="K4312" t="str">
        <f>IF($D4312="","",IFERROR(INDEX(Mapping!$H$3:$H$32,MATCH($B4312,Mapping!$G$3:$G$32,0)),IF(LEFT($F4312,3)="P2P",IFERROR(INDEX(Mapping!$E$3:$E$6,MATCH($G4312,Mapping!$D$3:$D$6,0)),IFERROR(INDEX(Mapping!$B$3:$B$13,MATCH($J4312,Mapping!$A$3:$A$13,0)),"(unmapped)")),IFERROR(INDEX(Mapping!$B$17:$B$22,MATCH($F4312,Mapping!$A$17:$A$22,0)),$F4312)&amp;" "&amp;IF($G4312="Banking","Banking",IFERROR(INDEX(Mapping!$E$17:$E$28,MATCH($J4312,Mapping!$D$17:$D$28,0)),"(unmapped)")))))</f>
        <v/>
      </c>
    </row>
    <row r="4313" spans="11:11" x14ac:dyDescent="0.3">
      <c r="K4313" t="str">
        <f>IF($D4313="","",IFERROR(INDEX(Mapping!$H$3:$H$32,MATCH($B4313,Mapping!$G$3:$G$32,0)),IF(LEFT($F4313,3)="P2P",IFERROR(INDEX(Mapping!$E$3:$E$6,MATCH($G4313,Mapping!$D$3:$D$6,0)),IFERROR(INDEX(Mapping!$B$3:$B$13,MATCH($J4313,Mapping!$A$3:$A$13,0)),"(unmapped)")),IFERROR(INDEX(Mapping!$B$17:$B$22,MATCH($F4313,Mapping!$A$17:$A$22,0)),$F4313)&amp;" "&amp;IF($G4313="Banking","Banking",IFERROR(INDEX(Mapping!$E$17:$E$28,MATCH($J4313,Mapping!$D$17:$D$28,0)),"(unmapped)")))))</f>
        <v/>
      </c>
    </row>
    <row r="4314" spans="11:11" x14ac:dyDescent="0.3">
      <c r="K4314" t="str">
        <f>IF($D4314="","",IFERROR(INDEX(Mapping!$H$3:$H$32,MATCH($B4314,Mapping!$G$3:$G$32,0)),IF(LEFT($F4314,3)="P2P",IFERROR(INDEX(Mapping!$E$3:$E$6,MATCH($G4314,Mapping!$D$3:$D$6,0)),IFERROR(INDEX(Mapping!$B$3:$B$13,MATCH($J4314,Mapping!$A$3:$A$13,0)),"(unmapped)")),IFERROR(INDEX(Mapping!$B$17:$B$22,MATCH($F4314,Mapping!$A$17:$A$22,0)),$F4314)&amp;" "&amp;IF($G4314="Banking","Banking",IFERROR(INDEX(Mapping!$E$17:$E$28,MATCH($J4314,Mapping!$D$17:$D$28,0)),"(unmapped)")))))</f>
        <v/>
      </c>
    </row>
    <row r="4315" spans="11:11" x14ac:dyDescent="0.3">
      <c r="K4315" t="str">
        <f>IF($D4315="","",IFERROR(INDEX(Mapping!$H$3:$H$32,MATCH($B4315,Mapping!$G$3:$G$32,0)),IF(LEFT($F4315,3)="P2P",IFERROR(INDEX(Mapping!$E$3:$E$6,MATCH($G4315,Mapping!$D$3:$D$6,0)),IFERROR(INDEX(Mapping!$B$3:$B$13,MATCH($J4315,Mapping!$A$3:$A$13,0)),"(unmapped)")),IFERROR(INDEX(Mapping!$B$17:$B$22,MATCH($F4315,Mapping!$A$17:$A$22,0)),$F4315)&amp;" "&amp;IF($G4315="Banking","Banking",IFERROR(INDEX(Mapping!$E$17:$E$28,MATCH($J4315,Mapping!$D$17:$D$28,0)),"(unmapped)")))))</f>
        <v/>
      </c>
    </row>
    <row r="4316" spans="11:11" x14ac:dyDescent="0.3">
      <c r="K4316" t="str">
        <f>IF($D4316="","",IFERROR(INDEX(Mapping!$H$3:$H$32,MATCH($B4316,Mapping!$G$3:$G$32,0)),IF(LEFT($F4316,3)="P2P",IFERROR(INDEX(Mapping!$E$3:$E$6,MATCH($G4316,Mapping!$D$3:$D$6,0)),IFERROR(INDEX(Mapping!$B$3:$B$13,MATCH($J4316,Mapping!$A$3:$A$13,0)),"(unmapped)")),IFERROR(INDEX(Mapping!$B$17:$B$22,MATCH($F4316,Mapping!$A$17:$A$22,0)),$F4316)&amp;" "&amp;IF($G4316="Banking","Banking",IFERROR(INDEX(Mapping!$E$17:$E$28,MATCH($J4316,Mapping!$D$17:$D$28,0)),"(unmapped)")))))</f>
        <v/>
      </c>
    </row>
    <row r="4317" spans="11:11" x14ac:dyDescent="0.3">
      <c r="K4317" t="str">
        <f>IF($D4317="","",IFERROR(INDEX(Mapping!$H$3:$H$32,MATCH($B4317,Mapping!$G$3:$G$32,0)),IF(LEFT($F4317,3)="P2P",IFERROR(INDEX(Mapping!$E$3:$E$6,MATCH($G4317,Mapping!$D$3:$D$6,0)),IFERROR(INDEX(Mapping!$B$3:$B$13,MATCH($J4317,Mapping!$A$3:$A$13,0)),"(unmapped)")),IFERROR(INDEX(Mapping!$B$17:$B$22,MATCH($F4317,Mapping!$A$17:$A$22,0)),$F4317)&amp;" "&amp;IF($G4317="Banking","Banking",IFERROR(INDEX(Mapping!$E$17:$E$28,MATCH($J4317,Mapping!$D$17:$D$28,0)),"(unmapped)")))))</f>
        <v/>
      </c>
    </row>
    <row r="4318" spans="11:11" x14ac:dyDescent="0.3">
      <c r="K4318" t="str">
        <f>IF($D4318="","",IFERROR(INDEX(Mapping!$H$3:$H$32,MATCH($B4318,Mapping!$G$3:$G$32,0)),IF(LEFT($F4318,3)="P2P",IFERROR(INDEX(Mapping!$E$3:$E$6,MATCH($G4318,Mapping!$D$3:$D$6,0)),IFERROR(INDEX(Mapping!$B$3:$B$13,MATCH($J4318,Mapping!$A$3:$A$13,0)),"(unmapped)")),IFERROR(INDEX(Mapping!$B$17:$B$22,MATCH($F4318,Mapping!$A$17:$A$22,0)),$F4318)&amp;" "&amp;IF($G4318="Banking","Banking",IFERROR(INDEX(Mapping!$E$17:$E$28,MATCH($J4318,Mapping!$D$17:$D$28,0)),"(unmapped)")))))</f>
        <v/>
      </c>
    </row>
    <row r="4319" spans="11:11" x14ac:dyDescent="0.3">
      <c r="K4319" t="str">
        <f>IF($D4319="","",IFERROR(INDEX(Mapping!$H$3:$H$32,MATCH($B4319,Mapping!$G$3:$G$32,0)),IF(LEFT($F4319,3)="P2P",IFERROR(INDEX(Mapping!$E$3:$E$6,MATCH($G4319,Mapping!$D$3:$D$6,0)),IFERROR(INDEX(Mapping!$B$3:$B$13,MATCH($J4319,Mapping!$A$3:$A$13,0)),"(unmapped)")),IFERROR(INDEX(Mapping!$B$17:$B$22,MATCH($F4319,Mapping!$A$17:$A$22,0)),$F4319)&amp;" "&amp;IF($G4319="Banking","Banking",IFERROR(INDEX(Mapping!$E$17:$E$28,MATCH($J4319,Mapping!$D$17:$D$28,0)),"(unmapped)")))))</f>
        <v/>
      </c>
    </row>
    <row r="4320" spans="11:11" x14ac:dyDescent="0.3">
      <c r="K4320" t="str">
        <f>IF($D4320="","",IFERROR(INDEX(Mapping!$H$3:$H$32,MATCH($B4320,Mapping!$G$3:$G$32,0)),IF(LEFT($F4320,3)="P2P",IFERROR(INDEX(Mapping!$E$3:$E$6,MATCH($G4320,Mapping!$D$3:$D$6,0)),IFERROR(INDEX(Mapping!$B$3:$B$13,MATCH($J4320,Mapping!$A$3:$A$13,0)),"(unmapped)")),IFERROR(INDEX(Mapping!$B$17:$B$22,MATCH($F4320,Mapping!$A$17:$A$22,0)),$F4320)&amp;" "&amp;IF($G4320="Banking","Banking",IFERROR(INDEX(Mapping!$E$17:$E$28,MATCH($J4320,Mapping!$D$17:$D$28,0)),"(unmapped)")))))</f>
        <v/>
      </c>
    </row>
    <row r="4321" spans="11:11" x14ac:dyDescent="0.3">
      <c r="K4321" t="str">
        <f>IF($D4321="","",IFERROR(INDEX(Mapping!$H$3:$H$32,MATCH($B4321,Mapping!$G$3:$G$32,0)),IF(LEFT($F4321,3)="P2P",IFERROR(INDEX(Mapping!$E$3:$E$6,MATCH($G4321,Mapping!$D$3:$D$6,0)),IFERROR(INDEX(Mapping!$B$3:$B$13,MATCH($J4321,Mapping!$A$3:$A$13,0)),"(unmapped)")),IFERROR(INDEX(Mapping!$B$17:$B$22,MATCH($F4321,Mapping!$A$17:$A$22,0)),$F4321)&amp;" "&amp;IF($G4321="Banking","Banking",IFERROR(INDEX(Mapping!$E$17:$E$28,MATCH($J4321,Mapping!$D$17:$D$28,0)),"(unmapped)")))))</f>
        <v/>
      </c>
    </row>
    <row r="4322" spans="11:11" x14ac:dyDescent="0.3">
      <c r="K4322" t="str">
        <f>IF($D4322="","",IFERROR(INDEX(Mapping!$H$3:$H$32,MATCH($B4322,Mapping!$G$3:$G$32,0)),IF(LEFT($F4322,3)="P2P",IFERROR(INDEX(Mapping!$E$3:$E$6,MATCH($G4322,Mapping!$D$3:$D$6,0)),IFERROR(INDEX(Mapping!$B$3:$B$13,MATCH($J4322,Mapping!$A$3:$A$13,0)),"(unmapped)")),IFERROR(INDEX(Mapping!$B$17:$B$22,MATCH($F4322,Mapping!$A$17:$A$22,0)),$F4322)&amp;" "&amp;IF($G4322="Banking","Banking",IFERROR(INDEX(Mapping!$E$17:$E$28,MATCH($J4322,Mapping!$D$17:$D$28,0)),"(unmapped)")))))</f>
        <v/>
      </c>
    </row>
    <row r="4323" spans="11:11" x14ac:dyDescent="0.3">
      <c r="K4323" t="str">
        <f>IF($D4323="","",IFERROR(INDEX(Mapping!$H$3:$H$32,MATCH($B4323,Mapping!$G$3:$G$32,0)),IF(LEFT($F4323,3)="P2P",IFERROR(INDEX(Mapping!$E$3:$E$6,MATCH($G4323,Mapping!$D$3:$D$6,0)),IFERROR(INDEX(Mapping!$B$3:$B$13,MATCH($J4323,Mapping!$A$3:$A$13,0)),"(unmapped)")),IFERROR(INDEX(Mapping!$B$17:$B$22,MATCH($F4323,Mapping!$A$17:$A$22,0)),$F4323)&amp;" "&amp;IF($G4323="Banking","Banking",IFERROR(INDEX(Mapping!$E$17:$E$28,MATCH($J4323,Mapping!$D$17:$D$28,0)),"(unmapped)")))))</f>
        <v/>
      </c>
    </row>
    <row r="4324" spans="11:11" x14ac:dyDescent="0.3">
      <c r="K4324" t="str">
        <f>IF($D4324="","",IFERROR(INDEX(Mapping!$H$3:$H$32,MATCH($B4324,Mapping!$G$3:$G$32,0)),IF(LEFT($F4324,3)="P2P",IFERROR(INDEX(Mapping!$E$3:$E$6,MATCH($G4324,Mapping!$D$3:$D$6,0)),IFERROR(INDEX(Mapping!$B$3:$B$13,MATCH($J4324,Mapping!$A$3:$A$13,0)),"(unmapped)")),IFERROR(INDEX(Mapping!$B$17:$B$22,MATCH($F4324,Mapping!$A$17:$A$22,0)),$F4324)&amp;" "&amp;IF($G4324="Banking","Banking",IFERROR(INDEX(Mapping!$E$17:$E$28,MATCH($J4324,Mapping!$D$17:$D$28,0)),"(unmapped)")))))</f>
        <v/>
      </c>
    </row>
    <row r="4325" spans="11:11" x14ac:dyDescent="0.3">
      <c r="K4325" t="str">
        <f>IF($D4325="","",IFERROR(INDEX(Mapping!$H$3:$H$32,MATCH($B4325,Mapping!$G$3:$G$32,0)),IF(LEFT($F4325,3)="P2P",IFERROR(INDEX(Mapping!$E$3:$E$6,MATCH($G4325,Mapping!$D$3:$D$6,0)),IFERROR(INDEX(Mapping!$B$3:$B$13,MATCH($J4325,Mapping!$A$3:$A$13,0)),"(unmapped)")),IFERROR(INDEX(Mapping!$B$17:$B$22,MATCH($F4325,Mapping!$A$17:$A$22,0)),$F4325)&amp;" "&amp;IF($G4325="Banking","Banking",IFERROR(INDEX(Mapping!$E$17:$E$28,MATCH($J4325,Mapping!$D$17:$D$28,0)),"(unmapped)")))))</f>
        <v/>
      </c>
    </row>
    <row r="4326" spans="11:11" x14ac:dyDescent="0.3">
      <c r="K4326" t="str">
        <f>IF($D4326="","",IFERROR(INDEX(Mapping!$H$3:$H$32,MATCH($B4326,Mapping!$G$3:$G$32,0)),IF(LEFT($F4326,3)="P2P",IFERROR(INDEX(Mapping!$E$3:$E$6,MATCH($G4326,Mapping!$D$3:$D$6,0)),IFERROR(INDEX(Mapping!$B$3:$B$13,MATCH($J4326,Mapping!$A$3:$A$13,0)),"(unmapped)")),IFERROR(INDEX(Mapping!$B$17:$B$22,MATCH($F4326,Mapping!$A$17:$A$22,0)),$F4326)&amp;" "&amp;IF($G4326="Banking","Banking",IFERROR(INDEX(Mapping!$E$17:$E$28,MATCH($J4326,Mapping!$D$17:$D$28,0)),"(unmapped)")))))</f>
        <v/>
      </c>
    </row>
    <row r="4327" spans="11:11" x14ac:dyDescent="0.3">
      <c r="K4327" t="str">
        <f>IF($D4327="","",IFERROR(INDEX(Mapping!$H$3:$H$32,MATCH($B4327,Mapping!$G$3:$G$32,0)),IF(LEFT($F4327,3)="P2P",IFERROR(INDEX(Mapping!$E$3:$E$6,MATCH($G4327,Mapping!$D$3:$D$6,0)),IFERROR(INDEX(Mapping!$B$3:$B$13,MATCH($J4327,Mapping!$A$3:$A$13,0)),"(unmapped)")),IFERROR(INDEX(Mapping!$B$17:$B$22,MATCH($F4327,Mapping!$A$17:$A$22,0)),$F4327)&amp;" "&amp;IF($G4327="Banking","Banking",IFERROR(INDEX(Mapping!$E$17:$E$28,MATCH($J4327,Mapping!$D$17:$D$28,0)),"(unmapped)")))))</f>
        <v/>
      </c>
    </row>
    <row r="4328" spans="11:11" x14ac:dyDescent="0.3">
      <c r="K4328" t="str">
        <f>IF($D4328="","",IFERROR(INDEX(Mapping!$H$3:$H$32,MATCH($B4328,Mapping!$G$3:$G$32,0)),IF(LEFT($F4328,3)="P2P",IFERROR(INDEX(Mapping!$E$3:$E$6,MATCH($G4328,Mapping!$D$3:$D$6,0)),IFERROR(INDEX(Mapping!$B$3:$B$13,MATCH($J4328,Mapping!$A$3:$A$13,0)),"(unmapped)")),IFERROR(INDEX(Mapping!$B$17:$B$22,MATCH($F4328,Mapping!$A$17:$A$22,0)),$F4328)&amp;" "&amp;IF($G4328="Banking","Banking",IFERROR(INDEX(Mapping!$E$17:$E$28,MATCH($J4328,Mapping!$D$17:$D$28,0)),"(unmapped)")))))</f>
        <v/>
      </c>
    </row>
    <row r="4329" spans="11:11" x14ac:dyDescent="0.3">
      <c r="K4329" t="str">
        <f>IF($D4329="","",IFERROR(INDEX(Mapping!$H$3:$H$32,MATCH($B4329,Mapping!$G$3:$G$32,0)),IF(LEFT($F4329,3)="P2P",IFERROR(INDEX(Mapping!$E$3:$E$6,MATCH($G4329,Mapping!$D$3:$D$6,0)),IFERROR(INDEX(Mapping!$B$3:$B$13,MATCH($J4329,Mapping!$A$3:$A$13,0)),"(unmapped)")),IFERROR(INDEX(Mapping!$B$17:$B$22,MATCH($F4329,Mapping!$A$17:$A$22,0)),$F4329)&amp;" "&amp;IF($G4329="Banking","Banking",IFERROR(INDEX(Mapping!$E$17:$E$28,MATCH($J4329,Mapping!$D$17:$D$28,0)),"(unmapped)")))))</f>
        <v/>
      </c>
    </row>
    <row r="4330" spans="11:11" x14ac:dyDescent="0.3">
      <c r="K4330" t="str">
        <f>IF($D4330="","",IFERROR(INDEX(Mapping!$H$3:$H$32,MATCH($B4330,Mapping!$G$3:$G$32,0)),IF(LEFT($F4330,3)="P2P",IFERROR(INDEX(Mapping!$E$3:$E$6,MATCH($G4330,Mapping!$D$3:$D$6,0)),IFERROR(INDEX(Mapping!$B$3:$B$13,MATCH($J4330,Mapping!$A$3:$A$13,0)),"(unmapped)")),IFERROR(INDEX(Mapping!$B$17:$B$22,MATCH($F4330,Mapping!$A$17:$A$22,0)),$F4330)&amp;" "&amp;IF($G4330="Banking","Banking",IFERROR(INDEX(Mapping!$E$17:$E$28,MATCH($J4330,Mapping!$D$17:$D$28,0)),"(unmapped)")))))</f>
        <v/>
      </c>
    </row>
    <row r="4331" spans="11:11" x14ac:dyDescent="0.3">
      <c r="K4331" t="str">
        <f>IF($D4331="","",IFERROR(INDEX(Mapping!$H$3:$H$32,MATCH($B4331,Mapping!$G$3:$G$32,0)),IF(LEFT($F4331,3)="P2P",IFERROR(INDEX(Mapping!$E$3:$E$6,MATCH($G4331,Mapping!$D$3:$D$6,0)),IFERROR(INDEX(Mapping!$B$3:$B$13,MATCH($J4331,Mapping!$A$3:$A$13,0)),"(unmapped)")),IFERROR(INDEX(Mapping!$B$17:$B$22,MATCH($F4331,Mapping!$A$17:$A$22,0)),$F4331)&amp;" "&amp;IF($G4331="Banking","Banking",IFERROR(INDEX(Mapping!$E$17:$E$28,MATCH($J4331,Mapping!$D$17:$D$28,0)),"(unmapped)")))))</f>
        <v/>
      </c>
    </row>
    <row r="4332" spans="11:11" x14ac:dyDescent="0.3">
      <c r="K4332" t="str">
        <f>IF($D4332="","",IFERROR(INDEX(Mapping!$H$3:$H$32,MATCH($B4332,Mapping!$G$3:$G$32,0)),IF(LEFT($F4332,3)="P2P",IFERROR(INDEX(Mapping!$E$3:$E$6,MATCH($G4332,Mapping!$D$3:$D$6,0)),IFERROR(INDEX(Mapping!$B$3:$B$13,MATCH($J4332,Mapping!$A$3:$A$13,0)),"(unmapped)")),IFERROR(INDEX(Mapping!$B$17:$B$22,MATCH($F4332,Mapping!$A$17:$A$22,0)),$F4332)&amp;" "&amp;IF($G4332="Banking","Banking",IFERROR(INDEX(Mapping!$E$17:$E$28,MATCH($J4332,Mapping!$D$17:$D$28,0)),"(unmapped)")))))</f>
        <v/>
      </c>
    </row>
    <row r="4333" spans="11:11" x14ac:dyDescent="0.3">
      <c r="K4333" t="str">
        <f>IF($D4333="","",IFERROR(INDEX(Mapping!$H$3:$H$32,MATCH($B4333,Mapping!$G$3:$G$32,0)),IF(LEFT($F4333,3)="P2P",IFERROR(INDEX(Mapping!$E$3:$E$6,MATCH($G4333,Mapping!$D$3:$D$6,0)),IFERROR(INDEX(Mapping!$B$3:$B$13,MATCH($J4333,Mapping!$A$3:$A$13,0)),"(unmapped)")),IFERROR(INDEX(Mapping!$B$17:$B$22,MATCH($F4333,Mapping!$A$17:$A$22,0)),$F4333)&amp;" "&amp;IF($G4333="Banking","Banking",IFERROR(INDEX(Mapping!$E$17:$E$28,MATCH($J4333,Mapping!$D$17:$D$28,0)),"(unmapped)")))))</f>
        <v/>
      </c>
    </row>
    <row r="4334" spans="11:11" x14ac:dyDescent="0.3">
      <c r="K4334" t="str">
        <f>IF($D4334="","",IFERROR(INDEX(Mapping!$H$3:$H$32,MATCH($B4334,Mapping!$G$3:$G$32,0)),IF(LEFT($F4334,3)="P2P",IFERROR(INDEX(Mapping!$E$3:$E$6,MATCH($G4334,Mapping!$D$3:$D$6,0)),IFERROR(INDEX(Mapping!$B$3:$B$13,MATCH($J4334,Mapping!$A$3:$A$13,0)),"(unmapped)")),IFERROR(INDEX(Mapping!$B$17:$B$22,MATCH($F4334,Mapping!$A$17:$A$22,0)),$F4334)&amp;" "&amp;IF($G4334="Banking","Banking",IFERROR(INDEX(Mapping!$E$17:$E$28,MATCH($J4334,Mapping!$D$17:$D$28,0)),"(unmapped)")))))</f>
        <v/>
      </c>
    </row>
    <row r="4335" spans="11:11" x14ac:dyDescent="0.3">
      <c r="K4335" t="str">
        <f>IF($D4335="","",IFERROR(INDEX(Mapping!$H$3:$H$32,MATCH($B4335,Mapping!$G$3:$G$32,0)),IF(LEFT($F4335,3)="P2P",IFERROR(INDEX(Mapping!$E$3:$E$6,MATCH($G4335,Mapping!$D$3:$D$6,0)),IFERROR(INDEX(Mapping!$B$3:$B$13,MATCH($J4335,Mapping!$A$3:$A$13,0)),"(unmapped)")),IFERROR(INDEX(Mapping!$B$17:$B$22,MATCH($F4335,Mapping!$A$17:$A$22,0)),$F4335)&amp;" "&amp;IF($G4335="Banking","Banking",IFERROR(INDEX(Mapping!$E$17:$E$28,MATCH($J4335,Mapping!$D$17:$D$28,0)),"(unmapped)")))))</f>
        <v/>
      </c>
    </row>
    <row r="4336" spans="11:11" x14ac:dyDescent="0.3">
      <c r="K4336" t="str">
        <f>IF($D4336="","",IFERROR(INDEX(Mapping!$H$3:$H$32,MATCH($B4336,Mapping!$G$3:$G$32,0)),IF(LEFT($F4336,3)="P2P",IFERROR(INDEX(Mapping!$E$3:$E$6,MATCH($G4336,Mapping!$D$3:$D$6,0)),IFERROR(INDEX(Mapping!$B$3:$B$13,MATCH($J4336,Mapping!$A$3:$A$13,0)),"(unmapped)")),IFERROR(INDEX(Mapping!$B$17:$B$22,MATCH($F4336,Mapping!$A$17:$A$22,0)),$F4336)&amp;" "&amp;IF($G4336="Banking","Banking",IFERROR(INDEX(Mapping!$E$17:$E$28,MATCH($J4336,Mapping!$D$17:$D$28,0)),"(unmapped)")))))</f>
        <v/>
      </c>
    </row>
    <row r="4337" spans="11:11" x14ac:dyDescent="0.3">
      <c r="K4337" t="str">
        <f>IF($D4337="","",IFERROR(INDEX(Mapping!$H$3:$H$32,MATCH($B4337,Mapping!$G$3:$G$32,0)),IF(LEFT($F4337,3)="P2P",IFERROR(INDEX(Mapping!$E$3:$E$6,MATCH($G4337,Mapping!$D$3:$D$6,0)),IFERROR(INDEX(Mapping!$B$3:$B$13,MATCH($J4337,Mapping!$A$3:$A$13,0)),"(unmapped)")),IFERROR(INDEX(Mapping!$B$17:$B$22,MATCH($F4337,Mapping!$A$17:$A$22,0)),$F4337)&amp;" "&amp;IF($G4337="Banking","Banking",IFERROR(INDEX(Mapping!$E$17:$E$28,MATCH($J4337,Mapping!$D$17:$D$28,0)),"(unmapped)")))))</f>
        <v/>
      </c>
    </row>
    <row r="4338" spans="11:11" x14ac:dyDescent="0.3">
      <c r="K4338" t="str">
        <f>IF($D4338="","",IFERROR(INDEX(Mapping!$H$3:$H$32,MATCH($B4338,Mapping!$G$3:$G$32,0)),IF(LEFT($F4338,3)="P2P",IFERROR(INDEX(Mapping!$E$3:$E$6,MATCH($G4338,Mapping!$D$3:$D$6,0)),IFERROR(INDEX(Mapping!$B$3:$B$13,MATCH($J4338,Mapping!$A$3:$A$13,0)),"(unmapped)")),IFERROR(INDEX(Mapping!$B$17:$B$22,MATCH($F4338,Mapping!$A$17:$A$22,0)),$F4338)&amp;" "&amp;IF($G4338="Banking","Banking",IFERROR(INDEX(Mapping!$E$17:$E$28,MATCH($J4338,Mapping!$D$17:$D$28,0)),"(unmapped)")))))</f>
        <v/>
      </c>
    </row>
    <row r="4339" spans="11:11" x14ac:dyDescent="0.3">
      <c r="K4339" t="str">
        <f>IF($D4339="","",IFERROR(INDEX(Mapping!$H$3:$H$32,MATCH($B4339,Mapping!$G$3:$G$32,0)),IF(LEFT($F4339,3)="P2P",IFERROR(INDEX(Mapping!$E$3:$E$6,MATCH($G4339,Mapping!$D$3:$D$6,0)),IFERROR(INDEX(Mapping!$B$3:$B$13,MATCH($J4339,Mapping!$A$3:$A$13,0)),"(unmapped)")),IFERROR(INDEX(Mapping!$B$17:$B$22,MATCH($F4339,Mapping!$A$17:$A$22,0)),$F4339)&amp;" "&amp;IF($G4339="Banking","Banking",IFERROR(INDEX(Mapping!$E$17:$E$28,MATCH($J4339,Mapping!$D$17:$D$28,0)),"(unmapped)")))))</f>
        <v/>
      </c>
    </row>
    <row r="4340" spans="11:11" x14ac:dyDescent="0.3">
      <c r="K4340" t="str">
        <f>IF($D4340="","",IFERROR(INDEX(Mapping!$H$3:$H$32,MATCH($B4340,Mapping!$G$3:$G$32,0)),IF(LEFT($F4340,3)="P2P",IFERROR(INDEX(Mapping!$E$3:$E$6,MATCH($G4340,Mapping!$D$3:$D$6,0)),IFERROR(INDEX(Mapping!$B$3:$B$13,MATCH($J4340,Mapping!$A$3:$A$13,0)),"(unmapped)")),IFERROR(INDEX(Mapping!$B$17:$B$22,MATCH($F4340,Mapping!$A$17:$A$22,0)),$F4340)&amp;" "&amp;IF($G4340="Banking","Banking",IFERROR(INDEX(Mapping!$E$17:$E$28,MATCH($J4340,Mapping!$D$17:$D$28,0)),"(unmapped)")))))</f>
        <v/>
      </c>
    </row>
    <row r="4341" spans="11:11" x14ac:dyDescent="0.3">
      <c r="K4341" t="str">
        <f>IF($D4341="","",IFERROR(INDEX(Mapping!$H$3:$H$32,MATCH($B4341,Mapping!$G$3:$G$32,0)),IF(LEFT($F4341,3)="P2P",IFERROR(INDEX(Mapping!$E$3:$E$6,MATCH($G4341,Mapping!$D$3:$D$6,0)),IFERROR(INDEX(Mapping!$B$3:$B$13,MATCH($J4341,Mapping!$A$3:$A$13,0)),"(unmapped)")),IFERROR(INDEX(Mapping!$B$17:$B$22,MATCH($F4341,Mapping!$A$17:$A$22,0)),$F4341)&amp;" "&amp;IF($G4341="Banking","Banking",IFERROR(INDEX(Mapping!$E$17:$E$28,MATCH($J4341,Mapping!$D$17:$D$28,0)),"(unmapped)")))))</f>
        <v/>
      </c>
    </row>
    <row r="4342" spans="11:11" x14ac:dyDescent="0.3">
      <c r="K4342" t="str">
        <f>IF($D4342="","",IFERROR(INDEX(Mapping!$H$3:$H$32,MATCH($B4342,Mapping!$G$3:$G$32,0)),IF(LEFT($F4342,3)="P2P",IFERROR(INDEX(Mapping!$E$3:$E$6,MATCH($G4342,Mapping!$D$3:$D$6,0)),IFERROR(INDEX(Mapping!$B$3:$B$13,MATCH($J4342,Mapping!$A$3:$A$13,0)),"(unmapped)")),IFERROR(INDEX(Mapping!$B$17:$B$22,MATCH($F4342,Mapping!$A$17:$A$22,0)),$F4342)&amp;" "&amp;IF($G4342="Banking","Banking",IFERROR(INDEX(Mapping!$E$17:$E$28,MATCH($J4342,Mapping!$D$17:$D$28,0)),"(unmapped)")))))</f>
        <v/>
      </c>
    </row>
    <row r="4343" spans="11:11" x14ac:dyDescent="0.3">
      <c r="K4343" t="str">
        <f>IF($D4343="","",IFERROR(INDEX(Mapping!$H$3:$H$32,MATCH($B4343,Mapping!$G$3:$G$32,0)),IF(LEFT($F4343,3)="P2P",IFERROR(INDEX(Mapping!$E$3:$E$6,MATCH($G4343,Mapping!$D$3:$D$6,0)),IFERROR(INDEX(Mapping!$B$3:$B$13,MATCH($J4343,Mapping!$A$3:$A$13,0)),"(unmapped)")),IFERROR(INDEX(Mapping!$B$17:$B$22,MATCH($F4343,Mapping!$A$17:$A$22,0)),$F4343)&amp;" "&amp;IF($G4343="Banking","Banking",IFERROR(INDEX(Mapping!$E$17:$E$28,MATCH($J4343,Mapping!$D$17:$D$28,0)),"(unmapped)")))))</f>
        <v/>
      </c>
    </row>
    <row r="4344" spans="11:11" x14ac:dyDescent="0.3">
      <c r="K4344" t="str">
        <f>IF($D4344="","",IFERROR(INDEX(Mapping!$H$3:$H$32,MATCH($B4344,Mapping!$G$3:$G$32,0)),IF(LEFT($F4344,3)="P2P",IFERROR(INDEX(Mapping!$E$3:$E$6,MATCH($G4344,Mapping!$D$3:$D$6,0)),IFERROR(INDEX(Mapping!$B$3:$B$13,MATCH($J4344,Mapping!$A$3:$A$13,0)),"(unmapped)")),IFERROR(INDEX(Mapping!$B$17:$B$22,MATCH($F4344,Mapping!$A$17:$A$22,0)),$F4344)&amp;" "&amp;IF($G4344="Banking","Banking",IFERROR(INDEX(Mapping!$E$17:$E$28,MATCH($J4344,Mapping!$D$17:$D$28,0)),"(unmapped)")))))</f>
        <v/>
      </c>
    </row>
    <row r="4345" spans="11:11" x14ac:dyDescent="0.3">
      <c r="K4345" t="str">
        <f>IF($D4345="","",IFERROR(INDEX(Mapping!$H$3:$H$32,MATCH($B4345,Mapping!$G$3:$G$32,0)),IF(LEFT($F4345,3)="P2P",IFERROR(INDEX(Mapping!$E$3:$E$6,MATCH($G4345,Mapping!$D$3:$D$6,0)),IFERROR(INDEX(Mapping!$B$3:$B$13,MATCH($J4345,Mapping!$A$3:$A$13,0)),"(unmapped)")),IFERROR(INDEX(Mapping!$B$17:$B$22,MATCH($F4345,Mapping!$A$17:$A$22,0)),$F4345)&amp;" "&amp;IF($G4345="Banking","Banking",IFERROR(INDEX(Mapping!$E$17:$E$28,MATCH($J4345,Mapping!$D$17:$D$28,0)),"(unmapped)")))))</f>
        <v/>
      </c>
    </row>
    <row r="4346" spans="11:11" x14ac:dyDescent="0.3">
      <c r="K4346" t="str">
        <f>IF($D4346="","",IFERROR(INDEX(Mapping!$H$3:$H$32,MATCH($B4346,Mapping!$G$3:$G$32,0)),IF(LEFT($F4346,3)="P2P",IFERROR(INDEX(Mapping!$E$3:$E$6,MATCH($G4346,Mapping!$D$3:$D$6,0)),IFERROR(INDEX(Mapping!$B$3:$B$13,MATCH($J4346,Mapping!$A$3:$A$13,0)),"(unmapped)")),IFERROR(INDEX(Mapping!$B$17:$B$22,MATCH($F4346,Mapping!$A$17:$A$22,0)),$F4346)&amp;" "&amp;IF($G4346="Banking","Banking",IFERROR(INDEX(Mapping!$E$17:$E$28,MATCH($J4346,Mapping!$D$17:$D$28,0)),"(unmapped)")))))</f>
        <v/>
      </c>
    </row>
    <row r="4347" spans="11:11" x14ac:dyDescent="0.3">
      <c r="K4347" t="str">
        <f>IF($D4347="","",IFERROR(INDEX(Mapping!$H$3:$H$32,MATCH($B4347,Mapping!$G$3:$G$32,0)),IF(LEFT($F4347,3)="P2P",IFERROR(INDEX(Mapping!$E$3:$E$6,MATCH($G4347,Mapping!$D$3:$D$6,0)),IFERROR(INDEX(Mapping!$B$3:$B$13,MATCH($J4347,Mapping!$A$3:$A$13,0)),"(unmapped)")),IFERROR(INDEX(Mapping!$B$17:$B$22,MATCH($F4347,Mapping!$A$17:$A$22,0)),$F4347)&amp;" "&amp;IF($G4347="Banking","Banking",IFERROR(INDEX(Mapping!$E$17:$E$28,MATCH($J4347,Mapping!$D$17:$D$28,0)),"(unmapped)")))))</f>
        <v/>
      </c>
    </row>
    <row r="4348" spans="11:11" x14ac:dyDescent="0.3">
      <c r="K4348" t="str">
        <f>IF($D4348="","",IFERROR(INDEX(Mapping!$H$3:$H$32,MATCH($B4348,Mapping!$G$3:$G$32,0)),IF(LEFT($F4348,3)="P2P",IFERROR(INDEX(Mapping!$E$3:$E$6,MATCH($G4348,Mapping!$D$3:$D$6,0)),IFERROR(INDEX(Mapping!$B$3:$B$13,MATCH($J4348,Mapping!$A$3:$A$13,0)),"(unmapped)")),IFERROR(INDEX(Mapping!$B$17:$B$22,MATCH($F4348,Mapping!$A$17:$A$22,0)),$F4348)&amp;" "&amp;IF($G4348="Banking","Banking",IFERROR(INDEX(Mapping!$E$17:$E$28,MATCH($J4348,Mapping!$D$17:$D$28,0)),"(unmapped)")))))</f>
        <v/>
      </c>
    </row>
    <row r="4349" spans="11:11" x14ac:dyDescent="0.3">
      <c r="K4349" t="str">
        <f>IF($D4349="","",IFERROR(INDEX(Mapping!$H$3:$H$32,MATCH($B4349,Mapping!$G$3:$G$32,0)),IF(LEFT($F4349,3)="P2P",IFERROR(INDEX(Mapping!$E$3:$E$6,MATCH($G4349,Mapping!$D$3:$D$6,0)),IFERROR(INDEX(Mapping!$B$3:$B$13,MATCH($J4349,Mapping!$A$3:$A$13,0)),"(unmapped)")),IFERROR(INDEX(Mapping!$B$17:$B$22,MATCH($F4349,Mapping!$A$17:$A$22,0)),$F4349)&amp;" "&amp;IF($G4349="Banking","Banking",IFERROR(INDEX(Mapping!$E$17:$E$28,MATCH($J4349,Mapping!$D$17:$D$28,0)),"(unmapped)")))))</f>
        <v/>
      </c>
    </row>
    <row r="4350" spans="11:11" x14ac:dyDescent="0.3">
      <c r="K4350" t="str">
        <f>IF($D4350="","",IFERROR(INDEX(Mapping!$H$3:$H$32,MATCH($B4350,Mapping!$G$3:$G$32,0)),IF(LEFT($F4350,3)="P2P",IFERROR(INDEX(Mapping!$E$3:$E$6,MATCH($G4350,Mapping!$D$3:$D$6,0)),IFERROR(INDEX(Mapping!$B$3:$B$13,MATCH($J4350,Mapping!$A$3:$A$13,0)),"(unmapped)")),IFERROR(INDEX(Mapping!$B$17:$B$22,MATCH($F4350,Mapping!$A$17:$A$22,0)),$F4350)&amp;" "&amp;IF($G4350="Banking","Banking",IFERROR(INDEX(Mapping!$E$17:$E$28,MATCH($J4350,Mapping!$D$17:$D$28,0)),"(unmapped)")))))</f>
        <v/>
      </c>
    </row>
    <row r="4351" spans="11:11" x14ac:dyDescent="0.3">
      <c r="K4351" t="str">
        <f>IF($D4351="","",IFERROR(INDEX(Mapping!$H$3:$H$32,MATCH($B4351,Mapping!$G$3:$G$32,0)),IF(LEFT($F4351,3)="P2P",IFERROR(INDEX(Mapping!$E$3:$E$6,MATCH($G4351,Mapping!$D$3:$D$6,0)),IFERROR(INDEX(Mapping!$B$3:$B$13,MATCH($J4351,Mapping!$A$3:$A$13,0)),"(unmapped)")),IFERROR(INDEX(Mapping!$B$17:$B$22,MATCH($F4351,Mapping!$A$17:$A$22,0)),$F4351)&amp;" "&amp;IF($G4351="Banking","Banking",IFERROR(INDEX(Mapping!$E$17:$E$28,MATCH($J4351,Mapping!$D$17:$D$28,0)),"(unmapped)")))))</f>
        <v/>
      </c>
    </row>
    <row r="4352" spans="11:11" x14ac:dyDescent="0.3">
      <c r="K4352" t="str">
        <f>IF($D4352="","",IFERROR(INDEX(Mapping!$H$3:$H$32,MATCH($B4352,Mapping!$G$3:$G$32,0)),IF(LEFT($F4352,3)="P2P",IFERROR(INDEX(Mapping!$E$3:$E$6,MATCH($G4352,Mapping!$D$3:$D$6,0)),IFERROR(INDEX(Mapping!$B$3:$B$13,MATCH($J4352,Mapping!$A$3:$A$13,0)),"(unmapped)")),IFERROR(INDEX(Mapping!$B$17:$B$22,MATCH($F4352,Mapping!$A$17:$A$22,0)),$F4352)&amp;" "&amp;IF($G4352="Banking","Banking",IFERROR(INDEX(Mapping!$E$17:$E$28,MATCH($J4352,Mapping!$D$17:$D$28,0)),"(unmapped)")))))</f>
        <v/>
      </c>
    </row>
    <row r="4353" spans="11:11" x14ac:dyDescent="0.3">
      <c r="K4353" t="str">
        <f>IF($D4353="","",IFERROR(INDEX(Mapping!$H$3:$H$32,MATCH($B4353,Mapping!$G$3:$G$32,0)),IF(LEFT($F4353,3)="P2P",IFERROR(INDEX(Mapping!$E$3:$E$6,MATCH($G4353,Mapping!$D$3:$D$6,0)),IFERROR(INDEX(Mapping!$B$3:$B$13,MATCH($J4353,Mapping!$A$3:$A$13,0)),"(unmapped)")),IFERROR(INDEX(Mapping!$B$17:$B$22,MATCH($F4353,Mapping!$A$17:$A$22,0)),$F4353)&amp;" "&amp;IF($G4353="Banking","Banking",IFERROR(INDEX(Mapping!$E$17:$E$28,MATCH($J4353,Mapping!$D$17:$D$28,0)),"(unmapped)")))))</f>
        <v/>
      </c>
    </row>
    <row r="4354" spans="11:11" x14ac:dyDescent="0.3">
      <c r="K4354" t="str">
        <f>IF($D4354="","",IFERROR(INDEX(Mapping!$H$3:$H$32,MATCH($B4354,Mapping!$G$3:$G$32,0)),IF(LEFT($F4354,3)="P2P",IFERROR(INDEX(Mapping!$E$3:$E$6,MATCH($G4354,Mapping!$D$3:$D$6,0)),IFERROR(INDEX(Mapping!$B$3:$B$13,MATCH($J4354,Mapping!$A$3:$A$13,0)),"(unmapped)")),IFERROR(INDEX(Mapping!$B$17:$B$22,MATCH($F4354,Mapping!$A$17:$A$22,0)),$F4354)&amp;" "&amp;IF($G4354="Banking","Banking",IFERROR(INDEX(Mapping!$E$17:$E$28,MATCH($J4354,Mapping!$D$17:$D$28,0)),"(unmapped)")))))</f>
        <v/>
      </c>
    </row>
    <row r="4355" spans="11:11" x14ac:dyDescent="0.3">
      <c r="K4355" t="str">
        <f>IF($D4355="","",IFERROR(INDEX(Mapping!$H$3:$H$32,MATCH($B4355,Mapping!$G$3:$G$32,0)),IF(LEFT($F4355,3)="P2P",IFERROR(INDEX(Mapping!$E$3:$E$6,MATCH($G4355,Mapping!$D$3:$D$6,0)),IFERROR(INDEX(Mapping!$B$3:$B$13,MATCH($J4355,Mapping!$A$3:$A$13,0)),"(unmapped)")),IFERROR(INDEX(Mapping!$B$17:$B$22,MATCH($F4355,Mapping!$A$17:$A$22,0)),$F4355)&amp;" "&amp;IF($G4355="Banking","Banking",IFERROR(INDEX(Mapping!$E$17:$E$28,MATCH($J4355,Mapping!$D$17:$D$28,0)),"(unmapped)")))))</f>
        <v/>
      </c>
    </row>
    <row r="4356" spans="11:11" x14ac:dyDescent="0.3">
      <c r="K4356" t="str">
        <f>IF($D4356="","",IFERROR(INDEX(Mapping!$H$3:$H$32,MATCH($B4356,Mapping!$G$3:$G$32,0)),IF(LEFT($F4356,3)="P2P",IFERROR(INDEX(Mapping!$E$3:$E$6,MATCH($G4356,Mapping!$D$3:$D$6,0)),IFERROR(INDEX(Mapping!$B$3:$B$13,MATCH($J4356,Mapping!$A$3:$A$13,0)),"(unmapped)")),IFERROR(INDEX(Mapping!$B$17:$B$22,MATCH($F4356,Mapping!$A$17:$A$22,0)),$F4356)&amp;" "&amp;IF($G4356="Banking","Banking",IFERROR(INDEX(Mapping!$E$17:$E$28,MATCH($J4356,Mapping!$D$17:$D$28,0)),"(unmapped)")))))</f>
        <v/>
      </c>
    </row>
    <row r="4357" spans="11:11" x14ac:dyDescent="0.3">
      <c r="K4357" t="str">
        <f>IF($D4357="","",IFERROR(INDEX(Mapping!$H$3:$H$32,MATCH($B4357,Mapping!$G$3:$G$32,0)),IF(LEFT($F4357,3)="P2P",IFERROR(INDEX(Mapping!$E$3:$E$6,MATCH($G4357,Mapping!$D$3:$D$6,0)),IFERROR(INDEX(Mapping!$B$3:$B$13,MATCH($J4357,Mapping!$A$3:$A$13,0)),"(unmapped)")),IFERROR(INDEX(Mapping!$B$17:$B$22,MATCH($F4357,Mapping!$A$17:$A$22,0)),$F4357)&amp;" "&amp;IF($G4357="Banking","Banking",IFERROR(INDEX(Mapping!$E$17:$E$28,MATCH($J4357,Mapping!$D$17:$D$28,0)),"(unmapped)")))))</f>
        <v/>
      </c>
    </row>
    <row r="4358" spans="11:11" x14ac:dyDescent="0.3">
      <c r="K4358" t="str">
        <f>IF($D4358="","",IFERROR(INDEX(Mapping!$H$3:$H$32,MATCH($B4358,Mapping!$G$3:$G$32,0)),IF(LEFT($F4358,3)="P2P",IFERROR(INDEX(Mapping!$E$3:$E$6,MATCH($G4358,Mapping!$D$3:$D$6,0)),IFERROR(INDEX(Mapping!$B$3:$B$13,MATCH($J4358,Mapping!$A$3:$A$13,0)),"(unmapped)")),IFERROR(INDEX(Mapping!$B$17:$B$22,MATCH($F4358,Mapping!$A$17:$A$22,0)),$F4358)&amp;" "&amp;IF($G4358="Banking","Banking",IFERROR(INDEX(Mapping!$E$17:$E$28,MATCH($J4358,Mapping!$D$17:$D$28,0)),"(unmapped)")))))</f>
        <v/>
      </c>
    </row>
    <row r="4359" spans="11:11" x14ac:dyDescent="0.3">
      <c r="K4359" t="str">
        <f>IF($D4359="","",IFERROR(INDEX(Mapping!$H$3:$H$32,MATCH($B4359,Mapping!$G$3:$G$32,0)),IF(LEFT($F4359,3)="P2P",IFERROR(INDEX(Mapping!$E$3:$E$6,MATCH($G4359,Mapping!$D$3:$D$6,0)),IFERROR(INDEX(Mapping!$B$3:$B$13,MATCH($J4359,Mapping!$A$3:$A$13,0)),"(unmapped)")),IFERROR(INDEX(Mapping!$B$17:$B$22,MATCH($F4359,Mapping!$A$17:$A$22,0)),$F4359)&amp;" "&amp;IF($G4359="Banking","Banking",IFERROR(INDEX(Mapping!$E$17:$E$28,MATCH($J4359,Mapping!$D$17:$D$28,0)),"(unmapped)")))))</f>
        <v/>
      </c>
    </row>
    <row r="4360" spans="11:11" x14ac:dyDescent="0.3">
      <c r="K4360" t="str">
        <f>IF($D4360="","",IFERROR(INDEX(Mapping!$H$3:$H$32,MATCH($B4360,Mapping!$G$3:$G$32,0)),IF(LEFT($F4360,3)="P2P",IFERROR(INDEX(Mapping!$E$3:$E$6,MATCH($G4360,Mapping!$D$3:$D$6,0)),IFERROR(INDEX(Mapping!$B$3:$B$13,MATCH($J4360,Mapping!$A$3:$A$13,0)),"(unmapped)")),IFERROR(INDEX(Mapping!$B$17:$B$22,MATCH($F4360,Mapping!$A$17:$A$22,0)),$F4360)&amp;" "&amp;IF($G4360="Banking","Banking",IFERROR(INDEX(Mapping!$E$17:$E$28,MATCH($J4360,Mapping!$D$17:$D$28,0)),"(unmapped)")))))</f>
        <v/>
      </c>
    </row>
    <row r="4361" spans="11:11" x14ac:dyDescent="0.3">
      <c r="K4361" t="str">
        <f>IF($D4361="","",IFERROR(INDEX(Mapping!$H$3:$H$32,MATCH($B4361,Mapping!$G$3:$G$32,0)),IF(LEFT($F4361,3)="P2P",IFERROR(INDEX(Mapping!$E$3:$E$6,MATCH($G4361,Mapping!$D$3:$D$6,0)),IFERROR(INDEX(Mapping!$B$3:$B$13,MATCH($J4361,Mapping!$A$3:$A$13,0)),"(unmapped)")),IFERROR(INDEX(Mapping!$B$17:$B$22,MATCH($F4361,Mapping!$A$17:$A$22,0)),$F4361)&amp;" "&amp;IF($G4361="Banking","Banking",IFERROR(INDEX(Mapping!$E$17:$E$28,MATCH($J4361,Mapping!$D$17:$D$28,0)),"(unmapped)")))))</f>
        <v/>
      </c>
    </row>
    <row r="4362" spans="11:11" x14ac:dyDescent="0.3">
      <c r="K4362" t="str">
        <f>IF($D4362="","",IFERROR(INDEX(Mapping!$H$3:$H$32,MATCH($B4362,Mapping!$G$3:$G$32,0)),IF(LEFT($F4362,3)="P2P",IFERROR(INDEX(Mapping!$E$3:$E$6,MATCH($G4362,Mapping!$D$3:$D$6,0)),IFERROR(INDEX(Mapping!$B$3:$B$13,MATCH($J4362,Mapping!$A$3:$A$13,0)),"(unmapped)")),IFERROR(INDEX(Mapping!$B$17:$B$22,MATCH($F4362,Mapping!$A$17:$A$22,0)),$F4362)&amp;" "&amp;IF($G4362="Banking","Banking",IFERROR(INDEX(Mapping!$E$17:$E$28,MATCH($J4362,Mapping!$D$17:$D$28,0)),"(unmapped)")))))</f>
        <v/>
      </c>
    </row>
    <row r="4363" spans="11:11" x14ac:dyDescent="0.3">
      <c r="K4363" t="str">
        <f>IF($D4363="","",IFERROR(INDEX(Mapping!$H$3:$H$32,MATCH($B4363,Mapping!$G$3:$G$32,0)),IF(LEFT($F4363,3)="P2P",IFERROR(INDEX(Mapping!$E$3:$E$6,MATCH($G4363,Mapping!$D$3:$D$6,0)),IFERROR(INDEX(Mapping!$B$3:$B$13,MATCH($J4363,Mapping!$A$3:$A$13,0)),"(unmapped)")),IFERROR(INDEX(Mapping!$B$17:$B$22,MATCH($F4363,Mapping!$A$17:$A$22,0)),$F4363)&amp;" "&amp;IF($G4363="Banking","Banking",IFERROR(INDEX(Mapping!$E$17:$E$28,MATCH($J4363,Mapping!$D$17:$D$28,0)),"(unmapped)")))))</f>
        <v/>
      </c>
    </row>
    <row r="4364" spans="11:11" x14ac:dyDescent="0.3">
      <c r="K4364" t="str">
        <f>IF($D4364="","",IFERROR(INDEX(Mapping!$H$3:$H$32,MATCH($B4364,Mapping!$G$3:$G$32,0)),IF(LEFT($F4364,3)="P2P",IFERROR(INDEX(Mapping!$E$3:$E$6,MATCH($G4364,Mapping!$D$3:$D$6,0)),IFERROR(INDEX(Mapping!$B$3:$B$13,MATCH($J4364,Mapping!$A$3:$A$13,0)),"(unmapped)")),IFERROR(INDEX(Mapping!$B$17:$B$22,MATCH($F4364,Mapping!$A$17:$A$22,0)),$F4364)&amp;" "&amp;IF($G4364="Banking","Banking",IFERROR(INDEX(Mapping!$E$17:$E$28,MATCH($J4364,Mapping!$D$17:$D$28,0)),"(unmapped)")))))</f>
        <v/>
      </c>
    </row>
    <row r="4365" spans="11:11" x14ac:dyDescent="0.3">
      <c r="K4365" t="str">
        <f>IF($D4365="","",IFERROR(INDEX(Mapping!$H$3:$H$32,MATCH($B4365,Mapping!$G$3:$G$32,0)),IF(LEFT($F4365,3)="P2P",IFERROR(INDEX(Mapping!$E$3:$E$6,MATCH($G4365,Mapping!$D$3:$D$6,0)),IFERROR(INDEX(Mapping!$B$3:$B$13,MATCH($J4365,Mapping!$A$3:$A$13,0)),"(unmapped)")),IFERROR(INDEX(Mapping!$B$17:$B$22,MATCH($F4365,Mapping!$A$17:$A$22,0)),$F4365)&amp;" "&amp;IF($G4365="Banking","Banking",IFERROR(INDEX(Mapping!$E$17:$E$28,MATCH($J4365,Mapping!$D$17:$D$28,0)),"(unmapped)")))))</f>
        <v/>
      </c>
    </row>
    <row r="4366" spans="11:11" x14ac:dyDescent="0.3">
      <c r="K4366" t="str">
        <f>IF($D4366="","",IFERROR(INDEX(Mapping!$H$3:$H$32,MATCH($B4366,Mapping!$G$3:$G$32,0)),IF(LEFT($F4366,3)="P2P",IFERROR(INDEX(Mapping!$E$3:$E$6,MATCH($G4366,Mapping!$D$3:$D$6,0)),IFERROR(INDEX(Mapping!$B$3:$B$13,MATCH($J4366,Mapping!$A$3:$A$13,0)),"(unmapped)")),IFERROR(INDEX(Mapping!$B$17:$B$22,MATCH($F4366,Mapping!$A$17:$A$22,0)),$F4366)&amp;" "&amp;IF($G4366="Banking","Banking",IFERROR(INDEX(Mapping!$E$17:$E$28,MATCH($J4366,Mapping!$D$17:$D$28,0)),"(unmapped)")))))</f>
        <v/>
      </c>
    </row>
    <row r="4367" spans="11:11" x14ac:dyDescent="0.3">
      <c r="K4367" t="str">
        <f>IF($D4367="","",IFERROR(INDEX(Mapping!$H$3:$H$32,MATCH($B4367,Mapping!$G$3:$G$32,0)),IF(LEFT($F4367,3)="P2P",IFERROR(INDEX(Mapping!$E$3:$E$6,MATCH($G4367,Mapping!$D$3:$D$6,0)),IFERROR(INDEX(Mapping!$B$3:$B$13,MATCH($J4367,Mapping!$A$3:$A$13,0)),"(unmapped)")),IFERROR(INDEX(Mapping!$B$17:$B$22,MATCH($F4367,Mapping!$A$17:$A$22,0)),$F4367)&amp;" "&amp;IF($G4367="Banking","Banking",IFERROR(INDEX(Mapping!$E$17:$E$28,MATCH($J4367,Mapping!$D$17:$D$28,0)),"(unmapped)")))))</f>
        <v/>
      </c>
    </row>
    <row r="4368" spans="11:11" x14ac:dyDescent="0.3">
      <c r="K4368" t="str">
        <f>IF($D4368="","",IFERROR(INDEX(Mapping!$H$3:$H$32,MATCH($B4368,Mapping!$G$3:$G$32,0)),IF(LEFT($F4368,3)="P2P",IFERROR(INDEX(Mapping!$E$3:$E$6,MATCH($G4368,Mapping!$D$3:$D$6,0)),IFERROR(INDEX(Mapping!$B$3:$B$13,MATCH($J4368,Mapping!$A$3:$A$13,0)),"(unmapped)")),IFERROR(INDEX(Mapping!$B$17:$B$22,MATCH($F4368,Mapping!$A$17:$A$22,0)),$F4368)&amp;" "&amp;IF($G4368="Banking","Banking",IFERROR(INDEX(Mapping!$E$17:$E$28,MATCH($J4368,Mapping!$D$17:$D$28,0)),"(unmapped)")))))</f>
        <v/>
      </c>
    </row>
    <row r="4369" spans="11:11" x14ac:dyDescent="0.3">
      <c r="K4369" t="str">
        <f>IF($D4369="","",IFERROR(INDEX(Mapping!$H$3:$H$32,MATCH($B4369,Mapping!$G$3:$G$32,0)),IF(LEFT($F4369,3)="P2P",IFERROR(INDEX(Mapping!$E$3:$E$6,MATCH($G4369,Mapping!$D$3:$D$6,0)),IFERROR(INDEX(Mapping!$B$3:$B$13,MATCH($J4369,Mapping!$A$3:$A$13,0)),"(unmapped)")),IFERROR(INDEX(Mapping!$B$17:$B$22,MATCH($F4369,Mapping!$A$17:$A$22,0)),$F4369)&amp;" "&amp;IF($G4369="Banking","Banking",IFERROR(INDEX(Mapping!$E$17:$E$28,MATCH($J4369,Mapping!$D$17:$D$28,0)),"(unmapped)")))))</f>
        <v/>
      </c>
    </row>
    <row r="4370" spans="11:11" x14ac:dyDescent="0.3">
      <c r="K4370" t="str">
        <f>IF($D4370="","",IFERROR(INDEX(Mapping!$H$3:$H$32,MATCH($B4370,Mapping!$G$3:$G$32,0)),IF(LEFT($F4370,3)="P2P",IFERROR(INDEX(Mapping!$E$3:$E$6,MATCH($G4370,Mapping!$D$3:$D$6,0)),IFERROR(INDEX(Mapping!$B$3:$B$13,MATCH($J4370,Mapping!$A$3:$A$13,0)),"(unmapped)")),IFERROR(INDEX(Mapping!$B$17:$B$22,MATCH($F4370,Mapping!$A$17:$A$22,0)),$F4370)&amp;" "&amp;IF($G4370="Banking","Banking",IFERROR(INDEX(Mapping!$E$17:$E$28,MATCH($J4370,Mapping!$D$17:$D$28,0)),"(unmapped)")))))</f>
        <v/>
      </c>
    </row>
    <row r="4371" spans="11:11" x14ac:dyDescent="0.3">
      <c r="K4371" t="str">
        <f>IF($D4371="","",IFERROR(INDEX(Mapping!$H$3:$H$32,MATCH($B4371,Mapping!$G$3:$G$32,0)),IF(LEFT($F4371,3)="P2P",IFERROR(INDEX(Mapping!$E$3:$E$6,MATCH($G4371,Mapping!$D$3:$D$6,0)),IFERROR(INDEX(Mapping!$B$3:$B$13,MATCH($J4371,Mapping!$A$3:$A$13,0)),"(unmapped)")),IFERROR(INDEX(Mapping!$B$17:$B$22,MATCH($F4371,Mapping!$A$17:$A$22,0)),$F4371)&amp;" "&amp;IF($G4371="Banking","Banking",IFERROR(INDEX(Mapping!$E$17:$E$28,MATCH($J4371,Mapping!$D$17:$D$28,0)),"(unmapped)")))))</f>
        <v/>
      </c>
    </row>
    <row r="4372" spans="11:11" x14ac:dyDescent="0.3">
      <c r="K4372" t="str">
        <f>IF($D4372="","",IFERROR(INDEX(Mapping!$H$3:$H$32,MATCH($B4372,Mapping!$G$3:$G$32,0)),IF(LEFT($F4372,3)="P2P",IFERROR(INDEX(Mapping!$E$3:$E$6,MATCH($G4372,Mapping!$D$3:$D$6,0)),IFERROR(INDEX(Mapping!$B$3:$B$13,MATCH($J4372,Mapping!$A$3:$A$13,0)),"(unmapped)")),IFERROR(INDEX(Mapping!$B$17:$B$22,MATCH($F4372,Mapping!$A$17:$A$22,0)),$F4372)&amp;" "&amp;IF($G4372="Banking","Banking",IFERROR(INDEX(Mapping!$E$17:$E$28,MATCH($J4372,Mapping!$D$17:$D$28,0)),"(unmapped)")))))</f>
        <v/>
      </c>
    </row>
    <row r="4373" spans="11:11" x14ac:dyDescent="0.3">
      <c r="K4373" t="str">
        <f>IF($D4373="","",IFERROR(INDEX(Mapping!$H$3:$H$32,MATCH($B4373,Mapping!$G$3:$G$32,0)),IF(LEFT($F4373,3)="P2P",IFERROR(INDEX(Mapping!$E$3:$E$6,MATCH($G4373,Mapping!$D$3:$D$6,0)),IFERROR(INDEX(Mapping!$B$3:$B$13,MATCH($J4373,Mapping!$A$3:$A$13,0)),"(unmapped)")),IFERROR(INDEX(Mapping!$B$17:$B$22,MATCH($F4373,Mapping!$A$17:$A$22,0)),$F4373)&amp;" "&amp;IF($G4373="Banking","Banking",IFERROR(INDEX(Mapping!$E$17:$E$28,MATCH($J4373,Mapping!$D$17:$D$28,0)),"(unmapped)")))))</f>
        <v/>
      </c>
    </row>
    <row r="4374" spans="11:11" x14ac:dyDescent="0.3">
      <c r="K4374" t="str">
        <f>IF($D4374="","",IFERROR(INDEX(Mapping!$H$3:$H$32,MATCH($B4374,Mapping!$G$3:$G$32,0)),IF(LEFT($F4374,3)="P2P",IFERROR(INDEX(Mapping!$E$3:$E$6,MATCH($G4374,Mapping!$D$3:$D$6,0)),IFERROR(INDEX(Mapping!$B$3:$B$13,MATCH($J4374,Mapping!$A$3:$A$13,0)),"(unmapped)")),IFERROR(INDEX(Mapping!$B$17:$B$22,MATCH($F4374,Mapping!$A$17:$A$22,0)),$F4374)&amp;" "&amp;IF($G4374="Banking","Banking",IFERROR(INDEX(Mapping!$E$17:$E$28,MATCH($J4374,Mapping!$D$17:$D$28,0)),"(unmapped)")))))</f>
        <v/>
      </c>
    </row>
    <row r="4375" spans="11:11" x14ac:dyDescent="0.3">
      <c r="K4375" t="str">
        <f>IF($D4375="","",IFERROR(INDEX(Mapping!$H$3:$H$32,MATCH($B4375,Mapping!$G$3:$G$32,0)),IF(LEFT($F4375,3)="P2P",IFERROR(INDEX(Mapping!$E$3:$E$6,MATCH($G4375,Mapping!$D$3:$D$6,0)),IFERROR(INDEX(Mapping!$B$3:$B$13,MATCH($J4375,Mapping!$A$3:$A$13,0)),"(unmapped)")),IFERROR(INDEX(Mapping!$B$17:$B$22,MATCH($F4375,Mapping!$A$17:$A$22,0)),$F4375)&amp;" "&amp;IF($G4375="Banking","Banking",IFERROR(INDEX(Mapping!$E$17:$E$28,MATCH($J4375,Mapping!$D$17:$D$28,0)),"(unmapped)")))))</f>
        <v/>
      </c>
    </row>
    <row r="4376" spans="11:11" x14ac:dyDescent="0.3">
      <c r="K4376" t="str">
        <f>IF($D4376="","",IFERROR(INDEX(Mapping!$H$3:$H$32,MATCH($B4376,Mapping!$G$3:$G$32,0)),IF(LEFT($F4376,3)="P2P",IFERROR(INDEX(Mapping!$E$3:$E$6,MATCH($G4376,Mapping!$D$3:$D$6,0)),IFERROR(INDEX(Mapping!$B$3:$B$13,MATCH($J4376,Mapping!$A$3:$A$13,0)),"(unmapped)")),IFERROR(INDEX(Mapping!$B$17:$B$22,MATCH($F4376,Mapping!$A$17:$A$22,0)),$F4376)&amp;" "&amp;IF($G4376="Banking","Banking",IFERROR(INDEX(Mapping!$E$17:$E$28,MATCH($J4376,Mapping!$D$17:$D$28,0)),"(unmapped)")))))</f>
        <v/>
      </c>
    </row>
    <row r="4377" spans="11:11" x14ac:dyDescent="0.3">
      <c r="K4377" t="str">
        <f>IF($D4377="","",IFERROR(INDEX(Mapping!$H$3:$H$32,MATCH($B4377,Mapping!$G$3:$G$32,0)),IF(LEFT($F4377,3)="P2P",IFERROR(INDEX(Mapping!$E$3:$E$6,MATCH($G4377,Mapping!$D$3:$D$6,0)),IFERROR(INDEX(Mapping!$B$3:$B$13,MATCH($J4377,Mapping!$A$3:$A$13,0)),"(unmapped)")),IFERROR(INDEX(Mapping!$B$17:$B$22,MATCH($F4377,Mapping!$A$17:$A$22,0)),$F4377)&amp;" "&amp;IF($G4377="Banking","Banking",IFERROR(INDEX(Mapping!$E$17:$E$28,MATCH($J4377,Mapping!$D$17:$D$28,0)),"(unmapped)")))))</f>
        <v/>
      </c>
    </row>
    <row r="4378" spans="11:11" x14ac:dyDescent="0.3">
      <c r="K4378" t="str">
        <f>IF($D4378="","",IFERROR(INDEX(Mapping!$H$3:$H$32,MATCH($B4378,Mapping!$G$3:$G$32,0)),IF(LEFT($F4378,3)="P2P",IFERROR(INDEX(Mapping!$E$3:$E$6,MATCH($G4378,Mapping!$D$3:$D$6,0)),IFERROR(INDEX(Mapping!$B$3:$B$13,MATCH($J4378,Mapping!$A$3:$A$13,0)),"(unmapped)")),IFERROR(INDEX(Mapping!$B$17:$B$22,MATCH($F4378,Mapping!$A$17:$A$22,0)),$F4378)&amp;" "&amp;IF($G4378="Banking","Banking",IFERROR(INDEX(Mapping!$E$17:$E$28,MATCH($J4378,Mapping!$D$17:$D$28,0)),"(unmapped)")))))</f>
        <v/>
      </c>
    </row>
    <row r="4379" spans="11:11" x14ac:dyDescent="0.3">
      <c r="K4379" t="str">
        <f>IF($D4379="","",IFERROR(INDEX(Mapping!$H$3:$H$32,MATCH($B4379,Mapping!$G$3:$G$32,0)),IF(LEFT($F4379,3)="P2P",IFERROR(INDEX(Mapping!$E$3:$E$6,MATCH($G4379,Mapping!$D$3:$D$6,0)),IFERROR(INDEX(Mapping!$B$3:$B$13,MATCH($J4379,Mapping!$A$3:$A$13,0)),"(unmapped)")),IFERROR(INDEX(Mapping!$B$17:$B$22,MATCH($F4379,Mapping!$A$17:$A$22,0)),$F4379)&amp;" "&amp;IF($G4379="Banking","Banking",IFERROR(INDEX(Mapping!$E$17:$E$28,MATCH($J4379,Mapping!$D$17:$D$28,0)),"(unmapped)")))))</f>
        <v/>
      </c>
    </row>
    <row r="4380" spans="11:11" x14ac:dyDescent="0.3">
      <c r="K4380" t="str">
        <f>IF($D4380="","",IFERROR(INDEX(Mapping!$H$3:$H$32,MATCH($B4380,Mapping!$G$3:$G$32,0)),IF(LEFT($F4380,3)="P2P",IFERROR(INDEX(Mapping!$E$3:$E$6,MATCH($G4380,Mapping!$D$3:$D$6,0)),IFERROR(INDEX(Mapping!$B$3:$B$13,MATCH($J4380,Mapping!$A$3:$A$13,0)),"(unmapped)")),IFERROR(INDEX(Mapping!$B$17:$B$22,MATCH($F4380,Mapping!$A$17:$A$22,0)),$F4380)&amp;" "&amp;IF($G4380="Banking","Banking",IFERROR(INDEX(Mapping!$E$17:$E$28,MATCH($J4380,Mapping!$D$17:$D$28,0)),"(unmapped)")))))</f>
        <v/>
      </c>
    </row>
    <row r="4381" spans="11:11" x14ac:dyDescent="0.3">
      <c r="K4381" t="str">
        <f>IF($D4381="","",IFERROR(INDEX(Mapping!$H$3:$H$32,MATCH($B4381,Mapping!$G$3:$G$32,0)),IF(LEFT($F4381,3)="P2P",IFERROR(INDEX(Mapping!$E$3:$E$6,MATCH($G4381,Mapping!$D$3:$D$6,0)),IFERROR(INDEX(Mapping!$B$3:$B$13,MATCH($J4381,Mapping!$A$3:$A$13,0)),"(unmapped)")),IFERROR(INDEX(Mapping!$B$17:$B$22,MATCH($F4381,Mapping!$A$17:$A$22,0)),$F4381)&amp;" "&amp;IF($G4381="Banking","Banking",IFERROR(INDEX(Mapping!$E$17:$E$28,MATCH($J4381,Mapping!$D$17:$D$28,0)),"(unmapped)")))))</f>
        <v/>
      </c>
    </row>
    <row r="4382" spans="11:11" x14ac:dyDescent="0.3">
      <c r="K4382" t="str">
        <f>IF($D4382="","",IFERROR(INDEX(Mapping!$H$3:$H$32,MATCH($B4382,Mapping!$G$3:$G$32,0)),IF(LEFT($F4382,3)="P2P",IFERROR(INDEX(Mapping!$E$3:$E$6,MATCH($G4382,Mapping!$D$3:$D$6,0)),IFERROR(INDEX(Mapping!$B$3:$B$13,MATCH($J4382,Mapping!$A$3:$A$13,0)),"(unmapped)")),IFERROR(INDEX(Mapping!$B$17:$B$22,MATCH($F4382,Mapping!$A$17:$A$22,0)),$F4382)&amp;" "&amp;IF($G4382="Banking","Banking",IFERROR(INDEX(Mapping!$E$17:$E$28,MATCH($J4382,Mapping!$D$17:$D$28,0)),"(unmapped)")))))</f>
        <v/>
      </c>
    </row>
    <row r="4383" spans="11:11" x14ac:dyDescent="0.3">
      <c r="K4383" t="str">
        <f>IF($D4383="","",IFERROR(INDEX(Mapping!$H$3:$H$32,MATCH($B4383,Mapping!$G$3:$G$32,0)),IF(LEFT($F4383,3)="P2P",IFERROR(INDEX(Mapping!$E$3:$E$6,MATCH($G4383,Mapping!$D$3:$D$6,0)),IFERROR(INDEX(Mapping!$B$3:$B$13,MATCH($J4383,Mapping!$A$3:$A$13,0)),"(unmapped)")),IFERROR(INDEX(Mapping!$B$17:$B$22,MATCH($F4383,Mapping!$A$17:$A$22,0)),$F4383)&amp;" "&amp;IF($G4383="Banking","Banking",IFERROR(INDEX(Mapping!$E$17:$E$28,MATCH($J4383,Mapping!$D$17:$D$28,0)),"(unmapped)")))))</f>
        <v/>
      </c>
    </row>
    <row r="4384" spans="11:11" x14ac:dyDescent="0.3">
      <c r="K4384" t="str">
        <f>IF($D4384="","",IFERROR(INDEX(Mapping!$H$3:$H$32,MATCH($B4384,Mapping!$G$3:$G$32,0)),IF(LEFT($F4384,3)="P2P",IFERROR(INDEX(Mapping!$E$3:$E$6,MATCH($G4384,Mapping!$D$3:$D$6,0)),IFERROR(INDEX(Mapping!$B$3:$B$13,MATCH($J4384,Mapping!$A$3:$A$13,0)),"(unmapped)")),IFERROR(INDEX(Mapping!$B$17:$B$22,MATCH($F4384,Mapping!$A$17:$A$22,0)),$F4384)&amp;" "&amp;IF($G4384="Banking","Banking",IFERROR(INDEX(Mapping!$E$17:$E$28,MATCH($J4384,Mapping!$D$17:$D$28,0)),"(unmapped)")))))</f>
        <v/>
      </c>
    </row>
    <row r="4385" spans="11:11" x14ac:dyDescent="0.3">
      <c r="K4385" t="str">
        <f>IF($D4385="","",IFERROR(INDEX(Mapping!$H$3:$H$32,MATCH($B4385,Mapping!$G$3:$G$32,0)),IF(LEFT($F4385,3)="P2P",IFERROR(INDEX(Mapping!$E$3:$E$6,MATCH($G4385,Mapping!$D$3:$D$6,0)),IFERROR(INDEX(Mapping!$B$3:$B$13,MATCH($J4385,Mapping!$A$3:$A$13,0)),"(unmapped)")),IFERROR(INDEX(Mapping!$B$17:$B$22,MATCH($F4385,Mapping!$A$17:$A$22,0)),$F4385)&amp;" "&amp;IF($G4385="Banking","Banking",IFERROR(INDEX(Mapping!$E$17:$E$28,MATCH($J4385,Mapping!$D$17:$D$28,0)),"(unmapped)")))))</f>
        <v/>
      </c>
    </row>
    <row r="4386" spans="11:11" x14ac:dyDescent="0.3">
      <c r="K4386" t="str">
        <f>IF($D4386="","",IFERROR(INDEX(Mapping!$H$3:$H$32,MATCH($B4386,Mapping!$G$3:$G$32,0)),IF(LEFT($F4386,3)="P2P",IFERROR(INDEX(Mapping!$E$3:$E$6,MATCH($G4386,Mapping!$D$3:$D$6,0)),IFERROR(INDEX(Mapping!$B$3:$B$13,MATCH($J4386,Mapping!$A$3:$A$13,0)),"(unmapped)")),IFERROR(INDEX(Mapping!$B$17:$B$22,MATCH($F4386,Mapping!$A$17:$A$22,0)),$F4386)&amp;" "&amp;IF($G4386="Banking","Banking",IFERROR(INDEX(Mapping!$E$17:$E$28,MATCH($J4386,Mapping!$D$17:$D$28,0)),"(unmapped)")))))</f>
        <v/>
      </c>
    </row>
    <row r="4387" spans="11:11" x14ac:dyDescent="0.3">
      <c r="K4387" t="str">
        <f>IF($D4387="","",IFERROR(INDEX(Mapping!$H$3:$H$32,MATCH($B4387,Mapping!$G$3:$G$32,0)),IF(LEFT($F4387,3)="P2P",IFERROR(INDEX(Mapping!$E$3:$E$6,MATCH($G4387,Mapping!$D$3:$D$6,0)),IFERROR(INDEX(Mapping!$B$3:$B$13,MATCH($J4387,Mapping!$A$3:$A$13,0)),"(unmapped)")),IFERROR(INDEX(Mapping!$B$17:$B$22,MATCH($F4387,Mapping!$A$17:$A$22,0)),$F4387)&amp;" "&amp;IF($G4387="Banking","Banking",IFERROR(INDEX(Mapping!$E$17:$E$28,MATCH($J4387,Mapping!$D$17:$D$28,0)),"(unmapped)")))))</f>
        <v/>
      </c>
    </row>
    <row r="4388" spans="11:11" x14ac:dyDescent="0.3">
      <c r="K4388" t="str">
        <f>IF($D4388="","",IFERROR(INDEX(Mapping!$H$3:$H$32,MATCH($B4388,Mapping!$G$3:$G$32,0)),IF(LEFT($F4388,3)="P2P",IFERROR(INDEX(Mapping!$E$3:$E$6,MATCH($G4388,Mapping!$D$3:$D$6,0)),IFERROR(INDEX(Mapping!$B$3:$B$13,MATCH($J4388,Mapping!$A$3:$A$13,0)),"(unmapped)")),IFERROR(INDEX(Mapping!$B$17:$B$22,MATCH($F4388,Mapping!$A$17:$A$22,0)),$F4388)&amp;" "&amp;IF($G4388="Banking","Banking",IFERROR(INDEX(Mapping!$E$17:$E$28,MATCH($J4388,Mapping!$D$17:$D$28,0)),"(unmapped)")))))</f>
        <v/>
      </c>
    </row>
    <row r="4389" spans="11:11" x14ac:dyDescent="0.3">
      <c r="K4389" t="str">
        <f>IF($D4389="","",IFERROR(INDEX(Mapping!$H$3:$H$32,MATCH($B4389,Mapping!$G$3:$G$32,0)),IF(LEFT($F4389,3)="P2P",IFERROR(INDEX(Mapping!$E$3:$E$6,MATCH($G4389,Mapping!$D$3:$D$6,0)),IFERROR(INDEX(Mapping!$B$3:$B$13,MATCH($J4389,Mapping!$A$3:$A$13,0)),"(unmapped)")),IFERROR(INDEX(Mapping!$B$17:$B$22,MATCH($F4389,Mapping!$A$17:$A$22,0)),$F4389)&amp;" "&amp;IF($G4389="Banking","Banking",IFERROR(INDEX(Mapping!$E$17:$E$28,MATCH($J4389,Mapping!$D$17:$D$28,0)),"(unmapped)")))))</f>
        <v/>
      </c>
    </row>
    <row r="4390" spans="11:11" x14ac:dyDescent="0.3">
      <c r="K4390" t="str">
        <f>IF($D4390="","",IFERROR(INDEX(Mapping!$H$3:$H$32,MATCH($B4390,Mapping!$G$3:$G$32,0)),IF(LEFT($F4390,3)="P2P",IFERROR(INDEX(Mapping!$E$3:$E$6,MATCH($G4390,Mapping!$D$3:$D$6,0)),IFERROR(INDEX(Mapping!$B$3:$B$13,MATCH($J4390,Mapping!$A$3:$A$13,0)),"(unmapped)")),IFERROR(INDEX(Mapping!$B$17:$B$22,MATCH($F4390,Mapping!$A$17:$A$22,0)),$F4390)&amp;" "&amp;IF($G4390="Banking","Banking",IFERROR(INDEX(Mapping!$E$17:$E$28,MATCH($J4390,Mapping!$D$17:$D$28,0)),"(unmapped)")))))</f>
        <v/>
      </c>
    </row>
    <row r="4391" spans="11:11" x14ac:dyDescent="0.3">
      <c r="K4391" t="str">
        <f>IF($D4391="","",IFERROR(INDEX(Mapping!$H$3:$H$32,MATCH($B4391,Mapping!$G$3:$G$32,0)),IF(LEFT($F4391,3)="P2P",IFERROR(INDEX(Mapping!$E$3:$E$6,MATCH($G4391,Mapping!$D$3:$D$6,0)),IFERROR(INDEX(Mapping!$B$3:$B$13,MATCH($J4391,Mapping!$A$3:$A$13,0)),"(unmapped)")),IFERROR(INDEX(Mapping!$B$17:$B$22,MATCH($F4391,Mapping!$A$17:$A$22,0)),$F4391)&amp;" "&amp;IF($G4391="Banking","Banking",IFERROR(INDEX(Mapping!$E$17:$E$28,MATCH($J4391,Mapping!$D$17:$D$28,0)),"(unmapped)")))))</f>
        <v/>
      </c>
    </row>
    <row r="4392" spans="11:11" x14ac:dyDescent="0.3">
      <c r="K4392" t="str">
        <f>IF($D4392="","",IFERROR(INDEX(Mapping!$H$3:$H$32,MATCH($B4392,Mapping!$G$3:$G$32,0)),IF(LEFT($F4392,3)="P2P",IFERROR(INDEX(Mapping!$E$3:$E$6,MATCH($G4392,Mapping!$D$3:$D$6,0)),IFERROR(INDEX(Mapping!$B$3:$B$13,MATCH($J4392,Mapping!$A$3:$A$13,0)),"(unmapped)")),IFERROR(INDEX(Mapping!$B$17:$B$22,MATCH($F4392,Mapping!$A$17:$A$22,0)),$F4392)&amp;" "&amp;IF($G4392="Banking","Banking",IFERROR(INDEX(Mapping!$E$17:$E$28,MATCH($J4392,Mapping!$D$17:$D$28,0)),"(unmapped)")))))</f>
        <v/>
      </c>
    </row>
    <row r="4393" spans="11:11" x14ac:dyDescent="0.3">
      <c r="K4393" t="str">
        <f>IF($D4393="","",IFERROR(INDEX(Mapping!$H$3:$H$32,MATCH($B4393,Mapping!$G$3:$G$32,0)),IF(LEFT($F4393,3)="P2P",IFERROR(INDEX(Mapping!$E$3:$E$6,MATCH($G4393,Mapping!$D$3:$D$6,0)),IFERROR(INDEX(Mapping!$B$3:$B$13,MATCH($J4393,Mapping!$A$3:$A$13,0)),"(unmapped)")),IFERROR(INDEX(Mapping!$B$17:$B$22,MATCH($F4393,Mapping!$A$17:$A$22,0)),$F4393)&amp;" "&amp;IF($G4393="Banking","Banking",IFERROR(INDEX(Mapping!$E$17:$E$28,MATCH($J4393,Mapping!$D$17:$D$28,0)),"(unmapped)")))))</f>
        <v/>
      </c>
    </row>
    <row r="4394" spans="11:11" x14ac:dyDescent="0.3">
      <c r="K4394" t="str">
        <f>IF($D4394="","",IFERROR(INDEX(Mapping!$H$3:$H$32,MATCH($B4394,Mapping!$G$3:$G$32,0)),IF(LEFT($F4394,3)="P2P",IFERROR(INDEX(Mapping!$E$3:$E$6,MATCH($G4394,Mapping!$D$3:$D$6,0)),IFERROR(INDEX(Mapping!$B$3:$B$13,MATCH($J4394,Mapping!$A$3:$A$13,0)),"(unmapped)")),IFERROR(INDEX(Mapping!$B$17:$B$22,MATCH($F4394,Mapping!$A$17:$A$22,0)),$F4394)&amp;" "&amp;IF($G4394="Banking","Banking",IFERROR(INDEX(Mapping!$E$17:$E$28,MATCH($J4394,Mapping!$D$17:$D$28,0)),"(unmapped)")))))</f>
        <v/>
      </c>
    </row>
    <row r="4395" spans="11:11" x14ac:dyDescent="0.3">
      <c r="K4395" t="str">
        <f>IF($D4395="","",IFERROR(INDEX(Mapping!$H$3:$H$32,MATCH($B4395,Mapping!$G$3:$G$32,0)),IF(LEFT($F4395,3)="P2P",IFERROR(INDEX(Mapping!$E$3:$E$6,MATCH($G4395,Mapping!$D$3:$D$6,0)),IFERROR(INDEX(Mapping!$B$3:$B$13,MATCH($J4395,Mapping!$A$3:$A$13,0)),"(unmapped)")),IFERROR(INDEX(Mapping!$B$17:$B$22,MATCH($F4395,Mapping!$A$17:$A$22,0)),$F4395)&amp;" "&amp;IF($G4395="Banking","Banking",IFERROR(INDEX(Mapping!$E$17:$E$28,MATCH($J4395,Mapping!$D$17:$D$28,0)),"(unmapped)")))))</f>
        <v/>
      </c>
    </row>
    <row r="4396" spans="11:11" x14ac:dyDescent="0.3">
      <c r="K4396" t="str">
        <f>IF($D4396="","",IFERROR(INDEX(Mapping!$H$3:$H$32,MATCH($B4396,Mapping!$G$3:$G$32,0)),IF(LEFT($F4396,3)="P2P",IFERROR(INDEX(Mapping!$E$3:$E$6,MATCH($G4396,Mapping!$D$3:$D$6,0)),IFERROR(INDEX(Mapping!$B$3:$B$13,MATCH($J4396,Mapping!$A$3:$A$13,0)),"(unmapped)")),IFERROR(INDEX(Mapping!$B$17:$B$22,MATCH($F4396,Mapping!$A$17:$A$22,0)),$F4396)&amp;" "&amp;IF($G4396="Banking","Banking",IFERROR(INDEX(Mapping!$E$17:$E$28,MATCH($J4396,Mapping!$D$17:$D$28,0)),"(unmapped)")))))</f>
        <v/>
      </c>
    </row>
    <row r="4397" spans="11:11" x14ac:dyDescent="0.3">
      <c r="K4397" t="str">
        <f>IF($D4397="","",IFERROR(INDEX(Mapping!$H$3:$H$32,MATCH($B4397,Mapping!$G$3:$G$32,0)),IF(LEFT($F4397,3)="P2P",IFERROR(INDEX(Mapping!$E$3:$E$6,MATCH($G4397,Mapping!$D$3:$D$6,0)),IFERROR(INDEX(Mapping!$B$3:$B$13,MATCH($J4397,Mapping!$A$3:$A$13,0)),"(unmapped)")),IFERROR(INDEX(Mapping!$B$17:$B$22,MATCH($F4397,Mapping!$A$17:$A$22,0)),$F4397)&amp;" "&amp;IF($G4397="Banking","Banking",IFERROR(INDEX(Mapping!$E$17:$E$28,MATCH($J4397,Mapping!$D$17:$D$28,0)),"(unmapped)")))))</f>
        <v/>
      </c>
    </row>
    <row r="4398" spans="11:11" x14ac:dyDescent="0.3">
      <c r="K4398" t="str">
        <f>IF($D4398="","",IFERROR(INDEX(Mapping!$H$3:$H$32,MATCH($B4398,Mapping!$G$3:$G$32,0)),IF(LEFT($F4398,3)="P2P",IFERROR(INDEX(Mapping!$E$3:$E$6,MATCH($G4398,Mapping!$D$3:$D$6,0)),IFERROR(INDEX(Mapping!$B$3:$B$13,MATCH($J4398,Mapping!$A$3:$A$13,0)),"(unmapped)")),IFERROR(INDEX(Mapping!$B$17:$B$22,MATCH($F4398,Mapping!$A$17:$A$22,0)),$F4398)&amp;" "&amp;IF($G4398="Banking","Banking",IFERROR(INDEX(Mapping!$E$17:$E$28,MATCH($J4398,Mapping!$D$17:$D$28,0)),"(unmapped)")))))</f>
        <v/>
      </c>
    </row>
    <row r="4399" spans="11:11" x14ac:dyDescent="0.3">
      <c r="K4399" t="str">
        <f>IF($D4399="","",IFERROR(INDEX(Mapping!$H$3:$H$32,MATCH($B4399,Mapping!$G$3:$G$32,0)),IF(LEFT($F4399,3)="P2P",IFERROR(INDEX(Mapping!$E$3:$E$6,MATCH($G4399,Mapping!$D$3:$D$6,0)),IFERROR(INDEX(Mapping!$B$3:$B$13,MATCH($J4399,Mapping!$A$3:$A$13,0)),"(unmapped)")),IFERROR(INDEX(Mapping!$B$17:$B$22,MATCH($F4399,Mapping!$A$17:$A$22,0)),$F4399)&amp;" "&amp;IF($G4399="Banking","Banking",IFERROR(INDEX(Mapping!$E$17:$E$28,MATCH($J4399,Mapping!$D$17:$D$28,0)),"(unmapped)")))))</f>
        <v/>
      </c>
    </row>
    <row r="4400" spans="11:11" x14ac:dyDescent="0.3">
      <c r="K4400" t="str">
        <f>IF($D4400="","",IFERROR(INDEX(Mapping!$H$3:$H$32,MATCH($B4400,Mapping!$G$3:$G$32,0)),IF(LEFT($F4400,3)="P2P",IFERROR(INDEX(Mapping!$E$3:$E$6,MATCH($G4400,Mapping!$D$3:$D$6,0)),IFERROR(INDEX(Mapping!$B$3:$B$13,MATCH($J4400,Mapping!$A$3:$A$13,0)),"(unmapped)")),IFERROR(INDEX(Mapping!$B$17:$B$22,MATCH($F4400,Mapping!$A$17:$A$22,0)),$F4400)&amp;" "&amp;IF($G4400="Banking","Banking",IFERROR(INDEX(Mapping!$E$17:$E$28,MATCH($J4400,Mapping!$D$17:$D$28,0)),"(unmapped)")))))</f>
        <v/>
      </c>
    </row>
    <row r="4401" spans="11:11" x14ac:dyDescent="0.3">
      <c r="K4401" t="str">
        <f>IF($D4401="","",IFERROR(INDEX(Mapping!$H$3:$H$32,MATCH($B4401,Mapping!$G$3:$G$32,0)),IF(LEFT($F4401,3)="P2P",IFERROR(INDEX(Mapping!$E$3:$E$6,MATCH($G4401,Mapping!$D$3:$D$6,0)),IFERROR(INDEX(Mapping!$B$3:$B$13,MATCH($J4401,Mapping!$A$3:$A$13,0)),"(unmapped)")),IFERROR(INDEX(Mapping!$B$17:$B$22,MATCH($F4401,Mapping!$A$17:$A$22,0)),$F4401)&amp;" "&amp;IF($G4401="Banking","Banking",IFERROR(INDEX(Mapping!$E$17:$E$28,MATCH($J4401,Mapping!$D$17:$D$28,0)),"(unmapped)")))))</f>
        <v/>
      </c>
    </row>
    <row r="4402" spans="11:11" x14ac:dyDescent="0.3">
      <c r="K4402" t="str">
        <f>IF($D4402="","",IFERROR(INDEX(Mapping!$H$3:$H$32,MATCH($B4402,Mapping!$G$3:$G$32,0)),IF(LEFT($F4402,3)="P2P",IFERROR(INDEX(Mapping!$E$3:$E$6,MATCH($G4402,Mapping!$D$3:$D$6,0)),IFERROR(INDEX(Mapping!$B$3:$B$13,MATCH($J4402,Mapping!$A$3:$A$13,0)),"(unmapped)")),IFERROR(INDEX(Mapping!$B$17:$B$22,MATCH($F4402,Mapping!$A$17:$A$22,0)),$F4402)&amp;" "&amp;IF($G4402="Banking","Banking",IFERROR(INDEX(Mapping!$E$17:$E$28,MATCH($J4402,Mapping!$D$17:$D$28,0)),"(unmapped)")))))</f>
        <v/>
      </c>
    </row>
    <row r="4403" spans="11:11" x14ac:dyDescent="0.3">
      <c r="K4403" t="str">
        <f>IF($D4403="","",IFERROR(INDEX(Mapping!$H$3:$H$32,MATCH($B4403,Mapping!$G$3:$G$32,0)),IF(LEFT($F4403,3)="P2P",IFERROR(INDEX(Mapping!$E$3:$E$6,MATCH($G4403,Mapping!$D$3:$D$6,0)),IFERROR(INDEX(Mapping!$B$3:$B$13,MATCH($J4403,Mapping!$A$3:$A$13,0)),"(unmapped)")),IFERROR(INDEX(Mapping!$B$17:$B$22,MATCH($F4403,Mapping!$A$17:$A$22,0)),$F4403)&amp;" "&amp;IF($G4403="Banking","Banking",IFERROR(INDEX(Mapping!$E$17:$E$28,MATCH($J4403,Mapping!$D$17:$D$28,0)),"(unmapped)")))))</f>
        <v/>
      </c>
    </row>
    <row r="4404" spans="11:11" x14ac:dyDescent="0.3">
      <c r="K4404" t="str">
        <f>IF($D4404="","",IFERROR(INDEX(Mapping!$H$3:$H$32,MATCH($B4404,Mapping!$G$3:$G$32,0)),IF(LEFT($F4404,3)="P2P",IFERROR(INDEX(Mapping!$E$3:$E$6,MATCH($G4404,Mapping!$D$3:$D$6,0)),IFERROR(INDEX(Mapping!$B$3:$B$13,MATCH($J4404,Mapping!$A$3:$A$13,0)),"(unmapped)")),IFERROR(INDEX(Mapping!$B$17:$B$22,MATCH($F4404,Mapping!$A$17:$A$22,0)),$F4404)&amp;" "&amp;IF($G4404="Banking","Banking",IFERROR(INDEX(Mapping!$E$17:$E$28,MATCH($J4404,Mapping!$D$17:$D$28,0)),"(unmapped)")))))</f>
        <v/>
      </c>
    </row>
    <row r="4405" spans="11:11" x14ac:dyDescent="0.3">
      <c r="K4405" t="str">
        <f>IF($D4405="","",IFERROR(INDEX(Mapping!$H$3:$H$32,MATCH($B4405,Mapping!$G$3:$G$32,0)),IF(LEFT($F4405,3)="P2P",IFERROR(INDEX(Mapping!$E$3:$E$6,MATCH($G4405,Mapping!$D$3:$D$6,0)),IFERROR(INDEX(Mapping!$B$3:$B$13,MATCH($J4405,Mapping!$A$3:$A$13,0)),"(unmapped)")),IFERROR(INDEX(Mapping!$B$17:$B$22,MATCH($F4405,Mapping!$A$17:$A$22,0)),$F4405)&amp;" "&amp;IF($G4405="Banking","Banking",IFERROR(INDEX(Mapping!$E$17:$E$28,MATCH($J4405,Mapping!$D$17:$D$28,0)),"(unmapped)")))))</f>
        <v/>
      </c>
    </row>
    <row r="4406" spans="11:11" x14ac:dyDescent="0.3">
      <c r="K4406" t="str">
        <f>IF($D4406="","",IFERROR(INDEX(Mapping!$H$3:$H$32,MATCH($B4406,Mapping!$G$3:$G$32,0)),IF(LEFT($F4406,3)="P2P",IFERROR(INDEX(Mapping!$E$3:$E$6,MATCH($G4406,Mapping!$D$3:$D$6,0)),IFERROR(INDEX(Mapping!$B$3:$B$13,MATCH($J4406,Mapping!$A$3:$A$13,0)),"(unmapped)")),IFERROR(INDEX(Mapping!$B$17:$B$22,MATCH($F4406,Mapping!$A$17:$A$22,0)),$F4406)&amp;" "&amp;IF($G4406="Banking","Banking",IFERROR(INDEX(Mapping!$E$17:$E$28,MATCH($J4406,Mapping!$D$17:$D$28,0)),"(unmapped)")))))</f>
        <v/>
      </c>
    </row>
    <row r="4407" spans="11:11" x14ac:dyDescent="0.3">
      <c r="K4407" t="str">
        <f>IF($D4407="","",IFERROR(INDEX(Mapping!$H$3:$H$32,MATCH($B4407,Mapping!$G$3:$G$32,0)),IF(LEFT($F4407,3)="P2P",IFERROR(INDEX(Mapping!$E$3:$E$6,MATCH($G4407,Mapping!$D$3:$D$6,0)),IFERROR(INDEX(Mapping!$B$3:$B$13,MATCH($J4407,Mapping!$A$3:$A$13,0)),"(unmapped)")),IFERROR(INDEX(Mapping!$B$17:$B$22,MATCH($F4407,Mapping!$A$17:$A$22,0)),$F4407)&amp;" "&amp;IF($G4407="Banking","Banking",IFERROR(INDEX(Mapping!$E$17:$E$28,MATCH($J4407,Mapping!$D$17:$D$28,0)),"(unmapped)")))))</f>
        <v/>
      </c>
    </row>
    <row r="4408" spans="11:11" x14ac:dyDescent="0.3">
      <c r="K4408" t="str">
        <f>IF($D4408="","",IFERROR(INDEX(Mapping!$H$3:$H$32,MATCH($B4408,Mapping!$G$3:$G$32,0)),IF(LEFT($F4408,3)="P2P",IFERROR(INDEX(Mapping!$E$3:$E$6,MATCH($G4408,Mapping!$D$3:$D$6,0)),IFERROR(INDEX(Mapping!$B$3:$B$13,MATCH($J4408,Mapping!$A$3:$A$13,0)),"(unmapped)")),IFERROR(INDEX(Mapping!$B$17:$B$22,MATCH($F4408,Mapping!$A$17:$A$22,0)),$F4408)&amp;" "&amp;IF($G4408="Banking","Banking",IFERROR(INDEX(Mapping!$E$17:$E$28,MATCH($J4408,Mapping!$D$17:$D$28,0)),"(unmapped)")))))</f>
        <v/>
      </c>
    </row>
    <row r="4409" spans="11:11" x14ac:dyDescent="0.3">
      <c r="K4409" t="str">
        <f>IF($D4409="","",IFERROR(INDEX(Mapping!$H$3:$H$32,MATCH($B4409,Mapping!$G$3:$G$32,0)),IF(LEFT($F4409,3)="P2P",IFERROR(INDEX(Mapping!$E$3:$E$6,MATCH($G4409,Mapping!$D$3:$D$6,0)),IFERROR(INDEX(Mapping!$B$3:$B$13,MATCH($J4409,Mapping!$A$3:$A$13,0)),"(unmapped)")),IFERROR(INDEX(Mapping!$B$17:$B$22,MATCH($F4409,Mapping!$A$17:$A$22,0)),$F4409)&amp;" "&amp;IF($G4409="Banking","Banking",IFERROR(INDEX(Mapping!$E$17:$E$28,MATCH($J4409,Mapping!$D$17:$D$28,0)),"(unmapped)")))))</f>
        <v/>
      </c>
    </row>
    <row r="4410" spans="11:11" x14ac:dyDescent="0.3">
      <c r="K4410" t="str">
        <f>IF($D4410="","",IFERROR(INDEX(Mapping!$H$3:$H$32,MATCH($B4410,Mapping!$G$3:$G$32,0)),IF(LEFT($F4410,3)="P2P",IFERROR(INDEX(Mapping!$E$3:$E$6,MATCH($G4410,Mapping!$D$3:$D$6,0)),IFERROR(INDEX(Mapping!$B$3:$B$13,MATCH($J4410,Mapping!$A$3:$A$13,0)),"(unmapped)")),IFERROR(INDEX(Mapping!$B$17:$B$22,MATCH($F4410,Mapping!$A$17:$A$22,0)),$F4410)&amp;" "&amp;IF($G4410="Banking","Banking",IFERROR(INDEX(Mapping!$E$17:$E$28,MATCH($J4410,Mapping!$D$17:$D$28,0)),"(unmapped)")))))</f>
        <v/>
      </c>
    </row>
    <row r="4411" spans="11:11" x14ac:dyDescent="0.3">
      <c r="K4411" t="str">
        <f>IF($D4411="","",IFERROR(INDEX(Mapping!$H$3:$H$32,MATCH($B4411,Mapping!$G$3:$G$32,0)),IF(LEFT($F4411,3)="P2P",IFERROR(INDEX(Mapping!$E$3:$E$6,MATCH($G4411,Mapping!$D$3:$D$6,0)),IFERROR(INDEX(Mapping!$B$3:$B$13,MATCH($J4411,Mapping!$A$3:$A$13,0)),"(unmapped)")),IFERROR(INDEX(Mapping!$B$17:$B$22,MATCH($F4411,Mapping!$A$17:$A$22,0)),$F4411)&amp;" "&amp;IF($G4411="Banking","Banking",IFERROR(INDEX(Mapping!$E$17:$E$28,MATCH($J4411,Mapping!$D$17:$D$28,0)),"(unmapped)")))))</f>
        <v/>
      </c>
    </row>
    <row r="4412" spans="11:11" x14ac:dyDescent="0.3">
      <c r="K4412" t="str">
        <f>IF($D4412="","",IFERROR(INDEX(Mapping!$H$3:$H$32,MATCH($B4412,Mapping!$G$3:$G$32,0)),IF(LEFT($F4412,3)="P2P",IFERROR(INDEX(Mapping!$E$3:$E$6,MATCH($G4412,Mapping!$D$3:$D$6,0)),IFERROR(INDEX(Mapping!$B$3:$B$13,MATCH($J4412,Mapping!$A$3:$A$13,0)),"(unmapped)")),IFERROR(INDEX(Mapping!$B$17:$B$22,MATCH($F4412,Mapping!$A$17:$A$22,0)),$F4412)&amp;" "&amp;IF($G4412="Banking","Banking",IFERROR(INDEX(Mapping!$E$17:$E$28,MATCH($J4412,Mapping!$D$17:$D$28,0)),"(unmapped)")))))</f>
        <v/>
      </c>
    </row>
    <row r="4413" spans="11:11" x14ac:dyDescent="0.3">
      <c r="K4413" t="str">
        <f>IF($D4413="","",IFERROR(INDEX(Mapping!$H$3:$H$32,MATCH($B4413,Mapping!$G$3:$G$32,0)),IF(LEFT($F4413,3)="P2P",IFERROR(INDEX(Mapping!$E$3:$E$6,MATCH($G4413,Mapping!$D$3:$D$6,0)),IFERROR(INDEX(Mapping!$B$3:$B$13,MATCH($J4413,Mapping!$A$3:$A$13,0)),"(unmapped)")),IFERROR(INDEX(Mapping!$B$17:$B$22,MATCH($F4413,Mapping!$A$17:$A$22,0)),$F4413)&amp;" "&amp;IF($G4413="Banking","Banking",IFERROR(INDEX(Mapping!$E$17:$E$28,MATCH($J4413,Mapping!$D$17:$D$28,0)),"(unmapped)")))))</f>
        <v/>
      </c>
    </row>
    <row r="4414" spans="11:11" x14ac:dyDescent="0.3">
      <c r="K4414" t="str">
        <f>IF($D4414="","",IFERROR(INDEX(Mapping!$H$3:$H$32,MATCH($B4414,Mapping!$G$3:$G$32,0)),IF(LEFT($F4414,3)="P2P",IFERROR(INDEX(Mapping!$E$3:$E$6,MATCH($G4414,Mapping!$D$3:$D$6,0)),IFERROR(INDEX(Mapping!$B$3:$B$13,MATCH($J4414,Mapping!$A$3:$A$13,0)),"(unmapped)")),IFERROR(INDEX(Mapping!$B$17:$B$22,MATCH($F4414,Mapping!$A$17:$A$22,0)),$F4414)&amp;" "&amp;IF($G4414="Banking","Banking",IFERROR(INDEX(Mapping!$E$17:$E$28,MATCH($J4414,Mapping!$D$17:$D$28,0)),"(unmapped)")))))</f>
        <v/>
      </c>
    </row>
    <row r="4415" spans="11:11" x14ac:dyDescent="0.3">
      <c r="K4415" t="str">
        <f>IF($D4415="","",IFERROR(INDEX(Mapping!$H$3:$H$32,MATCH($B4415,Mapping!$G$3:$G$32,0)),IF(LEFT($F4415,3)="P2P",IFERROR(INDEX(Mapping!$E$3:$E$6,MATCH($G4415,Mapping!$D$3:$D$6,0)),IFERROR(INDEX(Mapping!$B$3:$B$13,MATCH($J4415,Mapping!$A$3:$A$13,0)),"(unmapped)")),IFERROR(INDEX(Mapping!$B$17:$B$22,MATCH($F4415,Mapping!$A$17:$A$22,0)),$F4415)&amp;" "&amp;IF($G4415="Banking","Banking",IFERROR(INDEX(Mapping!$E$17:$E$28,MATCH($J4415,Mapping!$D$17:$D$28,0)),"(unmapped)")))))</f>
        <v/>
      </c>
    </row>
    <row r="4416" spans="11:11" x14ac:dyDescent="0.3">
      <c r="K4416" t="str">
        <f>IF($D4416="","",IFERROR(INDEX(Mapping!$H$3:$H$32,MATCH($B4416,Mapping!$G$3:$G$32,0)),IF(LEFT($F4416,3)="P2P",IFERROR(INDEX(Mapping!$E$3:$E$6,MATCH($G4416,Mapping!$D$3:$D$6,0)),IFERROR(INDEX(Mapping!$B$3:$B$13,MATCH($J4416,Mapping!$A$3:$A$13,0)),"(unmapped)")),IFERROR(INDEX(Mapping!$B$17:$B$22,MATCH($F4416,Mapping!$A$17:$A$22,0)),$F4416)&amp;" "&amp;IF($G4416="Banking","Banking",IFERROR(INDEX(Mapping!$E$17:$E$28,MATCH($J4416,Mapping!$D$17:$D$28,0)),"(unmapped)")))))</f>
        <v/>
      </c>
    </row>
    <row r="4417" spans="11:11" x14ac:dyDescent="0.3">
      <c r="K4417" t="str">
        <f>IF($D4417="","",IFERROR(INDEX(Mapping!$H$3:$H$32,MATCH($B4417,Mapping!$G$3:$G$32,0)),IF(LEFT($F4417,3)="P2P",IFERROR(INDEX(Mapping!$E$3:$E$6,MATCH($G4417,Mapping!$D$3:$D$6,0)),IFERROR(INDEX(Mapping!$B$3:$B$13,MATCH($J4417,Mapping!$A$3:$A$13,0)),"(unmapped)")),IFERROR(INDEX(Mapping!$B$17:$B$22,MATCH($F4417,Mapping!$A$17:$A$22,0)),$F4417)&amp;" "&amp;IF($G4417="Banking","Banking",IFERROR(INDEX(Mapping!$E$17:$E$28,MATCH($J4417,Mapping!$D$17:$D$28,0)),"(unmapped)")))))</f>
        <v/>
      </c>
    </row>
    <row r="4418" spans="11:11" x14ac:dyDescent="0.3">
      <c r="K4418" t="str">
        <f>IF($D4418="","",IFERROR(INDEX(Mapping!$H$3:$H$32,MATCH($B4418,Mapping!$G$3:$G$32,0)),IF(LEFT($F4418,3)="P2P",IFERROR(INDEX(Mapping!$E$3:$E$6,MATCH($G4418,Mapping!$D$3:$D$6,0)),IFERROR(INDEX(Mapping!$B$3:$B$13,MATCH($J4418,Mapping!$A$3:$A$13,0)),"(unmapped)")),IFERROR(INDEX(Mapping!$B$17:$B$22,MATCH($F4418,Mapping!$A$17:$A$22,0)),$F4418)&amp;" "&amp;IF($G4418="Banking","Banking",IFERROR(INDEX(Mapping!$E$17:$E$28,MATCH($J4418,Mapping!$D$17:$D$28,0)),"(unmapped)")))))</f>
        <v/>
      </c>
    </row>
    <row r="4419" spans="11:11" x14ac:dyDescent="0.3">
      <c r="K4419" t="str">
        <f>IF($D4419="","",IFERROR(INDEX(Mapping!$H$3:$H$32,MATCH($B4419,Mapping!$G$3:$G$32,0)),IF(LEFT($F4419,3)="P2P",IFERROR(INDEX(Mapping!$E$3:$E$6,MATCH($G4419,Mapping!$D$3:$D$6,0)),IFERROR(INDEX(Mapping!$B$3:$B$13,MATCH($J4419,Mapping!$A$3:$A$13,0)),"(unmapped)")),IFERROR(INDEX(Mapping!$B$17:$B$22,MATCH($F4419,Mapping!$A$17:$A$22,0)),$F4419)&amp;" "&amp;IF($G4419="Banking","Banking",IFERROR(INDEX(Mapping!$E$17:$E$28,MATCH($J4419,Mapping!$D$17:$D$28,0)),"(unmapped)")))))</f>
        <v/>
      </c>
    </row>
    <row r="4420" spans="11:11" x14ac:dyDescent="0.3">
      <c r="K4420" t="str">
        <f>IF($D4420="","",IFERROR(INDEX(Mapping!$H$3:$H$32,MATCH($B4420,Mapping!$G$3:$G$32,0)),IF(LEFT($F4420,3)="P2P",IFERROR(INDEX(Mapping!$E$3:$E$6,MATCH($G4420,Mapping!$D$3:$D$6,0)),IFERROR(INDEX(Mapping!$B$3:$B$13,MATCH($J4420,Mapping!$A$3:$A$13,0)),"(unmapped)")),IFERROR(INDEX(Mapping!$B$17:$B$22,MATCH($F4420,Mapping!$A$17:$A$22,0)),$F4420)&amp;" "&amp;IF($G4420="Banking","Banking",IFERROR(INDEX(Mapping!$E$17:$E$28,MATCH($J4420,Mapping!$D$17:$D$28,0)),"(unmapped)")))))</f>
        <v/>
      </c>
    </row>
    <row r="4421" spans="11:11" x14ac:dyDescent="0.3">
      <c r="K4421" t="str">
        <f>IF($D4421="","",IFERROR(INDEX(Mapping!$H$3:$H$32,MATCH($B4421,Mapping!$G$3:$G$32,0)),IF(LEFT($F4421,3)="P2P",IFERROR(INDEX(Mapping!$E$3:$E$6,MATCH($G4421,Mapping!$D$3:$D$6,0)),IFERROR(INDEX(Mapping!$B$3:$B$13,MATCH($J4421,Mapping!$A$3:$A$13,0)),"(unmapped)")),IFERROR(INDEX(Mapping!$B$17:$B$22,MATCH($F4421,Mapping!$A$17:$A$22,0)),$F4421)&amp;" "&amp;IF($G4421="Banking","Banking",IFERROR(INDEX(Mapping!$E$17:$E$28,MATCH($J4421,Mapping!$D$17:$D$28,0)),"(unmapped)")))))</f>
        <v/>
      </c>
    </row>
    <row r="4422" spans="11:11" x14ac:dyDescent="0.3">
      <c r="K4422" t="str">
        <f>IF($D4422="","",IFERROR(INDEX(Mapping!$H$3:$H$32,MATCH($B4422,Mapping!$G$3:$G$32,0)),IF(LEFT($F4422,3)="P2P",IFERROR(INDEX(Mapping!$E$3:$E$6,MATCH($G4422,Mapping!$D$3:$D$6,0)),IFERROR(INDEX(Mapping!$B$3:$B$13,MATCH($J4422,Mapping!$A$3:$A$13,0)),"(unmapped)")),IFERROR(INDEX(Mapping!$B$17:$B$22,MATCH($F4422,Mapping!$A$17:$A$22,0)),$F4422)&amp;" "&amp;IF($G4422="Banking","Banking",IFERROR(INDEX(Mapping!$E$17:$E$28,MATCH($J4422,Mapping!$D$17:$D$28,0)),"(unmapped)")))))</f>
        <v/>
      </c>
    </row>
    <row r="4423" spans="11:11" x14ac:dyDescent="0.3">
      <c r="K4423" t="str">
        <f>IF($D4423="","",IFERROR(INDEX(Mapping!$H$3:$H$32,MATCH($B4423,Mapping!$G$3:$G$32,0)),IF(LEFT($F4423,3)="P2P",IFERROR(INDEX(Mapping!$E$3:$E$6,MATCH($G4423,Mapping!$D$3:$D$6,0)),IFERROR(INDEX(Mapping!$B$3:$B$13,MATCH($J4423,Mapping!$A$3:$A$13,0)),"(unmapped)")),IFERROR(INDEX(Mapping!$B$17:$B$22,MATCH($F4423,Mapping!$A$17:$A$22,0)),$F4423)&amp;" "&amp;IF($G4423="Banking","Banking",IFERROR(INDEX(Mapping!$E$17:$E$28,MATCH($J4423,Mapping!$D$17:$D$28,0)),"(unmapped)")))))</f>
        <v/>
      </c>
    </row>
    <row r="4424" spans="11:11" x14ac:dyDescent="0.3">
      <c r="K4424" t="str">
        <f>IF($D4424="","",IFERROR(INDEX(Mapping!$H$3:$H$32,MATCH($B4424,Mapping!$G$3:$G$32,0)),IF(LEFT($F4424,3)="P2P",IFERROR(INDEX(Mapping!$E$3:$E$6,MATCH($G4424,Mapping!$D$3:$D$6,0)),IFERROR(INDEX(Mapping!$B$3:$B$13,MATCH($J4424,Mapping!$A$3:$A$13,0)),"(unmapped)")),IFERROR(INDEX(Mapping!$B$17:$B$22,MATCH($F4424,Mapping!$A$17:$A$22,0)),$F4424)&amp;" "&amp;IF($G4424="Banking","Banking",IFERROR(INDEX(Mapping!$E$17:$E$28,MATCH($J4424,Mapping!$D$17:$D$28,0)),"(unmapped)")))))</f>
        <v/>
      </c>
    </row>
    <row r="4425" spans="11:11" x14ac:dyDescent="0.3">
      <c r="K4425" t="str">
        <f>IF($D4425="","",IFERROR(INDEX(Mapping!$H$3:$H$32,MATCH($B4425,Mapping!$G$3:$G$32,0)),IF(LEFT($F4425,3)="P2P",IFERROR(INDEX(Mapping!$E$3:$E$6,MATCH($G4425,Mapping!$D$3:$D$6,0)),IFERROR(INDEX(Mapping!$B$3:$B$13,MATCH($J4425,Mapping!$A$3:$A$13,0)),"(unmapped)")),IFERROR(INDEX(Mapping!$B$17:$B$22,MATCH($F4425,Mapping!$A$17:$A$22,0)),$F4425)&amp;" "&amp;IF($G4425="Banking","Banking",IFERROR(INDEX(Mapping!$E$17:$E$28,MATCH($J4425,Mapping!$D$17:$D$28,0)),"(unmapped)")))))</f>
        <v/>
      </c>
    </row>
    <row r="4426" spans="11:11" x14ac:dyDescent="0.3">
      <c r="K4426" t="str">
        <f>IF($D4426="","",IFERROR(INDEX(Mapping!$H$3:$H$32,MATCH($B4426,Mapping!$G$3:$G$32,0)),IF(LEFT($F4426,3)="P2P",IFERROR(INDEX(Mapping!$E$3:$E$6,MATCH($G4426,Mapping!$D$3:$D$6,0)),IFERROR(INDEX(Mapping!$B$3:$B$13,MATCH($J4426,Mapping!$A$3:$A$13,0)),"(unmapped)")),IFERROR(INDEX(Mapping!$B$17:$B$22,MATCH($F4426,Mapping!$A$17:$A$22,0)),$F4426)&amp;" "&amp;IF($G4426="Banking","Banking",IFERROR(INDEX(Mapping!$E$17:$E$28,MATCH($J4426,Mapping!$D$17:$D$28,0)),"(unmapped)")))))</f>
        <v/>
      </c>
    </row>
    <row r="4427" spans="11:11" x14ac:dyDescent="0.3">
      <c r="K4427" t="str">
        <f>IF($D4427="","",IFERROR(INDEX(Mapping!$H$3:$H$32,MATCH($B4427,Mapping!$G$3:$G$32,0)),IF(LEFT($F4427,3)="P2P",IFERROR(INDEX(Mapping!$E$3:$E$6,MATCH($G4427,Mapping!$D$3:$D$6,0)),IFERROR(INDEX(Mapping!$B$3:$B$13,MATCH($J4427,Mapping!$A$3:$A$13,0)),"(unmapped)")),IFERROR(INDEX(Mapping!$B$17:$B$22,MATCH($F4427,Mapping!$A$17:$A$22,0)),$F4427)&amp;" "&amp;IF($G4427="Banking","Banking",IFERROR(INDEX(Mapping!$E$17:$E$28,MATCH($J4427,Mapping!$D$17:$D$28,0)),"(unmapped)")))))</f>
        <v/>
      </c>
    </row>
    <row r="4428" spans="11:11" x14ac:dyDescent="0.3">
      <c r="K4428" t="str">
        <f>IF($D4428="","",IFERROR(INDEX(Mapping!$H$3:$H$32,MATCH($B4428,Mapping!$G$3:$G$32,0)),IF(LEFT($F4428,3)="P2P",IFERROR(INDEX(Mapping!$E$3:$E$6,MATCH($G4428,Mapping!$D$3:$D$6,0)),IFERROR(INDEX(Mapping!$B$3:$B$13,MATCH($J4428,Mapping!$A$3:$A$13,0)),"(unmapped)")),IFERROR(INDEX(Mapping!$B$17:$B$22,MATCH($F4428,Mapping!$A$17:$A$22,0)),$F4428)&amp;" "&amp;IF($G4428="Banking","Banking",IFERROR(INDEX(Mapping!$E$17:$E$28,MATCH($J4428,Mapping!$D$17:$D$28,0)),"(unmapped)")))))</f>
        <v/>
      </c>
    </row>
    <row r="4429" spans="11:11" x14ac:dyDescent="0.3">
      <c r="K4429" t="str">
        <f>IF($D4429="","",IFERROR(INDEX(Mapping!$H$3:$H$32,MATCH($B4429,Mapping!$G$3:$G$32,0)),IF(LEFT($F4429,3)="P2P",IFERROR(INDEX(Mapping!$E$3:$E$6,MATCH($G4429,Mapping!$D$3:$D$6,0)),IFERROR(INDEX(Mapping!$B$3:$B$13,MATCH($J4429,Mapping!$A$3:$A$13,0)),"(unmapped)")),IFERROR(INDEX(Mapping!$B$17:$B$22,MATCH($F4429,Mapping!$A$17:$A$22,0)),$F4429)&amp;" "&amp;IF($G4429="Banking","Banking",IFERROR(INDEX(Mapping!$E$17:$E$28,MATCH($J4429,Mapping!$D$17:$D$28,0)),"(unmapped)")))))</f>
        <v/>
      </c>
    </row>
    <row r="4430" spans="11:11" x14ac:dyDescent="0.3">
      <c r="K4430" t="str">
        <f>IF($D4430="","",IFERROR(INDEX(Mapping!$H$3:$H$32,MATCH($B4430,Mapping!$G$3:$G$32,0)),IF(LEFT($F4430,3)="P2P",IFERROR(INDEX(Mapping!$E$3:$E$6,MATCH($G4430,Mapping!$D$3:$D$6,0)),IFERROR(INDEX(Mapping!$B$3:$B$13,MATCH($J4430,Mapping!$A$3:$A$13,0)),"(unmapped)")),IFERROR(INDEX(Mapping!$B$17:$B$22,MATCH($F4430,Mapping!$A$17:$A$22,0)),$F4430)&amp;" "&amp;IF($G4430="Banking","Banking",IFERROR(INDEX(Mapping!$E$17:$E$28,MATCH($J4430,Mapping!$D$17:$D$28,0)),"(unmapped)")))))</f>
        <v/>
      </c>
    </row>
    <row r="4431" spans="11:11" x14ac:dyDescent="0.3">
      <c r="K4431" t="str">
        <f>IF($D4431="","",IFERROR(INDEX(Mapping!$H$3:$H$32,MATCH($B4431,Mapping!$G$3:$G$32,0)),IF(LEFT($F4431,3)="P2P",IFERROR(INDEX(Mapping!$E$3:$E$6,MATCH($G4431,Mapping!$D$3:$D$6,0)),IFERROR(INDEX(Mapping!$B$3:$B$13,MATCH($J4431,Mapping!$A$3:$A$13,0)),"(unmapped)")),IFERROR(INDEX(Mapping!$B$17:$B$22,MATCH($F4431,Mapping!$A$17:$A$22,0)),$F4431)&amp;" "&amp;IF($G4431="Banking","Banking",IFERROR(INDEX(Mapping!$E$17:$E$28,MATCH($J4431,Mapping!$D$17:$D$28,0)),"(unmapped)")))))</f>
        <v/>
      </c>
    </row>
    <row r="4432" spans="11:11" x14ac:dyDescent="0.3">
      <c r="K4432" t="str">
        <f>IF($D4432="","",IFERROR(INDEX(Mapping!$H$3:$H$32,MATCH($B4432,Mapping!$G$3:$G$32,0)),IF(LEFT($F4432,3)="P2P",IFERROR(INDEX(Mapping!$E$3:$E$6,MATCH($G4432,Mapping!$D$3:$D$6,0)),IFERROR(INDEX(Mapping!$B$3:$B$13,MATCH($J4432,Mapping!$A$3:$A$13,0)),"(unmapped)")),IFERROR(INDEX(Mapping!$B$17:$B$22,MATCH($F4432,Mapping!$A$17:$A$22,0)),$F4432)&amp;" "&amp;IF($G4432="Banking","Banking",IFERROR(INDEX(Mapping!$E$17:$E$28,MATCH($J4432,Mapping!$D$17:$D$28,0)),"(unmapped)")))))</f>
        <v/>
      </c>
    </row>
    <row r="4433" spans="11:11" x14ac:dyDescent="0.3">
      <c r="K4433" t="str">
        <f>IF($D4433="","",IFERROR(INDEX(Mapping!$H$3:$H$32,MATCH($B4433,Mapping!$G$3:$G$32,0)),IF(LEFT($F4433,3)="P2P",IFERROR(INDEX(Mapping!$E$3:$E$6,MATCH($G4433,Mapping!$D$3:$D$6,0)),IFERROR(INDEX(Mapping!$B$3:$B$13,MATCH($J4433,Mapping!$A$3:$A$13,0)),"(unmapped)")),IFERROR(INDEX(Mapping!$B$17:$B$22,MATCH($F4433,Mapping!$A$17:$A$22,0)),$F4433)&amp;" "&amp;IF($G4433="Banking","Banking",IFERROR(INDEX(Mapping!$E$17:$E$28,MATCH($J4433,Mapping!$D$17:$D$28,0)),"(unmapped)")))))</f>
        <v/>
      </c>
    </row>
    <row r="4434" spans="11:11" x14ac:dyDescent="0.3">
      <c r="K4434" t="str">
        <f>IF($D4434="","",IFERROR(INDEX(Mapping!$H$3:$H$32,MATCH($B4434,Mapping!$G$3:$G$32,0)),IF(LEFT($F4434,3)="P2P",IFERROR(INDEX(Mapping!$E$3:$E$6,MATCH($G4434,Mapping!$D$3:$D$6,0)),IFERROR(INDEX(Mapping!$B$3:$B$13,MATCH($J4434,Mapping!$A$3:$A$13,0)),"(unmapped)")),IFERROR(INDEX(Mapping!$B$17:$B$22,MATCH($F4434,Mapping!$A$17:$A$22,0)),$F4434)&amp;" "&amp;IF($G4434="Banking","Banking",IFERROR(INDEX(Mapping!$E$17:$E$28,MATCH($J4434,Mapping!$D$17:$D$28,0)),"(unmapped)")))))</f>
        <v/>
      </c>
    </row>
    <row r="4435" spans="11:11" x14ac:dyDescent="0.3">
      <c r="K4435" t="str">
        <f>IF($D4435="","",IFERROR(INDEX(Mapping!$H$3:$H$32,MATCH($B4435,Mapping!$G$3:$G$32,0)),IF(LEFT($F4435,3)="P2P",IFERROR(INDEX(Mapping!$E$3:$E$6,MATCH($G4435,Mapping!$D$3:$D$6,0)),IFERROR(INDEX(Mapping!$B$3:$B$13,MATCH($J4435,Mapping!$A$3:$A$13,0)),"(unmapped)")),IFERROR(INDEX(Mapping!$B$17:$B$22,MATCH($F4435,Mapping!$A$17:$A$22,0)),$F4435)&amp;" "&amp;IF($G4435="Banking","Banking",IFERROR(INDEX(Mapping!$E$17:$E$28,MATCH($J4435,Mapping!$D$17:$D$28,0)),"(unmapped)")))))</f>
        <v/>
      </c>
    </row>
    <row r="4436" spans="11:11" x14ac:dyDescent="0.3">
      <c r="K4436" t="str">
        <f>IF($D4436="","",IFERROR(INDEX(Mapping!$H$3:$H$32,MATCH($B4436,Mapping!$G$3:$G$32,0)),IF(LEFT($F4436,3)="P2P",IFERROR(INDEX(Mapping!$E$3:$E$6,MATCH($G4436,Mapping!$D$3:$D$6,0)),IFERROR(INDEX(Mapping!$B$3:$B$13,MATCH($J4436,Mapping!$A$3:$A$13,0)),"(unmapped)")),IFERROR(INDEX(Mapping!$B$17:$B$22,MATCH($F4436,Mapping!$A$17:$A$22,0)),$F4436)&amp;" "&amp;IF($G4436="Banking","Banking",IFERROR(INDEX(Mapping!$E$17:$E$28,MATCH($J4436,Mapping!$D$17:$D$28,0)),"(unmapped)")))))</f>
        <v/>
      </c>
    </row>
    <row r="4437" spans="11:11" x14ac:dyDescent="0.3">
      <c r="K4437" t="str">
        <f>IF($D4437="","",IFERROR(INDEX(Mapping!$H$3:$H$32,MATCH($B4437,Mapping!$G$3:$G$32,0)),IF(LEFT($F4437,3)="P2P",IFERROR(INDEX(Mapping!$E$3:$E$6,MATCH($G4437,Mapping!$D$3:$D$6,0)),IFERROR(INDEX(Mapping!$B$3:$B$13,MATCH($J4437,Mapping!$A$3:$A$13,0)),"(unmapped)")),IFERROR(INDEX(Mapping!$B$17:$B$22,MATCH($F4437,Mapping!$A$17:$A$22,0)),$F4437)&amp;" "&amp;IF($G4437="Banking","Banking",IFERROR(INDEX(Mapping!$E$17:$E$28,MATCH($J4437,Mapping!$D$17:$D$28,0)),"(unmapped)")))))</f>
        <v/>
      </c>
    </row>
    <row r="4438" spans="11:11" x14ac:dyDescent="0.3">
      <c r="K4438" t="str">
        <f>IF($D4438="","",IFERROR(INDEX(Mapping!$H$3:$H$32,MATCH($B4438,Mapping!$G$3:$G$32,0)),IF(LEFT($F4438,3)="P2P",IFERROR(INDEX(Mapping!$E$3:$E$6,MATCH($G4438,Mapping!$D$3:$D$6,0)),IFERROR(INDEX(Mapping!$B$3:$B$13,MATCH($J4438,Mapping!$A$3:$A$13,0)),"(unmapped)")),IFERROR(INDEX(Mapping!$B$17:$B$22,MATCH($F4438,Mapping!$A$17:$A$22,0)),$F4438)&amp;" "&amp;IF($G4438="Banking","Banking",IFERROR(INDEX(Mapping!$E$17:$E$28,MATCH($J4438,Mapping!$D$17:$D$28,0)),"(unmapped)")))))</f>
        <v/>
      </c>
    </row>
    <row r="4439" spans="11:11" x14ac:dyDescent="0.3">
      <c r="K4439" t="str">
        <f>IF($D4439="","",IFERROR(INDEX(Mapping!$H$3:$H$32,MATCH($B4439,Mapping!$G$3:$G$32,0)),IF(LEFT($F4439,3)="P2P",IFERROR(INDEX(Mapping!$E$3:$E$6,MATCH($G4439,Mapping!$D$3:$D$6,0)),IFERROR(INDEX(Mapping!$B$3:$B$13,MATCH($J4439,Mapping!$A$3:$A$13,0)),"(unmapped)")),IFERROR(INDEX(Mapping!$B$17:$B$22,MATCH($F4439,Mapping!$A$17:$A$22,0)),$F4439)&amp;" "&amp;IF($G4439="Banking","Banking",IFERROR(INDEX(Mapping!$E$17:$E$28,MATCH($J4439,Mapping!$D$17:$D$28,0)),"(unmapped)")))))</f>
        <v/>
      </c>
    </row>
    <row r="4440" spans="11:11" x14ac:dyDescent="0.3">
      <c r="K4440" t="str">
        <f>IF($D4440="","",IFERROR(INDEX(Mapping!$H$3:$H$32,MATCH($B4440,Mapping!$G$3:$G$32,0)),IF(LEFT($F4440,3)="P2P",IFERROR(INDEX(Mapping!$E$3:$E$6,MATCH($G4440,Mapping!$D$3:$D$6,0)),IFERROR(INDEX(Mapping!$B$3:$B$13,MATCH($J4440,Mapping!$A$3:$A$13,0)),"(unmapped)")),IFERROR(INDEX(Mapping!$B$17:$B$22,MATCH($F4440,Mapping!$A$17:$A$22,0)),$F4440)&amp;" "&amp;IF($G4440="Banking","Banking",IFERROR(INDEX(Mapping!$E$17:$E$28,MATCH($J4440,Mapping!$D$17:$D$28,0)),"(unmapped)")))))</f>
        <v/>
      </c>
    </row>
    <row r="4441" spans="11:11" x14ac:dyDescent="0.3">
      <c r="K4441" t="str">
        <f>IF($D4441="","",IFERROR(INDEX(Mapping!$H$3:$H$32,MATCH($B4441,Mapping!$G$3:$G$32,0)),IF(LEFT($F4441,3)="P2P",IFERROR(INDEX(Mapping!$E$3:$E$6,MATCH($G4441,Mapping!$D$3:$D$6,0)),IFERROR(INDEX(Mapping!$B$3:$B$13,MATCH($J4441,Mapping!$A$3:$A$13,0)),"(unmapped)")),IFERROR(INDEX(Mapping!$B$17:$B$22,MATCH($F4441,Mapping!$A$17:$A$22,0)),$F4441)&amp;" "&amp;IF($G4441="Banking","Banking",IFERROR(INDEX(Mapping!$E$17:$E$28,MATCH($J4441,Mapping!$D$17:$D$28,0)),"(unmapped)")))))</f>
        <v/>
      </c>
    </row>
    <row r="4442" spans="11:11" x14ac:dyDescent="0.3">
      <c r="K4442" t="str">
        <f>IF($D4442="","",IFERROR(INDEX(Mapping!$H$3:$H$32,MATCH($B4442,Mapping!$G$3:$G$32,0)),IF(LEFT($F4442,3)="P2P",IFERROR(INDEX(Mapping!$E$3:$E$6,MATCH($G4442,Mapping!$D$3:$D$6,0)),IFERROR(INDEX(Mapping!$B$3:$B$13,MATCH($J4442,Mapping!$A$3:$A$13,0)),"(unmapped)")),IFERROR(INDEX(Mapping!$B$17:$B$22,MATCH($F4442,Mapping!$A$17:$A$22,0)),$F4442)&amp;" "&amp;IF($G4442="Banking","Banking",IFERROR(INDEX(Mapping!$E$17:$E$28,MATCH($J4442,Mapping!$D$17:$D$28,0)),"(unmapped)")))))</f>
        <v/>
      </c>
    </row>
    <row r="4443" spans="11:11" x14ac:dyDescent="0.3">
      <c r="K4443" t="str">
        <f>IF($D4443="","",IFERROR(INDEX(Mapping!$H$3:$H$32,MATCH($B4443,Mapping!$G$3:$G$32,0)),IF(LEFT($F4443,3)="P2P",IFERROR(INDEX(Mapping!$E$3:$E$6,MATCH($G4443,Mapping!$D$3:$D$6,0)),IFERROR(INDEX(Mapping!$B$3:$B$13,MATCH($J4443,Mapping!$A$3:$A$13,0)),"(unmapped)")),IFERROR(INDEX(Mapping!$B$17:$B$22,MATCH($F4443,Mapping!$A$17:$A$22,0)),$F4443)&amp;" "&amp;IF($G4443="Banking","Banking",IFERROR(INDEX(Mapping!$E$17:$E$28,MATCH($J4443,Mapping!$D$17:$D$28,0)),"(unmapped)")))))</f>
        <v/>
      </c>
    </row>
    <row r="4444" spans="11:11" x14ac:dyDescent="0.3">
      <c r="K4444" t="str">
        <f>IF($D4444="","",IFERROR(INDEX(Mapping!$H$3:$H$32,MATCH($B4444,Mapping!$G$3:$G$32,0)),IF(LEFT($F4444,3)="P2P",IFERROR(INDEX(Mapping!$E$3:$E$6,MATCH($G4444,Mapping!$D$3:$D$6,0)),IFERROR(INDEX(Mapping!$B$3:$B$13,MATCH($J4444,Mapping!$A$3:$A$13,0)),"(unmapped)")),IFERROR(INDEX(Mapping!$B$17:$B$22,MATCH($F4444,Mapping!$A$17:$A$22,0)),$F4444)&amp;" "&amp;IF($G4444="Banking","Banking",IFERROR(INDEX(Mapping!$E$17:$E$28,MATCH($J4444,Mapping!$D$17:$D$28,0)),"(unmapped)")))))</f>
        <v/>
      </c>
    </row>
    <row r="4445" spans="11:11" x14ac:dyDescent="0.3">
      <c r="K4445" t="str">
        <f>IF($D4445="","",IFERROR(INDEX(Mapping!$H$3:$H$32,MATCH($B4445,Mapping!$G$3:$G$32,0)),IF(LEFT($F4445,3)="P2P",IFERROR(INDEX(Mapping!$E$3:$E$6,MATCH($G4445,Mapping!$D$3:$D$6,0)),IFERROR(INDEX(Mapping!$B$3:$B$13,MATCH($J4445,Mapping!$A$3:$A$13,0)),"(unmapped)")),IFERROR(INDEX(Mapping!$B$17:$B$22,MATCH($F4445,Mapping!$A$17:$A$22,0)),$F4445)&amp;" "&amp;IF($G4445="Banking","Banking",IFERROR(INDEX(Mapping!$E$17:$E$28,MATCH($J4445,Mapping!$D$17:$D$28,0)),"(unmapped)")))))</f>
        <v/>
      </c>
    </row>
    <row r="4446" spans="11:11" x14ac:dyDescent="0.3">
      <c r="K4446" t="str">
        <f>IF($D4446="","",IFERROR(INDEX(Mapping!$H$3:$H$32,MATCH($B4446,Mapping!$G$3:$G$32,0)),IF(LEFT($F4446,3)="P2P",IFERROR(INDEX(Mapping!$E$3:$E$6,MATCH($G4446,Mapping!$D$3:$D$6,0)),IFERROR(INDEX(Mapping!$B$3:$B$13,MATCH($J4446,Mapping!$A$3:$A$13,0)),"(unmapped)")),IFERROR(INDEX(Mapping!$B$17:$B$22,MATCH($F4446,Mapping!$A$17:$A$22,0)),$F4446)&amp;" "&amp;IF($G4446="Banking","Banking",IFERROR(INDEX(Mapping!$E$17:$E$28,MATCH($J4446,Mapping!$D$17:$D$28,0)),"(unmapped)")))))</f>
        <v/>
      </c>
    </row>
    <row r="4447" spans="11:11" x14ac:dyDescent="0.3">
      <c r="K4447" t="str">
        <f>IF($D4447="","",IFERROR(INDEX(Mapping!$H$3:$H$32,MATCH($B4447,Mapping!$G$3:$G$32,0)),IF(LEFT($F4447,3)="P2P",IFERROR(INDEX(Mapping!$E$3:$E$6,MATCH($G4447,Mapping!$D$3:$D$6,0)),IFERROR(INDEX(Mapping!$B$3:$B$13,MATCH($J4447,Mapping!$A$3:$A$13,0)),"(unmapped)")),IFERROR(INDEX(Mapping!$B$17:$B$22,MATCH($F4447,Mapping!$A$17:$A$22,0)),$F4447)&amp;" "&amp;IF($G4447="Banking","Banking",IFERROR(INDEX(Mapping!$E$17:$E$28,MATCH($J4447,Mapping!$D$17:$D$28,0)),"(unmapped)")))))</f>
        <v/>
      </c>
    </row>
    <row r="4448" spans="11:11" x14ac:dyDescent="0.3">
      <c r="K4448" t="str">
        <f>IF($D4448="","",IFERROR(INDEX(Mapping!$H$3:$H$32,MATCH($B4448,Mapping!$G$3:$G$32,0)),IF(LEFT($F4448,3)="P2P",IFERROR(INDEX(Mapping!$E$3:$E$6,MATCH($G4448,Mapping!$D$3:$D$6,0)),IFERROR(INDEX(Mapping!$B$3:$B$13,MATCH($J4448,Mapping!$A$3:$A$13,0)),"(unmapped)")),IFERROR(INDEX(Mapping!$B$17:$B$22,MATCH($F4448,Mapping!$A$17:$A$22,0)),$F4448)&amp;" "&amp;IF($G4448="Banking","Banking",IFERROR(INDEX(Mapping!$E$17:$E$28,MATCH($J4448,Mapping!$D$17:$D$28,0)),"(unmapped)")))))</f>
        <v/>
      </c>
    </row>
    <row r="4449" spans="11:11" x14ac:dyDescent="0.3">
      <c r="K4449" t="str">
        <f>IF($D4449="","",IFERROR(INDEX(Mapping!$H$3:$H$32,MATCH($B4449,Mapping!$G$3:$G$32,0)),IF(LEFT($F4449,3)="P2P",IFERROR(INDEX(Mapping!$E$3:$E$6,MATCH($G4449,Mapping!$D$3:$D$6,0)),IFERROR(INDEX(Mapping!$B$3:$B$13,MATCH($J4449,Mapping!$A$3:$A$13,0)),"(unmapped)")),IFERROR(INDEX(Mapping!$B$17:$B$22,MATCH($F4449,Mapping!$A$17:$A$22,0)),$F4449)&amp;" "&amp;IF($G4449="Banking","Banking",IFERROR(INDEX(Mapping!$E$17:$E$28,MATCH($J4449,Mapping!$D$17:$D$28,0)),"(unmapped)")))))</f>
        <v/>
      </c>
    </row>
    <row r="4450" spans="11:11" x14ac:dyDescent="0.3">
      <c r="K4450" t="str">
        <f>IF($D4450="","",IFERROR(INDEX(Mapping!$H$3:$H$32,MATCH($B4450,Mapping!$G$3:$G$32,0)),IF(LEFT($F4450,3)="P2P",IFERROR(INDEX(Mapping!$E$3:$E$6,MATCH($G4450,Mapping!$D$3:$D$6,0)),IFERROR(INDEX(Mapping!$B$3:$B$13,MATCH($J4450,Mapping!$A$3:$A$13,0)),"(unmapped)")),IFERROR(INDEX(Mapping!$B$17:$B$22,MATCH($F4450,Mapping!$A$17:$A$22,0)),$F4450)&amp;" "&amp;IF($G4450="Banking","Banking",IFERROR(INDEX(Mapping!$E$17:$E$28,MATCH($J4450,Mapping!$D$17:$D$28,0)),"(unmapped)")))))</f>
        <v/>
      </c>
    </row>
    <row r="4451" spans="11:11" x14ac:dyDescent="0.3">
      <c r="K4451" t="str">
        <f>IF($D4451="","",IFERROR(INDEX(Mapping!$H$3:$H$32,MATCH($B4451,Mapping!$G$3:$G$32,0)),IF(LEFT($F4451,3)="P2P",IFERROR(INDEX(Mapping!$E$3:$E$6,MATCH($G4451,Mapping!$D$3:$D$6,0)),IFERROR(INDEX(Mapping!$B$3:$B$13,MATCH($J4451,Mapping!$A$3:$A$13,0)),"(unmapped)")),IFERROR(INDEX(Mapping!$B$17:$B$22,MATCH($F4451,Mapping!$A$17:$A$22,0)),$F4451)&amp;" "&amp;IF($G4451="Banking","Banking",IFERROR(INDEX(Mapping!$E$17:$E$28,MATCH($J4451,Mapping!$D$17:$D$28,0)),"(unmapped)")))))</f>
        <v/>
      </c>
    </row>
    <row r="4452" spans="11:11" x14ac:dyDescent="0.3">
      <c r="K4452" t="str">
        <f>IF($D4452="","",IFERROR(INDEX(Mapping!$H$3:$H$32,MATCH($B4452,Mapping!$G$3:$G$32,0)),IF(LEFT($F4452,3)="P2P",IFERROR(INDEX(Mapping!$E$3:$E$6,MATCH($G4452,Mapping!$D$3:$D$6,0)),IFERROR(INDEX(Mapping!$B$3:$B$13,MATCH($J4452,Mapping!$A$3:$A$13,0)),"(unmapped)")),IFERROR(INDEX(Mapping!$B$17:$B$22,MATCH($F4452,Mapping!$A$17:$A$22,0)),$F4452)&amp;" "&amp;IF($G4452="Banking","Banking",IFERROR(INDEX(Mapping!$E$17:$E$28,MATCH($J4452,Mapping!$D$17:$D$28,0)),"(unmapped)")))))</f>
        <v/>
      </c>
    </row>
    <row r="4453" spans="11:11" x14ac:dyDescent="0.3">
      <c r="K4453" t="str">
        <f>IF($D4453="","",IFERROR(INDEX(Mapping!$H$3:$H$32,MATCH($B4453,Mapping!$G$3:$G$32,0)),IF(LEFT($F4453,3)="P2P",IFERROR(INDEX(Mapping!$E$3:$E$6,MATCH($G4453,Mapping!$D$3:$D$6,0)),IFERROR(INDEX(Mapping!$B$3:$B$13,MATCH($J4453,Mapping!$A$3:$A$13,0)),"(unmapped)")),IFERROR(INDEX(Mapping!$B$17:$B$22,MATCH($F4453,Mapping!$A$17:$A$22,0)),$F4453)&amp;" "&amp;IF($G4453="Banking","Banking",IFERROR(INDEX(Mapping!$E$17:$E$28,MATCH($J4453,Mapping!$D$17:$D$28,0)),"(unmapped)")))))</f>
        <v/>
      </c>
    </row>
    <row r="4454" spans="11:11" x14ac:dyDescent="0.3">
      <c r="K4454" t="str">
        <f>IF($D4454="","",IFERROR(INDEX(Mapping!$H$3:$H$32,MATCH($B4454,Mapping!$G$3:$G$32,0)),IF(LEFT($F4454,3)="P2P",IFERROR(INDEX(Mapping!$E$3:$E$6,MATCH($G4454,Mapping!$D$3:$D$6,0)),IFERROR(INDEX(Mapping!$B$3:$B$13,MATCH($J4454,Mapping!$A$3:$A$13,0)),"(unmapped)")),IFERROR(INDEX(Mapping!$B$17:$B$22,MATCH($F4454,Mapping!$A$17:$A$22,0)),$F4454)&amp;" "&amp;IF($G4454="Banking","Banking",IFERROR(INDEX(Mapping!$E$17:$E$28,MATCH($J4454,Mapping!$D$17:$D$28,0)),"(unmapped)")))))</f>
        <v/>
      </c>
    </row>
    <row r="4455" spans="11:11" x14ac:dyDescent="0.3">
      <c r="K4455" t="str">
        <f>IF($D4455="","",IFERROR(INDEX(Mapping!$H$3:$H$32,MATCH($B4455,Mapping!$G$3:$G$32,0)),IF(LEFT($F4455,3)="P2P",IFERROR(INDEX(Mapping!$E$3:$E$6,MATCH($G4455,Mapping!$D$3:$D$6,0)),IFERROR(INDEX(Mapping!$B$3:$B$13,MATCH($J4455,Mapping!$A$3:$A$13,0)),"(unmapped)")),IFERROR(INDEX(Mapping!$B$17:$B$22,MATCH($F4455,Mapping!$A$17:$A$22,0)),$F4455)&amp;" "&amp;IF($G4455="Banking","Banking",IFERROR(INDEX(Mapping!$E$17:$E$28,MATCH($J4455,Mapping!$D$17:$D$28,0)),"(unmapped)")))))</f>
        <v/>
      </c>
    </row>
    <row r="4456" spans="11:11" x14ac:dyDescent="0.3">
      <c r="K4456" t="str">
        <f>IF($D4456="","",IFERROR(INDEX(Mapping!$H$3:$H$32,MATCH($B4456,Mapping!$G$3:$G$32,0)),IF(LEFT($F4456,3)="P2P",IFERROR(INDEX(Mapping!$E$3:$E$6,MATCH($G4456,Mapping!$D$3:$D$6,0)),IFERROR(INDEX(Mapping!$B$3:$B$13,MATCH($J4456,Mapping!$A$3:$A$13,0)),"(unmapped)")),IFERROR(INDEX(Mapping!$B$17:$B$22,MATCH($F4456,Mapping!$A$17:$A$22,0)),$F4456)&amp;" "&amp;IF($G4456="Banking","Banking",IFERROR(INDEX(Mapping!$E$17:$E$28,MATCH($J4456,Mapping!$D$17:$D$28,0)),"(unmapped)")))))</f>
        <v/>
      </c>
    </row>
    <row r="4457" spans="11:11" x14ac:dyDescent="0.3">
      <c r="K4457" t="str">
        <f>IF($D4457="","",IFERROR(INDEX(Mapping!$H$3:$H$32,MATCH($B4457,Mapping!$G$3:$G$32,0)),IF(LEFT($F4457,3)="P2P",IFERROR(INDEX(Mapping!$E$3:$E$6,MATCH($G4457,Mapping!$D$3:$D$6,0)),IFERROR(INDEX(Mapping!$B$3:$B$13,MATCH($J4457,Mapping!$A$3:$A$13,0)),"(unmapped)")),IFERROR(INDEX(Mapping!$B$17:$B$22,MATCH($F4457,Mapping!$A$17:$A$22,0)),$F4457)&amp;" "&amp;IF($G4457="Banking","Banking",IFERROR(INDEX(Mapping!$E$17:$E$28,MATCH($J4457,Mapping!$D$17:$D$28,0)),"(unmapped)")))))</f>
        <v/>
      </c>
    </row>
    <row r="4458" spans="11:11" x14ac:dyDescent="0.3">
      <c r="K4458" t="str">
        <f>IF($D4458="","",IFERROR(INDEX(Mapping!$H$3:$H$32,MATCH($B4458,Mapping!$G$3:$G$32,0)),IF(LEFT($F4458,3)="P2P",IFERROR(INDEX(Mapping!$E$3:$E$6,MATCH($G4458,Mapping!$D$3:$D$6,0)),IFERROR(INDEX(Mapping!$B$3:$B$13,MATCH($J4458,Mapping!$A$3:$A$13,0)),"(unmapped)")),IFERROR(INDEX(Mapping!$B$17:$B$22,MATCH($F4458,Mapping!$A$17:$A$22,0)),$F4458)&amp;" "&amp;IF($G4458="Banking","Banking",IFERROR(INDEX(Mapping!$E$17:$E$28,MATCH($J4458,Mapping!$D$17:$D$28,0)),"(unmapped)")))))</f>
        <v/>
      </c>
    </row>
    <row r="4459" spans="11:11" x14ac:dyDescent="0.3">
      <c r="K4459" t="str">
        <f>IF($D4459="","",IFERROR(INDEX(Mapping!$H$3:$H$32,MATCH($B4459,Mapping!$G$3:$G$32,0)),IF(LEFT($F4459,3)="P2P",IFERROR(INDEX(Mapping!$E$3:$E$6,MATCH($G4459,Mapping!$D$3:$D$6,0)),IFERROR(INDEX(Mapping!$B$3:$B$13,MATCH($J4459,Mapping!$A$3:$A$13,0)),"(unmapped)")),IFERROR(INDEX(Mapping!$B$17:$B$22,MATCH($F4459,Mapping!$A$17:$A$22,0)),$F4459)&amp;" "&amp;IF($G4459="Banking","Banking",IFERROR(INDEX(Mapping!$E$17:$E$28,MATCH($J4459,Mapping!$D$17:$D$28,0)),"(unmapped)")))))</f>
        <v/>
      </c>
    </row>
    <row r="4460" spans="11:11" x14ac:dyDescent="0.3">
      <c r="K4460" t="str">
        <f>IF($D4460="","",IFERROR(INDEX(Mapping!$H$3:$H$32,MATCH($B4460,Mapping!$G$3:$G$32,0)),IF(LEFT($F4460,3)="P2P",IFERROR(INDEX(Mapping!$E$3:$E$6,MATCH($G4460,Mapping!$D$3:$D$6,0)),IFERROR(INDEX(Mapping!$B$3:$B$13,MATCH($J4460,Mapping!$A$3:$A$13,0)),"(unmapped)")),IFERROR(INDEX(Mapping!$B$17:$B$22,MATCH($F4460,Mapping!$A$17:$A$22,0)),$F4460)&amp;" "&amp;IF($G4460="Banking","Banking",IFERROR(INDEX(Mapping!$E$17:$E$28,MATCH($J4460,Mapping!$D$17:$D$28,0)),"(unmapped)")))))</f>
        <v/>
      </c>
    </row>
    <row r="4461" spans="11:11" x14ac:dyDescent="0.3">
      <c r="K4461" t="str">
        <f>IF($D4461="","",IFERROR(INDEX(Mapping!$H$3:$H$32,MATCH($B4461,Mapping!$G$3:$G$32,0)),IF(LEFT($F4461,3)="P2P",IFERROR(INDEX(Mapping!$E$3:$E$6,MATCH($G4461,Mapping!$D$3:$D$6,0)),IFERROR(INDEX(Mapping!$B$3:$B$13,MATCH($J4461,Mapping!$A$3:$A$13,0)),"(unmapped)")),IFERROR(INDEX(Mapping!$B$17:$B$22,MATCH($F4461,Mapping!$A$17:$A$22,0)),$F4461)&amp;" "&amp;IF($G4461="Banking","Banking",IFERROR(INDEX(Mapping!$E$17:$E$28,MATCH($J4461,Mapping!$D$17:$D$28,0)),"(unmapped)")))))</f>
        <v/>
      </c>
    </row>
    <row r="4462" spans="11:11" x14ac:dyDescent="0.3">
      <c r="K4462" t="str">
        <f>IF($D4462="","",IFERROR(INDEX(Mapping!$H$3:$H$32,MATCH($B4462,Mapping!$G$3:$G$32,0)),IF(LEFT($F4462,3)="P2P",IFERROR(INDEX(Mapping!$E$3:$E$6,MATCH($G4462,Mapping!$D$3:$D$6,0)),IFERROR(INDEX(Mapping!$B$3:$B$13,MATCH($J4462,Mapping!$A$3:$A$13,0)),"(unmapped)")),IFERROR(INDEX(Mapping!$B$17:$B$22,MATCH($F4462,Mapping!$A$17:$A$22,0)),$F4462)&amp;" "&amp;IF($G4462="Banking","Banking",IFERROR(INDEX(Mapping!$E$17:$E$28,MATCH($J4462,Mapping!$D$17:$D$28,0)),"(unmapped)")))))</f>
        <v/>
      </c>
    </row>
    <row r="4463" spans="11:11" x14ac:dyDescent="0.3">
      <c r="K4463" t="str">
        <f>IF($D4463="","",IFERROR(INDEX(Mapping!$H$3:$H$32,MATCH($B4463,Mapping!$G$3:$G$32,0)),IF(LEFT($F4463,3)="P2P",IFERROR(INDEX(Mapping!$E$3:$E$6,MATCH($G4463,Mapping!$D$3:$D$6,0)),IFERROR(INDEX(Mapping!$B$3:$B$13,MATCH($J4463,Mapping!$A$3:$A$13,0)),"(unmapped)")),IFERROR(INDEX(Mapping!$B$17:$B$22,MATCH($F4463,Mapping!$A$17:$A$22,0)),$F4463)&amp;" "&amp;IF($G4463="Banking","Banking",IFERROR(INDEX(Mapping!$E$17:$E$28,MATCH($J4463,Mapping!$D$17:$D$28,0)),"(unmapped)")))))</f>
        <v/>
      </c>
    </row>
    <row r="4464" spans="11:11" x14ac:dyDescent="0.3">
      <c r="K4464" t="str">
        <f>IF($D4464="","",IFERROR(INDEX(Mapping!$H$3:$H$32,MATCH($B4464,Mapping!$G$3:$G$32,0)),IF(LEFT($F4464,3)="P2P",IFERROR(INDEX(Mapping!$E$3:$E$6,MATCH($G4464,Mapping!$D$3:$D$6,0)),IFERROR(INDEX(Mapping!$B$3:$B$13,MATCH($J4464,Mapping!$A$3:$A$13,0)),"(unmapped)")),IFERROR(INDEX(Mapping!$B$17:$B$22,MATCH($F4464,Mapping!$A$17:$A$22,0)),$F4464)&amp;" "&amp;IF($G4464="Banking","Banking",IFERROR(INDEX(Mapping!$E$17:$E$28,MATCH($J4464,Mapping!$D$17:$D$28,0)),"(unmapped)")))))</f>
        <v/>
      </c>
    </row>
    <row r="4465" spans="11:11" x14ac:dyDescent="0.3">
      <c r="K4465" t="str">
        <f>IF($D4465="","",IFERROR(INDEX(Mapping!$H$3:$H$32,MATCH($B4465,Mapping!$G$3:$G$32,0)),IF(LEFT($F4465,3)="P2P",IFERROR(INDEX(Mapping!$E$3:$E$6,MATCH($G4465,Mapping!$D$3:$D$6,0)),IFERROR(INDEX(Mapping!$B$3:$B$13,MATCH($J4465,Mapping!$A$3:$A$13,0)),"(unmapped)")),IFERROR(INDEX(Mapping!$B$17:$B$22,MATCH($F4465,Mapping!$A$17:$A$22,0)),$F4465)&amp;" "&amp;IF($G4465="Banking","Banking",IFERROR(INDEX(Mapping!$E$17:$E$28,MATCH($J4465,Mapping!$D$17:$D$28,0)),"(unmapped)")))))</f>
        <v/>
      </c>
    </row>
    <row r="4466" spans="11:11" x14ac:dyDescent="0.3">
      <c r="K4466" t="str">
        <f>IF($D4466="","",IFERROR(INDEX(Mapping!$H$3:$H$32,MATCH($B4466,Mapping!$G$3:$G$32,0)),IF(LEFT($F4466,3)="P2P",IFERROR(INDEX(Mapping!$E$3:$E$6,MATCH($G4466,Mapping!$D$3:$D$6,0)),IFERROR(INDEX(Mapping!$B$3:$B$13,MATCH($J4466,Mapping!$A$3:$A$13,0)),"(unmapped)")),IFERROR(INDEX(Mapping!$B$17:$B$22,MATCH($F4466,Mapping!$A$17:$A$22,0)),$F4466)&amp;" "&amp;IF($G4466="Banking","Banking",IFERROR(INDEX(Mapping!$E$17:$E$28,MATCH($J4466,Mapping!$D$17:$D$28,0)),"(unmapped)")))))</f>
        <v/>
      </c>
    </row>
    <row r="4467" spans="11:11" x14ac:dyDescent="0.3">
      <c r="K4467" t="str">
        <f>IF($D4467="","",IFERROR(INDEX(Mapping!$H$3:$H$32,MATCH($B4467,Mapping!$G$3:$G$32,0)),IF(LEFT($F4467,3)="P2P",IFERROR(INDEX(Mapping!$E$3:$E$6,MATCH($G4467,Mapping!$D$3:$D$6,0)),IFERROR(INDEX(Mapping!$B$3:$B$13,MATCH($J4467,Mapping!$A$3:$A$13,0)),"(unmapped)")),IFERROR(INDEX(Mapping!$B$17:$B$22,MATCH($F4467,Mapping!$A$17:$A$22,0)),$F4467)&amp;" "&amp;IF($G4467="Banking","Banking",IFERROR(INDEX(Mapping!$E$17:$E$28,MATCH($J4467,Mapping!$D$17:$D$28,0)),"(unmapped)")))))</f>
        <v/>
      </c>
    </row>
    <row r="4468" spans="11:11" x14ac:dyDescent="0.3">
      <c r="K4468" t="str">
        <f>IF($D4468="","",IFERROR(INDEX(Mapping!$H$3:$H$32,MATCH($B4468,Mapping!$G$3:$G$32,0)),IF(LEFT($F4468,3)="P2P",IFERROR(INDEX(Mapping!$E$3:$E$6,MATCH($G4468,Mapping!$D$3:$D$6,0)),IFERROR(INDEX(Mapping!$B$3:$B$13,MATCH($J4468,Mapping!$A$3:$A$13,0)),"(unmapped)")),IFERROR(INDEX(Mapping!$B$17:$B$22,MATCH($F4468,Mapping!$A$17:$A$22,0)),$F4468)&amp;" "&amp;IF($G4468="Banking","Banking",IFERROR(INDEX(Mapping!$E$17:$E$28,MATCH($J4468,Mapping!$D$17:$D$28,0)),"(unmapped)")))))</f>
        <v/>
      </c>
    </row>
    <row r="4469" spans="11:11" x14ac:dyDescent="0.3">
      <c r="K4469" t="str">
        <f>IF($D4469="","",IFERROR(INDEX(Mapping!$H$3:$H$32,MATCH($B4469,Mapping!$G$3:$G$32,0)),IF(LEFT($F4469,3)="P2P",IFERROR(INDEX(Mapping!$E$3:$E$6,MATCH($G4469,Mapping!$D$3:$D$6,0)),IFERROR(INDEX(Mapping!$B$3:$B$13,MATCH($J4469,Mapping!$A$3:$A$13,0)),"(unmapped)")),IFERROR(INDEX(Mapping!$B$17:$B$22,MATCH($F4469,Mapping!$A$17:$A$22,0)),$F4469)&amp;" "&amp;IF($G4469="Banking","Banking",IFERROR(INDEX(Mapping!$E$17:$E$28,MATCH($J4469,Mapping!$D$17:$D$28,0)),"(unmapped)")))))</f>
        <v/>
      </c>
    </row>
    <row r="4470" spans="11:11" x14ac:dyDescent="0.3">
      <c r="K4470" t="str">
        <f>IF($D4470="","",IFERROR(INDEX(Mapping!$H$3:$H$32,MATCH($B4470,Mapping!$G$3:$G$32,0)),IF(LEFT($F4470,3)="P2P",IFERROR(INDEX(Mapping!$E$3:$E$6,MATCH($G4470,Mapping!$D$3:$D$6,0)),IFERROR(INDEX(Mapping!$B$3:$B$13,MATCH($J4470,Mapping!$A$3:$A$13,0)),"(unmapped)")),IFERROR(INDEX(Mapping!$B$17:$B$22,MATCH($F4470,Mapping!$A$17:$A$22,0)),$F4470)&amp;" "&amp;IF($G4470="Banking","Banking",IFERROR(INDEX(Mapping!$E$17:$E$28,MATCH($J4470,Mapping!$D$17:$D$28,0)),"(unmapped)")))))</f>
        <v/>
      </c>
    </row>
    <row r="4471" spans="11:11" x14ac:dyDescent="0.3">
      <c r="K4471" t="str">
        <f>IF($D4471="","",IFERROR(INDEX(Mapping!$H$3:$H$32,MATCH($B4471,Mapping!$G$3:$G$32,0)),IF(LEFT($F4471,3)="P2P",IFERROR(INDEX(Mapping!$E$3:$E$6,MATCH($G4471,Mapping!$D$3:$D$6,0)),IFERROR(INDEX(Mapping!$B$3:$B$13,MATCH($J4471,Mapping!$A$3:$A$13,0)),"(unmapped)")),IFERROR(INDEX(Mapping!$B$17:$B$22,MATCH($F4471,Mapping!$A$17:$A$22,0)),$F4471)&amp;" "&amp;IF($G4471="Banking","Banking",IFERROR(INDEX(Mapping!$E$17:$E$28,MATCH($J4471,Mapping!$D$17:$D$28,0)),"(unmapped)")))))</f>
        <v/>
      </c>
    </row>
    <row r="4472" spans="11:11" x14ac:dyDescent="0.3">
      <c r="K4472" t="str">
        <f>IF($D4472="","",IFERROR(INDEX(Mapping!$H$3:$H$32,MATCH($B4472,Mapping!$G$3:$G$32,0)),IF(LEFT($F4472,3)="P2P",IFERROR(INDEX(Mapping!$E$3:$E$6,MATCH($G4472,Mapping!$D$3:$D$6,0)),IFERROR(INDEX(Mapping!$B$3:$B$13,MATCH($J4472,Mapping!$A$3:$A$13,0)),"(unmapped)")),IFERROR(INDEX(Mapping!$B$17:$B$22,MATCH($F4472,Mapping!$A$17:$A$22,0)),$F4472)&amp;" "&amp;IF($G4472="Banking","Banking",IFERROR(INDEX(Mapping!$E$17:$E$28,MATCH($J4472,Mapping!$D$17:$D$28,0)),"(unmapped)")))))</f>
        <v/>
      </c>
    </row>
    <row r="4473" spans="11:11" x14ac:dyDescent="0.3">
      <c r="K4473" t="str">
        <f>IF($D4473="","",IFERROR(INDEX(Mapping!$H$3:$H$32,MATCH($B4473,Mapping!$G$3:$G$32,0)),IF(LEFT($F4473,3)="P2P",IFERROR(INDEX(Mapping!$E$3:$E$6,MATCH($G4473,Mapping!$D$3:$D$6,0)),IFERROR(INDEX(Mapping!$B$3:$B$13,MATCH($J4473,Mapping!$A$3:$A$13,0)),"(unmapped)")),IFERROR(INDEX(Mapping!$B$17:$B$22,MATCH($F4473,Mapping!$A$17:$A$22,0)),$F4473)&amp;" "&amp;IF($G4473="Banking","Banking",IFERROR(INDEX(Mapping!$E$17:$E$28,MATCH($J4473,Mapping!$D$17:$D$28,0)),"(unmapped)")))))</f>
        <v/>
      </c>
    </row>
    <row r="4474" spans="11:11" x14ac:dyDescent="0.3">
      <c r="K4474" t="str">
        <f>IF($D4474="","",IFERROR(INDEX(Mapping!$H$3:$H$32,MATCH($B4474,Mapping!$G$3:$G$32,0)),IF(LEFT($F4474,3)="P2P",IFERROR(INDEX(Mapping!$E$3:$E$6,MATCH($G4474,Mapping!$D$3:$D$6,0)),IFERROR(INDEX(Mapping!$B$3:$B$13,MATCH($J4474,Mapping!$A$3:$A$13,0)),"(unmapped)")),IFERROR(INDEX(Mapping!$B$17:$B$22,MATCH($F4474,Mapping!$A$17:$A$22,0)),$F4474)&amp;" "&amp;IF($G4474="Banking","Banking",IFERROR(INDEX(Mapping!$E$17:$E$28,MATCH($J4474,Mapping!$D$17:$D$28,0)),"(unmapped)")))))</f>
        <v/>
      </c>
    </row>
    <row r="4475" spans="11:11" x14ac:dyDescent="0.3">
      <c r="K4475" t="str">
        <f>IF($D4475="","",IFERROR(INDEX(Mapping!$H$3:$H$32,MATCH($B4475,Mapping!$G$3:$G$32,0)),IF(LEFT($F4475,3)="P2P",IFERROR(INDEX(Mapping!$E$3:$E$6,MATCH($G4475,Mapping!$D$3:$D$6,0)),IFERROR(INDEX(Mapping!$B$3:$B$13,MATCH($J4475,Mapping!$A$3:$A$13,0)),"(unmapped)")),IFERROR(INDEX(Mapping!$B$17:$B$22,MATCH($F4475,Mapping!$A$17:$A$22,0)),$F4475)&amp;" "&amp;IF($G4475="Banking","Banking",IFERROR(INDEX(Mapping!$E$17:$E$28,MATCH($J4475,Mapping!$D$17:$D$28,0)),"(unmapped)")))))</f>
        <v/>
      </c>
    </row>
    <row r="4476" spans="11:11" x14ac:dyDescent="0.3">
      <c r="K4476" t="str">
        <f>IF($D4476="","",IFERROR(INDEX(Mapping!$H$3:$H$32,MATCH($B4476,Mapping!$G$3:$G$32,0)),IF(LEFT($F4476,3)="P2P",IFERROR(INDEX(Mapping!$E$3:$E$6,MATCH($G4476,Mapping!$D$3:$D$6,0)),IFERROR(INDEX(Mapping!$B$3:$B$13,MATCH($J4476,Mapping!$A$3:$A$13,0)),"(unmapped)")),IFERROR(INDEX(Mapping!$B$17:$B$22,MATCH($F4476,Mapping!$A$17:$A$22,0)),$F4476)&amp;" "&amp;IF($G4476="Banking","Banking",IFERROR(INDEX(Mapping!$E$17:$E$28,MATCH($J4476,Mapping!$D$17:$D$28,0)),"(unmapped)")))))</f>
        <v/>
      </c>
    </row>
    <row r="4477" spans="11:11" x14ac:dyDescent="0.3">
      <c r="K4477" t="str">
        <f>IF($D4477="","",IFERROR(INDEX(Mapping!$H$3:$H$32,MATCH($B4477,Mapping!$G$3:$G$32,0)),IF(LEFT($F4477,3)="P2P",IFERROR(INDEX(Mapping!$E$3:$E$6,MATCH($G4477,Mapping!$D$3:$D$6,0)),IFERROR(INDEX(Mapping!$B$3:$B$13,MATCH($J4477,Mapping!$A$3:$A$13,0)),"(unmapped)")),IFERROR(INDEX(Mapping!$B$17:$B$22,MATCH($F4477,Mapping!$A$17:$A$22,0)),$F4477)&amp;" "&amp;IF($G4477="Banking","Banking",IFERROR(INDEX(Mapping!$E$17:$E$28,MATCH($J4477,Mapping!$D$17:$D$28,0)),"(unmapped)")))))</f>
        <v/>
      </c>
    </row>
    <row r="4478" spans="11:11" x14ac:dyDescent="0.3">
      <c r="K4478" t="str">
        <f>IF($D4478="","",IFERROR(INDEX(Mapping!$H$3:$H$32,MATCH($B4478,Mapping!$G$3:$G$32,0)),IF(LEFT($F4478,3)="P2P",IFERROR(INDEX(Mapping!$E$3:$E$6,MATCH($G4478,Mapping!$D$3:$D$6,0)),IFERROR(INDEX(Mapping!$B$3:$B$13,MATCH($J4478,Mapping!$A$3:$A$13,0)),"(unmapped)")),IFERROR(INDEX(Mapping!$B$17:$B$22,MATCH($F4478,Mapping!$A$17:$A$22,0)),$F4478)&amp;" "&amp;IF($G4478="Banking","Banking",IFERROR(INDEX(Mapping!$E$17:$E$28,MATCH($J4478,Mapping!$D$17:$D$28,0)),"(unmapped)")))))</f>
        <v/>
      </c>
    </row>
    <row r="4479" spans="11:11" x14ac:dyDescent="0.3">
      <c r="K4479" t="str">
        <f>IF($D4479="","",IFERROR(INDEX(Mapping!$H$3:$H$32,MATCH($B4479,Mapping!$G$3:$G$32,0)),IF(LEFT($F4479,3)="P2P",IFERROR(INDEX(Mapping!$E$3:$E$6,MATCH($G4479,Mapping!$D$3:$D$6,0)),IFERROR(INDEX(Mapping!$B$3:$B$13,MATCH($J4479,Mapping!$A$3:$A$13,0)),"(unmapped)")),IFERROR(INDEX(Mapping!$B$17:$B$22,MATCH($F4479,Mapping!$A$17:$A$22,0)),$F4479)&amp;" "&amp;IF($G4479="Banking","Banking",IFERROR(INDEX(Mapping!$E$17:$E$28,MATCH($J4479,Mapping!$D$17:$D$28,0)),"(unmapped)")))))</f>
        <v/>
      </c>
    </row>
    <row r="4480" spans="11:11" x14ac:dyDescent="0.3">
      <c r="K4480" t="str">
        <f>IF($D4480="","",IFERROR(INDEX(Mapping!$H$3:$H$32,MATCH($B4480,Mapping!$G$3:$G$32,0)),IF(LEFT($F4480,3)="P2P",IFERROR(INDEX(Mapping!$E$3:$E$6,MATCH($G4480,Mapping!$D$3:$D$6,0)),IFERROR(INDEX(Mapping!$B$3:$B$13,MATCH($J4480,Mapping!$A$3:$A$13,0)),"(unmapped)")),IFERROR(INDEX(Mapping!$B$17:$B$22,MATCH($F4480,Mapping!$A$17:$A$22,0)),$F4480)&amp;" "&amp;IF($G4480="Banking","Banking",IFERROR(INDEX(Mapping!$E$17:$E$28,MATCH($J4480,Mapping!$D$17:$D$28,0)),"(unmapped)")))))</f>
        <v/>
      </c>
    </row>
    <row r="4481" spans="11:11" x14ac:dyDescent="0.3">
      <c r="K4481" t="str">
        <f>IF($D4481="","",IFERROR(INDEX(Mapping!$H$3:$H$32,MATCH($B4481,Mapping!$G$3:$G$32,0)),IF(LEFT($F4481,3)="P2P",IFERROR(INDEX(Mapping!$E$3:$E$6,MATCH($G4481,Mapping!$D$3:$D$6,0)),IFERROR(INDEX(Mapping!$B$3:$B$13,MATCH($J4481,Mapping!$A$3:$A$13,0)),"(unmapped)")),IFERROR(INDEX(Mapping!$B$17:$B$22,MATCH($F4481,Mapping!$A$17:$A$22,0)),$F4481)&amp;" "&amp;IF($G4481="Banking","Banking",IFERROR(INDEX(Mapping!$E$17:$E$28,MATCH($J4481,Mapping!$D$17:$D$28,0)),"(unmapped)")))))</f>
        <v/>
      </c>
    </row>
    <row r="4482" spans="11:11" x14ac:dyDescent="0.3">
      <c r="K4482" t="str">
        <f>IF($D4482="","",IFERROR(INDEX(Mapping!$H$3:$H$32,MATCH($B4482,Mapping!$G$3:$G$32,0)),IF(LEFT($F4482,3)="P2P",IFERROR(INDEX(Mapping!$E$3:$E$6,MATCH($G4482,Mapping!$D$3:$D$6,0)),IFERROR(INDEX(Mapping!$B$3:$B$13,MATCH($J4482,Mapping!$A$3:$A$13,0)),"(unmapped)")),IFERROR(INDEX(Mapping!$B$17:$B$22,MATCH($F4482,Mapping!$A$17:$A$22,0)),$F4482)&amp;" "&amp;IF($G4482="Banking","Banking",IFERROR(INDEX(Mapping!$E$17:$E$28,MATCH($J4482,Mapping!$D$17:$D$28,0)),"(unmapped)")))))</f>
        <v/>
      </c>
    </row>
    <row r="4483" spans="11:11" x14ac:dyDescent="0.3">
      <c r="K4483" t="str">
        <f>IF($D4483="","",IFERROR(INDEX(Mapping!$H$3:$H$32,MATCH($B4483,Mapping!$G$3:$G$32,0)),IF(LEFT($F4483,3)="P2P",IFERROR(INDEX(Mapping!$E$3:$E$6,MATCH($G4483,Mapping!$D$3:$D$6,0)),IFERROR(INDEX(Mapping!$B$3:$B$13,MATCH($J4483,Mapping!$A$3:$A$13,0)),"(unmapped)")),IFERROR(INDEX(Mapping!$B$17:$B$22,MATCH($F4483,Mapping!$A$17:$A$22,0)),$F4483)&amp;" "&amp;IF($G4483="Banking","Banking",IFERROR(INDEX(Mapping!$E$17:$E$28,MATCH($J4483,Mapping!$D$17:$D$28,0)),"(unmapped)")))))</f>
        <v/>
      </c>
    </row>
    <row r="4484" spans="11:11" x14ac:dyDescent="0.3">
      <c r="K4484" t="str">
        <f>IF($D4484="","",IFERROR(INDEX(Mapping!$H$3:$H$32,MATCH($B4484,Mapping!$G$3:$G$32,0)),IF(LEFT($F4484,3)="P2P",IFERROR(INDEX(Mapping!$E$3:$E$6,MATCH($G4484,Mapping!$D$3:$D$6,0)),IFERROR(INDEX(Mapping!$B$3:$B$13,MATCH($J4484,Mapping!$A$3:$A$13,0)),"(unmapped)")),IFERROR(INDEX(Mapping!$B$17:$B$22,MATCH($F4484,Mapping!$A$17:$A$22,0)),$F4484)&amp;" "&amp;IF($G4484="Banking","Banking",IFERROR(INDEX(Mapping!$E$17:$E$28,MATCH($J4484,Mapping!$D$17:$D$28,0)),"(unmapped)")))))</f>
        <v/>
      </c>
    </row>
    <row r="4485" spans="11:11" x14ac:dyDescent="0.3">
      <c r="K4485" t="str">
        <f>IF($D4485="","",IFERROR(INDEX(Mapping!$H$3:$H$32,MATCH($B4485,Mapping!$G$3:$G$32,0)),IF(LEFT($F4485,3)="P2P",IFERROR(INDEX(Mapping!$E$3:$E$6,MATCH($G4485,Mapping!$D$3:$D$6,0)),IFERROR(INDEX(Mapping!$B$3:$B$13,MATCH($J4485,Mapping!$A$3:$A$13,0)),"(unmapped)")),IFERROR(INDEX(Mapping!$B$17:$B$22,MATCH($F4485,Mapping!$A$17:$A$22,0)),$F4485)&amp;" "&amp;IF($G4485="Banking","Banking",IFERROR(INDEX(Mapping!$E$17:$E$28,MATCH($J4485,Mapping!$D$17:$D$28,0)),"(unmapped)")))))</f>
        <v/>
      </c>
    </row>
    <row r="4486" spans="11:11" x14ac:dyDescent="0.3">
      <c r="K4486" t="str">
        <f>IF($D4486="","",IFERROR(INDEX(Mapping!$H$3:$H$32,MATCH($B4486,Mapping!$G$3:$G$32,0)),IF(LEFT($F4486,3)="P2P",IFERROR(INDEX(Mapping!$E$3:$E$6,MATCH($G4486,Mapping!$D$3:$D$6,0)),IFERROR(INDEX(Mapping!$B$3:$B$13,MATCH($J4486,Mapping!$A$3:$A$13,0)),"(unmapped)")),IFERROR(INDEX(Mapping!$B$17:$B$22,MATCH($F4486,Mapping!$A$17:$A$22,0)),$F4486)&amp;" "&amp;IF($G4486="Banking","Banking",IFERROR(INDEX(Mapping!$E$17:$E$28,MATCH($J4486,Mapping!$D$17:$D$28,0)),"(unmapped)")))))</f>
        <v/>
      </c>
    </row>
    <row r="4487" spans="11:11" x14ac:dyDescent="0.3">
      <c r="K4487" t="str">
        <f>IF($D4487="","",IFERROR(INDEX(Mapping!$H$3:$H$32,MATCH($B4487,Mapping!$G$3:$G$32,0)),IF(LEFT($F4487,3)="P2P",IFERROR(INDEX(Mapping!$E$3:$E$6,MATCH($G4487,Mapping!$D$3:$D$6,0)),IFERROR(INDEX(Mapping!$B$3:$B$13,MATCH($J4487,Mapping!$A$3:$A$13,0)),"(unmapped)")),IFERROR(INDEX(Mapping!$B$17:$B$22,MATCH($F4487,Mapping!$A$17:$A$22,0)),$F4487)&amp;" "&amp;IF($G4487="Banking","Banking",IFERROR(INDEX(Mapping!$E$17:$E$28,MATCH($J4487,Mapping!$D$17:$D$28,0)),"(unmapped)")))))</f>
        <v/>
      </c>
    </row>
    <row r="4488" spans="11:11" x14ac:dyDescent="0.3">
      <c r="K4488" t="str">
        <f>IF($D4488="","",IFERROR(INDEX(Mapping!$H$3:$H$32,MATCH($B4488,Mapping!$G$3:$G$32,0)),IF(LEFT($F4488,3)="P2P",IFERROR(INDEX(Mapping!$E$3:$E$6,MATCH($G4488,Mapping!$D$3:$D$6,0)),IFERROR(INDEX(Mapping!$B$3:$B$13,MATCH($J4488,Mapping!$A$3:$A$13,0)),"(unmapped)")),IFERROR(INDEX(Mapping!$B$17:$B$22,MATCH($F4488,Mapping!$A$17:$A$22,0)),$F4488)&amp;" "&amp;IF($G4488="Banking","Banking",IFERROR(INDEX(Mapping!$E$17:$E$28,MATCH($J4488,Mapping!$D$17:$D$28,0)),"(unmapped)")))))</f>
        <v/>
      </c>
    </row>
    <row r="4489" spans="11:11" x14ac:dyDescent="0.3">
      <c r="K4489" t="str">
        <f>IF($D4489="","",IFERROR(INDEX(Mapping!$H$3:$H$32,MATCH($B4489,Mapping!$G$3:$G$32,0)),IF(LEFT($F4489,3)="P2P",IFERROR(INDEX(Mapping!$E$3:$E$6,MATCH($G4489,Mapping!$D$3:$D$6,0)),IFERROR(INDEX(Mapping!$B$3:$B$13,MATCH($J4489,Mapping!$A$3:$A$13,0)),"(unmapped)")),IFERROR(INDEX(Mapping!$B$17:$B$22,MATCH($F4489,Mapping!$A$17:$A$22,0)),$F4489)&amp;" "&amp;IF($G4489="Banking","Banking",IFERROR(INDEX(Mapping!$E$17:$E$28,MATCH($J4489,Mapping!$D$17:$D$28,0)),"(unmapped)")))))</f>
        <v/>
      </c>
    </row>
    <row r="4490" spans="11:11" x14ac:dyDescent="0.3">
      <c r="K4490" t="str">
        <f>IF($D4490="","",IFERROR(INDEX(Mapping!$H$3:$H$32,MATCH($B4490,Mapping!$G$3:$G$32,0)),IF(LEFT($F4490,3)="P2P",IFERROR(INDEX(Mapping!$E$3:$E$6,MATCH($G4490,Mapping!$D$3:$D$6,0)),IFERROR(INDEX(Mapping!$B$3:$B$13,MATCH($J4490,Mapping!$A$3:$A$13,0)),"(unmapped)")),IFERROR(INDEX(Mapping!$B$17:$B$22,MATCH($F4490,Mapping!$A$17:$A$22,0)),$F4490)&amp;" "&amp;IF($G4490="Banking","Banking",IFERROR(INDEX(Mapping!$E$17:$E$28,MATCH($J4490,Mapping!$D$17:$D$28,0)),"(unmapped)")))))</f>
        <v/>
      </c>
    </row>
    <row r="4491" spans="11:11" x14ac:dyDescent="0.3">
      <c r="K4491" t="str">
        <f>IF($D4491="","",IFERROR(INDEX(Mapping!$H$3:$H$32,MATCH($B4491,Mapping!$G$3:$G$32,0)),IF(LEFT($F4491,3)="P2P",IFERROR(INDEX(Mapping!$E$3:$E$6,MATCH($G4491,Mapping!$D$3:$D$6,0)),IFERROR(INDEX(Mapping!$B$3:$B$13,MATCH($J4491,Mapping!$A$3:$A$13,0)),"(unmapped)")),IFERROR(INDEX(Mapping!$B$17:$B$22,MATCH($F4491,Mapping!$A$17:$A$22,0)),$F4491)&amp;" "&amp;IF($G4491="Banking","Banking",IFERROR(INDEX(Mapping!$E$17:$E$28,MATCH($J4491,Mapping!$D$17:$D$28,0)),"(unmapped)")))))</f>
        <v/>
      </c>
    </row>
    <row r="4492" spans="11:11" x14ac:dyDescent="0.3">
      <c r="K4492" t="str">
        <f>IF($D4492="","",IFERROR(INDEX(Mapping!$H$3:$H$32,MATCH($B4492,Mapping!$G$3:$G$32,0)),IF(LEFT($F4492,3)="P2P",IFERROR(INDEX(Mapping!$E$3:$E$6,MATCH($G4492,Mapping!$D$3:$D$6,0)),IFERROR(INDEX(Mapping!$B$3:$B$13,MATCH($J4492,Mapping!$A$3:$A$13,0)),"(unmapped)")),IFERROR(INDEX(Mapping!$B$17:$B$22,MATCH($F4492,Mapping!$A$17:$A$22,0)),$F4492)&amp;" "&amp;IF($G4492="Banking","Banking",IFERROR(INDEX(Mapping!$E$17:$E$28,MATCH($J4492,Mapping!$D$17:$D$28,0)),"(unmapped)")))))</f>
        <v/>
      </c>
    </row>
    <row r="4493" spans="11:11" x14ac:dyDescent="0.3">
      <c r="K4493" t="str">
        <f>IF($D4493="","",IFERROR(INDEX(Mapping!$H$3:$H$32,MATCH($B4493,Mapping!$G$3:$G$32,0)),IF(LEFT($F4493,3)="P2P",IFERROR(INDEX(Mapping!$E$3:$E$6,MATCH($G4493,Mapping!$D$3:$D$6,0)),IFERROR(INDEX(Mapping!$B$3:$B$13,MATCH($J4493,Mapping!$A$3:$A$13,0)),"(unmapped)")),IFERROR(INDEX(Mapping!$B$17:$B$22,MATCH($F4493,Mapping!$A$17:$A$22,0)),$F4493)&amp;" "&amp;IF($G4493="Banking","Banking",IFERROR(INDEX(Mapping!$E$17:$E$28,MATCH($J4493,Mapping!$D$17:$D$28,0)),"(unmapped)")))))</f>
        <v/>
      </c>
    </row>
    <row r="4494" spans="11:11" x14ac:dyDescent="0.3">
      <c r="K4494" t="str">
        <f>IF($D4494="","",IFERROR(INDEX(Mapping!$H$3:$H$32,MATCH($B4494,Mapping!$G$3:$G$32,0)),IF(LEFT($F4494,3)="P2P",IFERROR(INDEX(Mapping!$E$3:$E$6,MATCH($G4494,Mapping!$D$3:$D$6,0)),IFERROR(INDEX(Mapping!$B$3:$B$13,MATCH($J4494,Mapping!$A$3:$A$13,0)),"(unmapped)")),IFERROR(INDEX(Mapping!$B$17:$B$22,MATCH($F4494,Mapping!$A$17:$A$22,0)),$F4494)&amp;" "&amp;IF($G4494="Banking","Banking",IFERROR(INDEX(Mapping!$E$17:$E$28,MATCH($J4494,Mapping!$D$17:$D$28,0)),"(unmapped)")))))</f>
        <v/>
      </c>
    </row>
    <row r="4495" spans="11:11" x14ac:dyDescent="0.3">
      <c r="K4495" t="str">
        <f>IF($D4495="","",IFERROR(INDEX(Mapping!$H$3:$H$32,MATCH($B4495,Mapping!$G$3:$G$32,0)),IF(LEFT($F4495,3)="P2P",IFERROR(INDEX(Mapping!$E$3:$E$6,MATCH($G4495,Mapping!$D$3:$D$6,0)),IFERROR(INDEX(Mapping!$B$3:$B$13,MATCH($J4495,Mapping!$A$3:$A$13,0)),"(unmapped)")),IFERROR(INDEX(Mapping!$B$17:$B$22,MATCH($F4495,Mapping!$A$17:$A$22,0)),$F4495)&amp;" "&amp;IF($G4495="Banking","Banking",IFERROR(INDEX(Mapping!$E$17:$E$28,MATCH($J4495,Mapping!$D$17:$D$28,0)),"(unmapped)")))))</f>
        <v/>
      </c>
    </row>
    <row r="4496" spans="11:11" x14ac:dyDescent="0.3">
      <c r="K4496" t="str">
        <f>IF($D4496="","",IFERROR(INDEX(Mapping!$H$3:$H$32,MATCH($B4496,Mapping!$G$3:$G$32,0)),IF(LEFT($F4496,3)="P2P",IFERROR(INDEX(Mapping!$E$3:$E$6,MATCH($G4496,Mapping!$D$3:$D$6,0)),IFERROR(INDEX(Mapping!$B$3:$B$13,MATCH($J4496,Mapping!$A$3:$A$13,0)),"(unmapped)")),IFERROR(INDEX(Mapping!$B$17:$B$22,MATCH($F4496,Mapping!$A$17:$A$22,0)),$F4496)&amp;" "&amp;IF($G4496="Banking","Banking",IFERROR(INDEX(Mapping!$E$17:$E$28,MATCH($J4496,Mapping!$D$17:$D$28,0)),"(unmapped)")))))</f>
        <v/>
      </c>
    </row>
    <row r="4497" spans="11:11" x14ac:dyDescent="0.3">
      <c r="K4497" t="str">
        <f>IF($D4497="","",IFERROR(INDEX(Mapping!$H$3:$H$32,MATCH($B4497,Mapping!$G$3:$G$32,0)),IF(LEFT($F4497,3)="P2P",IFERROR(INDEX(Mapping!$E$3:$E$6,MATCH($G4497,Mapping!$D$3:$D$6,0)),IFERROR(INDEX(Mapping!$B$3:$B$13,MATCH($J4497,Mapping!$A$3:$A$13,0)),"(unmapped)")),IFERROR(INDEX(Mapping!$B$17:$B$22,MATCH($F4497,Mapping!$A$17:$A$22,0)),$F4497)&amp;" "&amp;IF($G4497="Banking","Banking",IFERROR(INDEX(Mapping!$E$17:$E$28,MATCH($J4497,Mapping!$D$17:$D$28,0)),"(unmapped)")))))</f>
        <v/>
      </c>
    </row>
    <row r="4498" spans="11:11" x14ac:dyDescent="0.3">
      <c r="K4498" t="str">
        <f>IF($D4498="","",IFERROR(INDEX(Mapping!$H$3:$H$32,MATCH($B4498,Mapping!$G$3:$G$32,0)),IF(LEFT($F4498,3)="P2P",IFERROR(INDEX(Mapping!$E$3:$E$6,MATCH($G4498,Mapping!$D$3:$D$6,0)),IFERROR(INDEX(Mapping!$B$3:$B$13,MATCH($J4498,Mapping!$A$3:$A$13,0)),"(unmapped)")),IFERROR(INDEX(Mapping!$B$17:$B$22,MATCH($F4498,Mapping!$A$17:$A$22,0)),$F4498)&amp;" "&amp;IF($G4498="Banking","Banking",IFERROR(INDEX(Mapping!$E$17:$E$28,MATCH($J4498,Mapping!$D$17:$D$28,0)),"(unmapped)")))))</f>
        <v/>
      </c>
    </row>
    <row r="4499" spans="11:11" x14ac:dyDescent="0.3">
      <c r="K4499" t="str">
        <f>IF($D4499="","",IFERROR(INDEX(Mapping!$H$3:$H$32,MATCH($B4499,Mapping!$G$3:$G$32,0)),IF(LEFT($F4499,3)="P2P",IFERROR(INDEX(Mapping!$E$3:$E$6,MATCH($G4499,Mapping!$D$3:$D$6,0)),IFERROR(INDEX(Mapping!$B$3:$B$13,MATCH($J4499,Mapping!$A$3:$A$13,0)),"(unmapped)")),IFERROR(INDEX(Mapping!$B$17:$B$22,MATCH($F4499,Mapping!$A$17:$A$22,0)),$F4499)&amp;" "&amp;IF($G4499="Banking","Banking",IFERROR(INDEX(Mapping!$E$17:$E$28,MATCH($J4499,Mapping!$D$17:$D$28,0)),"(unmapped)")))))</f>
        <v/>
      </c>
    </row>
    <row r="4500" spans="11:11" x14ac:dyDescent="0.3">
      <c r="K4500" t="str">
        <f>IF($D4500="","",IFERROR(INDEX(Mapping!$H$3:$H$32,MATCH($B4500,Mapping!$G$3:$G$32,0)),IF(LEFT($F4500,3)="P2P",IFERROR(INDEX(Mapping!$E$3:$E$6,MATCH($G4500,Mapping!$D$3:$D$6,0)),IFERROR(INDEX(Mapping!$B$3:$B$13,MATCH($J4500,Mapping!$A$3:$A$13,0)),"(unmapped)")),IFERROR(INDEX(Mapping!$B$17:$B$22,MATCH($F4500,Mapping!$A$17:$A$22,0)),$F4500)&amp;" "&amp;IF($G4500="Banking","Banking",IFERROR(INDEX(Mapping!$E$17:$E$28,MATCH($J4500,Mapping!$D$17:$D$28,0)),"(unmapped)")))))</f>
        <v/>
      </c>
    </row>
    <row r="4501" spans="11:11" x14ac:dyDescent="0.3">
      <c r="K4501" t="str">
        <f>IF($D4501="","",IFERROR(INDEX(Mapping!$H$3:$H$32,MATCH($B4501,Mapping!$G$3:$G$32,0)),IF(LEFT($F4501,3)="P2P",IFERROR(INDEX(Mapping!$E$3:$E$6,MATCH($G4501,Mapping!$D$3:$D$6,0)),IFERROR(INDEX(Mapping!$B$3:$B$13,MATCH($J4501,Mapping!$A$3:$A$13,0)),"(unmapped)")),IFERROR(INDEX(Mapping!$B$17:$B$22,MATCH($F4501,Mapping!$A$17:$A$22,0)),$F4501)&amp;" "&amp;IF($G4501="Banking","Banking",IFERROR(INDEX(Mapping!$E$17:$E$28,MATCH($J4501,Mapping!$D$17:$D$28,0)),"(unmapped)")))))</f>
        <v/>
      </c>
    </row>
    <row r="4502" spans="11:11" x14ac:dyDescent="0.3">
      <c r="K4502" t="str">
        <f>IF($D4502="","",IFERROR(INDEX(Mapping!$H$3:$H$32,MATCH($B4502,Mapping!$G$3:$G$32,0)),IF(LEFT($F4502,3)="P2P",IFERROR(INDEX(Mapping!$E$3:$E$6,MATCH($G4502,Mapping!$D$3:$D$6,0)),IFERROR(INDEX(Mapping!$B$3:$B$13,MATCH($J4502,Mapping!$A$3:$A$13,0)),"(unmapped)")),IFERROR(INDEX(Mapping!$B$17:$B$22,MATCH($F4502,Mapping!$A$17:$A$22,0)),$F4502)&amp;" "&amp;IF($G4502="Banking","Banking",IFERROR(INDEX(Mapping!$E$17:$E$28,MATCH($J4502,Mapping!$D$17:$D$28,0)),"(unmapped)")))))</f>
        <v/>
      </c>
    </row>
    <row r="4503" spans="11:11" x14ac:dyDescent="0.3">
      <c r="K4503" t="str">
        <f>IF($D4503="","",IFERROR(INDEX(Mapping!$H$3:$H$32,MATCH($B4503,Mapping!$G$3:$G$32,0)),IF(LEFT($F4503,3)="P2P",IFERROR(INDEX(Mapping!$E$3:$E$6,MATCH($G4503,Mapping!$D$3:$D$6,0)),IFERROR(INDEX(Mapping!$B$3:$B$13,MATCH($J4503,Mapping!$A$3:$A$13,0)),"(unmapped)")),IFERROR(INDEX(Mapping!$B$17:$B$22,MATCH($F4503,Mapping!$A$17:$A$22,0)),$F4503)&amp;" "&amp;IF($G4503="Banking","Banking",IFERROR(INDEX(Mapping!$E$17:$E$28,MATCH($J4503,Mapping!$D$17:$D$28,0)),"(unmapped)")))))</f>
        <v/>
      </c>
    </row>
    <row r="4504" spans="11:11" x14ac:dyDescent="0.3">
      <c r="K4504" t="str">
        <f>IF($D4504="","",IFERROR(INDEX(Mapping!$H$3:$H$32,MATCH($B4504,Mapping!$G$3:$G$32,0)),IF(LEFT($F4504,3)="P2P",IFERROR(INDEX(Mapping!$E$3:$E$6,MATCH($G4504,Mapping!$D$3:$D$6,0)),IFERROR(INDEX(Mapping!$B$3:$B$13,MATCH($J4504,Mapping!$A$3:$A$13,0)),"(unmapped)")),IFERROR(INDEX(Mapping!$B$17:$B$22,MATCH($F4504,Mapping!$A$17:$A$22,0)),$F4504)&amp;" "&amp;IF($G4504="Banking","Banking",IFERROR(INDEX(Mapping!$E$17:$E$28,MATCH($J4504,Mapping!$D$17:$D$28,0)),"(unmapped)")))))</f>
        <v/>
      </c>
    </row>
    <row r="4505" spans="11:11" x14ac:dyDescent="0.3">
      <c r="K4505" t="str">
        <f>IF($D4505="","",IFERROR(INDEX(Mapping!$H$3:$H$32,MATCH($B4505,Mapping!$G$3:$G$32,0)),IF(LEFT($F4505,3)="P2P",IFERROR(INDEX(Mapping!$E$3:$E$6,MATCH($G4505,Mapping!$D$3:$D$6,0)),IFERROR(INDEX(Mapping!$B$3:$B$13,MATCH($J4505,Mapping!$A$3:$A$13,0)),"(unmapped)")),IFERROR(INDEX(Mapping!$B$17:$B$22,MATCH($F4505,Mapping!$A$17:$A$22,0)),$F4505)&amp;" "&amp;IF($G4505="Banking","Banking",IFERROR(INDEX(Mapping!$E$17:$E$28,MATCH($J4505,Mapping!$D$17:$D$28,0)),"(unmapped)")))))</f>
        <v/>
      </c>
    </row>
    <row r="4506" spans="11:11" x14ac:dyDescent="0.3">
      <c r="K4506" t="str">
        <f>IF($D4506="","",IFERROR(INDEX(Mapping!$H$3:$H$32,MATCH($B4506,Mapping!$G$3:$G$32,0)),IF(LEFT($F4506,3)="P2P",IFERROR(INDEX(Mapping!$E$3:$E$6,MATCH($G4506,Mapping!$D$3:$D$6,0)),IFERROR(INDEX(Mapping!$B$3:$B$13,MATCH($J4506,Mapping!$A$3:$A$13,0)),"(unmapped)")),IFERROR(INDEX(Mapping!$B$17:$B$22,MATCH($F4506,Mapping!$A$17:$A$22,0)),$F4506)&amp;" "&amp;IF($G4506="Banking","Banking",IFERROR(INDEX(Mapping!$E$17:$E$28,MATCH($J4506,Mapping!$D$17:$D$28,0)),"(unmapped)")))))</f>
        <v/>
      </c>
    </row>
    <row r="4507" spans="11:11" x14ac:dyDescent="0.3">
      <c r="K4507" t="str">
        <f>IF($D4507="","",IFERROR(INDEX(Mapping!$H$3:$H$32,MATCH($B4507,Mapping!$G$3:$G$32,0)),IF(LEFT($F4507,3)="P2P",IFERROR(INDEX(Mapping!$E$3:$E$6,MATCH($G4507,Mapping!$D$3:$D$6,0)),IFERROR(INDEX(Mapping!$B$3:$B$13,MATCH($J4507,Mapping!$A$3:$A$13,0)),"(unmapped)")),IFERROR(INDEX(Mapping!$B$17:$B$22,MATCH($F4507,Mapping!$A$17:$A$22,0)),$F4507)&amp;" "&amp;IF($G4507="Banking","Banking",IFERROR(INDEX(Mapping!$E$17:$E$28,MATCH($J4507,Mapping!$D$17:$D$28,0)),"(unmapped)")))))</f>
        <v/>
      </c>
    </row>
    <row r="4508" spans="11:11" x14ac:dyDescent="0.3">
      <c r="K4508" t="str">
        <f>IF($D4508="","",IFERROR(INDEX(Mapping!$H$3:$H$32,MATCH($B4508,Mapping!$G$3:$G$32,0)),IF(LEFT($F4508,3)="P2P",IFERROR(INDEX(Mapping!$E$3:$E$6,MATCH($G4508,Mapping!$D$3:$D$6,0)),IFERROR(INDEX(Mapping!$B$3:$B$13,MATCH($J4508,Mapping!$A$3:$A$13,0)),"(unmapped)")),IFERROR(INDEX(Mapping!$B$17:$B$22,MATCH($F4508,Mapping!$A$17:$A$22,0)),$F4508)&amp;" "&amp;IF($G4508="Banking","Banking",IFERROR(INDEX(Mapping!$E$17:$E$28,MATCH($J4508,Mapping!$D$17:$D$28,0)),"(unmapped)")))))</f>
        <v/>
      </c>
    </row>
    <row r="4509" spans="11:11" x14ac:dyDescent="0.3">
      <c r="K4509" t="str">
        <f>IF($D4509="","",IFERROR(INDEX(Mapping!$H$3:$H$32,MATCH($B4509,Mapping!$G$3:$G$32,0)),IF(LEFT($F4509,3)="P2P",IFERROR(INDEX(Mapping!$E$3:$E$6,MATCH($G4509,Mapping!$D$3:$D$6,0)),IFERROR(INDEX(Mapping!$B$3:$B$13,MATCH($J4509,Mapping!$A$3:$A$13,0)),"(unmapped)")),IFERROR(INDEX(Mapping!$B$17:$B$22,MATCH($F4509,Mapping!$A$17:$A$22,0)),$F4509)&amp;" "&amp;IF($G4509="Banking","Banking",IFERROR(INDEX(Mapping!$E$17:$E$28,MATCH($J4509,Mapping!$D$17:$D$28,0)),"(unmapped)")))))</f>
        <v/>
      </c>
    </row>
    <row r="4510" spans="11:11" x14ac:dyDescent="0.3">
      <c r="K4510" t="str">
        <f>IF($D4510="","",IFERROR(INDEX(Mapping!$H$3:$H$32,MATCH($B4510,Mapping!$G$3:$G$32,0)),IF(LEFT($F4510,3)="P2P",IFERROR(INDEX(Mapping!$E$3:$E$6,MATCH($G4510,Mapping!$D$3:$D$6,0)),IFERROR(INDEX(Mapping!$B$3:$B$13,MATCH($J4510,Mapping!$A$3:$A$13,0)),"(unmapped)")),IFERROR(INDEX(Mapping!$B$17:$B$22,MATCH($F4510,Mapping!$A$17:$A$22,0)),$F4510)&amp;" "&amp;IF($G4510="Banking","Banking",IFERROR(INDEX(Mapping!$E$17:$E$28,MATCH($J4510,Mapping!$D$17:$D$28,0)),"(unmapped)")))))</f>
        <v/>
      </c>
    </row>
    <row r="4511" spans="11:11" x14ac:dyDescent="0.3">
      <c r="K4511" t="str">
        <f>IF($D4511="","",IFERROR(INDEX(Mapping!$H$3:$H$32,MATCH($B4511,Mapping!$G$3:$G$32,0)),IF(LEFT($F4511,3)="P2P",IFERROR(INDEX(Mapping!$E$3:$E$6,MATCH($G4511,Mapping!$D$3:$D$6,0)),IFERROR(INDEX(Mapping!$B$3:$B$13,MATCH($J4511,Mapping!$A$3:$A$13,0)),"(unmapped)")),IFERROR(INDEX(Mapping!$B$17:$B$22,MATCH($F4511,Mapping!$A$17:$A$22,0)),$F4511)&amp;" "&amp;IF($G4511="Banking","Banking",IFERROR(INDEX(Mapping!$E$17:$E$28,MATCH($J4511,Mapping!$D$17:$D$28,0)),"(unmapped)")))))</f>
        <v/>
      </c>
    </row>
    <row r="4512" spans="11:11" x14ac:dyDescent="0.3">
      <c r="K4512" t="str">
        <f>IF($D4512="","",IFERROR(INDEX(Mapping!$H$3:$H$32,MATCH($B4512,Mapping!$G$3:$G$32,0)),IF(LEFT($F4512,3)="P2P",IFERROR(INDEX(Mapping!$E$3:$E$6,MATCH($G4512,Mapping!$D$3:$D$6,0)),IFERROR(INDEX(Mapping!$B$3:$B$13,MATCH($J4512,Mapping!$A$3:$A$13,0)),"(unmapped)")),IFERROR(INDEX(Mapping!$B$17:$B$22,MATCH($F4512,Mapping!$A$17:$A$22,0)),$F4512)&amp;" "&amp;IF($G4512="Banking","Banking",IFERROR(INDEX(Mapping!$E$17:$E$28,MATCH($J4512,Mapping!$D$17:$D$28,0)),"(unmapped)")))))</f>
        <v/>
      </c>
    </row>
    <row r="4513" spans="11:11" x14ac:dyDescent="0.3">
      <c r="K4513" t="str">
        <f>IF($D4513="","",IFERROR(INDEX(Mapping!$H$3:$H$32,MATCH($B4513,Mapping!$G$3:$G$32,0)),IF(LEFT($F4513,3)="P2P",IFERROR(INDEX(Mapping!$E$3:$E$6,MATCH($G4513,Mapping!$D$3:$D$6,0)),IFERROR(INDEX(Mapping!$B$3:$B$13,MATCH($J4513,Mapping!$A$3:$A$13,0)),"(unmapped)")),IFERROR(INDEX(Mapping!$B$17:$B$22,MATCH($F4513,Mapping!$A$17:$A$22,0)),$F4513)&amp;" "&amp;IF($G4513="Banking","Banking",IFERROR(INDEX(Mapping!$E$17:$E$28,MATCH($J4513,Mapping!$D$17:$D$28,0)),"(unmapped)")))))</f>
        <v/>
      </c>
    </row>
    <row r="4514" spans="11:11" x14ac:dyDescent="0.3">
      <c r="K4514" t="str">
        <f>IF($D4514="","",IFERROR(INDEX(Mapping!$H$3:$H$32,MATCH($B4514,Mapping!$G$3:$G$32,0)),IF(LEFT($F4514,3)="P2P",IFERROR(INDEX(Mapping!$E$3:$E$6,MATCH($G4514,Mapping!$D$3:$D$6,0)),IFERROR(INDEX(Mapping!$B$3:$B$13,MATCH($J4514,Mapping!$A$3:$A$13,0)),"(unmapped)")),IFERROR(INDEX(Mapping!$B$17:$B$22,MATCH($F4514,Mapping!$A$17:$A$22,0)),$F4514)&amp;" "&amp;IF($G4514="Banking","Banking",IFERROR(INDEX(Mapping!$E$17:$E$28,MATCH($J4514,Mapping!$D$17:$D$28,0)),"(unmapped)")))))</f>
        <v/>
      </c>
    </row>
    <row r="4515" spans="11:11" x14ac:dyDescent="0.3">
      <c r="K4515" t="str">
        <f>IF($D4515="","",IFERROR(INDEX(Mapping!$H$3:$H$32,MATCH($B4515,Mapping!$G$3:$G$32,0)),IF(LEFT($F4515,3)="P2P",IFERROR(INDEX(Mapping!$E$3:$E$6,MATCH($G4515,Mapping!$D$3:$D$6,0)),IFERROR(INDEX(Mapping!$B$3:$B$13,MATCH($J4515,Mapping!$A$3:$A$13,0)),"(unmapped)")),IFERROR(INDEX(Mapping!$B$17:$B$22,MATCH($F4515,Mapping!$A$17:$A$22,0)),$F4515)&amp;" "&amp;IF($G4515="Banking","Banking",IFERROR(INDEX(Mapping!$E$17:$E$28,MATCH($J4515,Mapping!$D$17:$D$28,0)),"(unmapped)")))))</f>
        <v/>
      </c>
    </row>
    <row r="4516" spans="11:11" x14ac:dyDescent="0.3">
      <c r="K4516" t="str">
        <f>IF($D4516="","",IFERROR(INDEX(Mapping!$H$3:$H$32,MATCH($B4516,Mapping!$G$3:$G$32,0)),IF(LEFT($F4516,3)="P2P",IFERROR(INDEX(Mapping!$E$3:$E$6,MATCH($G4516,Mapping!$D$3:$D$6,0)),IFERROR(INDEX(Mapping!$B$3:$B$13,MATCH($J4516,Mapping!$A$3:$A$13,0)),"(unmapped)")),IFERROR(INDEX(Mapping!$B$17:$B$22,MATCH($F4516,Mapping!$A$17:$A$22,0)),$F4516)&amp;" "&amp;IF($G4516="Banking","Banking",IFERROR(INDEX(Mapping!$E$17:$E$28,MATCH($J4516,Mapping!$D$17:$D$28,0)),"(unmapped)")))))</f>
        <v/>
      </c>
    </row>
    <row r="4517" spans="11:11" x14ac:dyDescent="0.3">
      <c r="K4517" t="str">
        <f>IF($D4517="","",IFERROR(INDEX(Mapping!$H$3:$H$32,MATCH($B4517,Mapping!$G$3:$G$32,0)),IF(LEFT($F4517,3)="P2P",IFERROR(INDEX(Mapping!$E$3:$E$6,MATCH($G4517,Mapping!$D$3:$D$6,0)),IFERROR(INDEX(Mapping!$B$3:$B$13,MATCH($J4517,Mapping!$A$3:$A$13,0)),"(unmapped)")),IFERROR(INDEX(Mapping!$B$17:$B$22,MATCH($F4517,Mapping!$A$17:$A$22,0)),$F4517)&amp;" "&amp;IF($G4517="Banking","Banking",IFERROR(INDEX(Mapping!$E$17:$E$28,MATCH($J4517,Mapping!$D$17:$D$28,0)),"(unmapped)")))))</f>
        <v/>
      </c>
    </row>
    <row r="4518" spans="11:11" x14ac:dyDescent="0.3">
      <c r="K4518" t="str">
        <f>IF($D4518="","",IFERROR(INDEX(Mapping!$H$3:$H$32,MATCH($B4518,Mapping!$G$3:$G$32,0)),IF(LEFT($F4518,3)="P2P",IFERROR(INDEX(Mapping!$E$3:$E$6,MATCH($G4518,Mapping!$D$3:$D$6,0)),IFERROR(INDEX(Mapping!$B$3:$B$13,MATCH($J4518,Mapping!$A$3:$A$13,0)),"(unmapped)")),IFERROR(INDEX(Mapping!$B$17:$B$22,MATCH($F4518,Mapping!$A$17:$A$22,0)),$F4518)&amp;" "&amp;IF($G4518="Banking","Banking",IFERROR(INDEX(Mapping!$E$17:$E$28,MATCH($J4518,Mapping!$D$17:$D$28,0)),"(unmapped)")))))</f>
        <v/>
      </c>
    </row>
    <row r="4519" spans="11:11" x14ac:dyDescent="0.3">
      <c r="K4519" t="str">
        <f>IF($D4519="","",IFERROR(INDEX(Mapping!$H$3:$H$32,MATCH($B4519,Mapping!$G$3:$G$32,0)),IF(LEFT($F4519,3)="P2P",IFERROR(INDEX(Mapping!$E$3:$E$6,MATCH($G4519,Mapping!$D$3:$D$6,0)),IFERROR(INDEX(Mapping!$B$3:$B$13,MATCH($J4519,Mapping!$A$3:$A$13,0)),"(unmapped)")),IFERROR(INDEX(Mapping!$B$17:$B$22,MATCH($F4519,Mapping!$A$17:$A$22,0)),$F4519)&amp;" "&amp;IF($G4519="Banking","Banking",IFERROR(INDEX(Mapping!$E$17:$E$28,MATCH($J4519,Mapping!$D$17:$D$28,0)),"(unmapped)")))))</f>
        <v/>
      </c>
    </row>
    <row r="4520" spans="11:11" x14ac:dyDescent="0.3">
      <c r="K4520" t="str">
        <f>IF($D4520="","",IFERROR(INDEX(Mapping!$H$3:$H$32,MATCH($B4520,Mapping!$G$3:$G$32,0)),IF(LEFT($F4520,3)="P2P",IFERROR(INDEX(Mapping!$E$3:$E$6,MATCH($G4520,Mapping!$D$3:$D$6,0)),IFERROR(INDEX(Mapping!$B$3:$B$13,MATCH($J4520,Mapping!$A$3:$A$13,0)),"(unmapped)")),IFERROR(INDEX(Mapping!$B$17:$B$22,MATCH($F4520,Mapping!$A$17:$A$22,0)),$F4520)&amp;" "&amp;IF($G4520="Banking","Banking",IFERROR(INDEX(Mapping!$E$17:$E$28,MATCH($J4520,Mapping!$D$17:$D$28,0)),"(unmapped)")))))</f>
        <v/>
      </c>
    </row>
    <row r="4521" spans="11:11" x14ac:dyDescent="0.3">
      <c r="K4521" t="str">
        <f>IF($D4521="","",IFERROR(INDEX(Mapping!$H$3:$H$32,MATCH($B4521,Mapping!$G$3:$G$32,0)),IF(LEFT($F4521,3)="P2P",IFERROR(INDEX(Mapping!$E$3:$E$6,MATCH($G4521,Mapping!$D$3:$D$6,0)),IFERROR(INDEX(Mapping!$B$3:$B$13,MATCH($J4521,Mapping!$A$3:$A$13,0)),"(unmapped)")),IFERROR(INDEX(Mapping!$B$17:$B$22,MATCH($F4521,Mapping!$A$17:$A$22,0)),$F4521)&amp;" "&amp;IF($G4521="Banking","Banking",IFERROR(INDEX(Mapping!$E$17:$E$28,MATCH($J4521,Mapping!$D$17:$D$28,0)),"(unmapped)")))))</f>
        <v/>
      </c>
    </row>
    <row r="4522" spans="11:11" x14ac:dyDescent="0.3">
      <c r="K4522" t="str">
        <f>IF($D4522="","",IFERROR(INDEX(Mapping!$H$3:$H$32,MATCH($B4522,Mapping!$G$3:$G$32,0)),IF(LEFT($F4522,3)="P2P",IFERROR(INDEX(Mapping!$E$3:$E$6,MATCH($G4522,Mapping!$D$3:$D$6,0)),IFERROR(INDEX(Mapping!$B$3:$B$13,MATCH($J4522,Mapping!$A$3:$A$13,0)),"(unmapped)")),IFERROR(INDEX(Mapping!$B$17:$B$22,MATCH($F4522,Mapping!$A$17:$A$22,0)),$F4522)&amp;" "&amp;IF($G4522="Banking","Banking",IFERROR(INDEX(Mapping!$E$17:$E$28,MATCH($J4522,Mapping!$D$17:$D$28,0)),"(unmapped)")))))</f>
        <v/>
      </c>
    </row>
    <row r="4523" spans="11:11" x14ac:dyDescent="0.3">
      <c r="K4523" t="str">
        <f>IF($D4523="","",IFERROR(INDEX(Mapping!$H$3:$H$32,MATCH($B4523,Mapping!$G$3:$G$32,0)),IF(LEFT($F4523,3)="P2P",IFERROR(INDEX(Mapping!$E$3:$E$6,MATCH($G4523,Mapping!$D$3:$D$6,0)),IFERROR(INDEX(Mapping!$B$3:$B$13,MATCH($J4523,Mapping!$A$3:$A$13,0)),"(unmapped)")),IFERROR(INDEX(Mapping!$B$17:$B$22,MATCH($F4523,Mapping!$A$17:$A$22,0)),$F4523)&amp;" "&amp;IF($G4523="Banking","Banking",IFERROR(INDEX(Mapping!$E$17:$E$28,MATCH($J4523,Mapping!$D$17:$D$28,0)),"(unmapped)")))))</f>
        <v/>
      </c>
    </row>
    <row r="4524" spans="11:11" x14ac:dyDescent="0.3">
      <c r="K4524" t="str">
        <f>IF($D4524="","",IFERROR(INDEX(Mapping!$H$3:$H$32,MATCH($B4524,Mapping!$G$3:$G$32,0)),IF(LEFT($F4524,3)="P2P",IFERROR(INDEX(Mapping!$E$3:$E$6,MATCH($G4524,Mapping!$D$3:$D$6,0)),IFERROR(INDEX(Mapping!$B$3:$B$13,MATCH($J4524,Mapping!$A$3:$A$13,0)),"(unmapped)")),IFERROR(INDEX(Mapping!$B$17:$B$22,MATCH($F4524,Mapping!$A$17:$A$22,0)),$F4524)&amp;" "&amp;IF($G4524="Banking","Banking",IFERROR(INDEX(Mapping!$E$17:$E$28,MATCH($J4524,Mapping!$D$17:$D$28,0)),"(unmapped)")))))</f>
        <v/>
      </c>
    </row>
    <row r="4525" spans="11:11" x14ac:dyDescent="0.3">
      <c r="K4525" t="str">
        <f>IF($D4525="","",IFERROR(INDEX(Mapping!$H$3:$H$32,MATCH($B4525,Mapping!$G$3:$G$32,0)),IF(LEFT($F4525,3)="P2P",IFERROR(INDEX(Mapping!$E$3:$E$6,MATCH($G4525,Mapping!$D$3:$D$6,0)),IFERROR(INDEX(Mapping!$B$3:$B$13,MATCH($J4525,Mapping!$A$3:$A$13,0)),"(unmapped)")),IFERROR(INDEX(Mapping!$B$17:$B$22,MATCH($F4525,Mapping!$A$17:$A$22,0)),$F4525)&amp;" "&amp;IF($G4525="Banking","Banking",IFERROR(INDEX(Mapping!$E$17:$E$28,MATCH($J4525,Mapping!$D$17:$D$28,0)),"(unmapped)")))))</f>
        <v/>
      </c>
    </row>
    <row r="4526" spans="11:11" x14ac:dyDescent="0.3">
      <c r="K4526" t="str">
        <f>IF($D4526="","",IFERROR(INDEX(Mapping!$H$3:$H$32,MATCH($B4526,Mapping!$G$3:$G$32,0)),IF(LEFT($F4526,3)="P2P",IFERROR(INDEX(Mapping!$E$3:$E$6,MATCH($G4526,Mapping!$D$3:$D$6,0)),IFERROR(INDEX(Mapping!$B$3:$B$13,MATCH($J4526,Mapping!$A$3:$A$13,0)),"(unmapped)")),IFERROR(INDEX(Mapping!$B$17:$B$22,MATCH($F4526,Mapping!$A$17:$A$22,0)),$F4526)&amp;" "&amp;IF($G4526="Banking","Banking",IFERROR(INDEX(Mapping!$E$17:$E$28,MATCH($J4526,Mapping!$D$17:$D$28,0)),"(unmapped)")))))</f>
        <v/>
      </c>
    </row>
    <row r="4527" spans="11:11" x14ac:dyDescent="0.3">
      <c r="K4527" t="str">
        <f>IF($D4527="","",IFERROR(INDEX(Mapping!$H$3:$H$32,MATCH($B4527,Mapping!$G$3:$G$32,0)),IF(LEFT($F4527,3)="P2P",IFERROR(INDEX(Mapping!$E$3:$E$6,MATCH($G4527,Mapping!$D$3:$D$6,0)),IFERROR(INDEX(Mapping!$B$3:$B$13,MATCH($J4527,Mapping!$A$3:$A$13,0)),"(unmapped)")),IFERROR(INDEX(Mapping!$B$17:$B$22,MATCH($F4527,Mapping!$A$17:$A$22,0)),$F4527)&amp;" "&amp;IF($G4527="Banking","Banking",IFERROR(INDEX(Mapping!$E$17:$E$28,MATCH($J4527,Mapping!$D$17:$D$28,0)),"(unmapped)")))))</f>
        <v/>
      </c>
    </row>
    <row r="4528" spans="11:11" x14ac:dyDescent="0.3">
      <c r="K4528" t="str">
        <f>IF($D4528="","",IFERROR(INDEX(Mapping!$H$3:$H$32,MATCH($B4528,Mapping!$G$3:$G$32,0)),IF(LEFT($F4528,3)="P2P",IFERROR(INDEX(Mapping!$E$3:$E$6,MATCH($G4528,Mapping!$D$3:$D$6,0)),IFERROR(INDEX(Mapping!$B$3:$B$13,MATCH($J4528,Mapping!$A$3:$A$13,0)),"(unmapped)")),IFERROR(INDEX(Mapping!$B$17:$B$22,MATCH($F4528,Mapping!$A$17:$A$22,0)),$F4528)&amp;" "&amp;IF($G4528="Banking","Banking",IFERROR(INDEX(Mapping!$E$17:$E$28,MATCH($J4528,Mapping!$D$17:$D$28,0)),"(unmapped)")))))</f>
        <v/>
      </c>
    </row>
    <row r="4529" spans="11:11" x14ac:dyDescent="0.3">
      <c r="K4529" t="str">
        <f>IF($D4529="","",IFERROR(INDEX(Mapping!$H$3:$H$32,MATCH($B4529,Mapping!$G$3:$G$32,0)),IF(LEFT($F4529,3)="P2P",IFERROR(INDEX(Mapping!$E$3:$E$6,MATCH($G4529,Mapping!$D$3:$D$6,0)),IFERROR(INDEX(Mapping!$B$3:$B$13,MATCH($J4529,Mapping!$A$3:$A$13,0)),"(unmapped)")),IFERROR(INDEX(Mapping!$B$17:$B$22,MATCH($F4529,Mapping!$A$17:$A$22,0)),$F4529)&amp;" "&amp;IF($G4529="Banking","Banking",IFERROR(INDEX(Mapping!$E$17:$E$28,MATCH($J4529,Mapping!$D$17:$D$28,0)),"(unmapped)")))))</f>
        <v/>
      </c>
    </row>
    <row r="4530" spans="11:11" x14ac:dyDescent="0.3">
      <c r="K4530" t="str">
        <f>IF($D4530="","",IFERROR(INDEX(Mapping!$H$3:$H$32,MATCH($B4530,Mapping!$G$3:$G$32,0)),IF(LEFT($F4530,3)="P2P",IFERROR(INDEX(Mapping!$E$3:$E$6,MATCH($G4530,Mapping!$D$3:$D$6,0)),IFERROR(INDEX(Mapping!$B$3:$B$13,MATCH($J4530,Mapping!$A$3:$A$13,0)),"(unmapped)")),IFERROR(INDEX(Mapping!$B$17:$B$22,MATCH($F4530,Mapping!$A$17:$A$22,0)),$F4530)&amp;" "&amp;IF($G4530="Banking","Banking",IFERROR(INDEX(Mapping!$E$17:$E$28,MATCH($J4530,Mapping!$D$17:$D$28,0)),"(unmapped)")))))</f>
        <v/>
      </c>
    </row>
    <row r="4531" spans="11:11" x14ac:dyDescent="0.3">
      <c r="K4531" t="str">
        <f>IF($D4531="","",IFERROR(INDEX(Mapping!$H$3:$H$32,MATCH($B4531,Mapping!$G$3:$G$32,0)),IF(LEFT($F4531,3)="P2P",IFERROR(INDEX(Mapping!$E$3:$E$6,MATCH($G4531,Mapping!$D$3:$D$6,0)),IFERROR(INDEX(Mapping!$B$3:$B$13,MATCH($J4531,Mapping!$A$3:$A$13,0)),"(unmapped)")),IFERROR(INDEX(Mapping!$B$17:$B$22,MATCH($F4531,Mapping!$A$17:$A$22,0)),$F4531)&amp;" "&amp;IF($G4531="Banking","Banking",IFERROR(INDEX(Mapping!$E$17:$E$28,MATCH($J4531,Mapping!$D$17:$D$28,0)),"(unmapped)")))))</f>
        <v/>
      </c>
    </row>
    <row r="4532" spans="11:11" x14ac:dyDescent="0.3">
      <c r="K4532" t="str">
        <f>IF($D4532="","",IFERROR(INDEX(Mapping!$H$3:$H$32,MATCH($B4532,Mapping!$G$3:$G$32,0)),IF(LEFT($F4532,3)="P2P",IFERROR(INDEX(Mapping!$E$3:$E$6,MATCH($G4532,Mapping!$D$3:$D$6,0)),IFERROR(INDEX(Mapping!$B$3:$B$13,MATCH($J4532,Mapping!$A$3:$A$13,0)),"(unmapped)")),IFERROR(INDEX(Mapping!$B$17:$B$22,MATCH($F4532,Mapping!$A$17:$A$22,0)),$F4532)&amp;" "&amp;IF($G4532="Banking","Banking",IFERROR(INDEX(Mapping!$E$17:$E$28,MATCH($J4532,Mapping!$D$17:$D$28,0)),"(unmapped)")))))</f>
        <v/>
      </c>
    </row>
    <row r="4533" spans="11:11" x14ac:dyDescent="0.3">
      <c r="K4533" t="str">
        <f>IF($D4533="","",IFERROR(INDEX(Mapping!$H$3:$H$32,MATCH($B4533,Mapping!$G$3:$G$32,0)),IF(LEFT($F4533,3)="P2P",IFERROR(INDEX(Mapping!$E$3:$E$6,MATCH($G4533,Mapping!$D$3:$D$6,0)),IFERROR(INDEX(Mapping!$B$3:$B$13,MATCH($J4533,Mapping!$A$3:$A$13,0)),"(unmapped)")),IFERROR(INDEX(Mapping!$B$17:$B$22,MATCH($F4533,Mapping!$A$17:$A$22,0)),$F4533)&amp;" "&amp;IF($G4533="Banking","Banking",IFERROR(INDEX(Mapping!$E$17:$E$28,MATCH($J4533,Mapping!$D$17:$D$28,0)),"(unmapped)")))))</f>
        <v/>
      </c>
    </row>
    <row r="4534" spans="11:11" x14ac:dyDescent="0.3">
      <c r="K4534" t="str">
        <f>IF($D4534="","",IFERROR(INDEX(Mapping!$H$3:$H$32,MATCH($B4534,Mapping!$G$3:$G$32,0)),IF(LEFT($F4534,3)="P2P",IFERROR(INDEX(Mapping!$E$3:$E$6,MATCH($G4534,Mapping!$D$3:$D$6,0)),IFERROR(INDEX(Mapping!$B$3:$B$13,MATCH($J4534,Mapping!$A$3:$A$13,0)),"(unmapped)")),IFERROR(INDEX(Mapping!$B$17:$B$22,MATCH($F4534,Mapping!$A$17:$A$22,0)),$F4534)&amp;" "&amp;IF($G4534="Banking","Banking",IFERROR(INDEX(Mapping!$E$17:$E$28,MATCH($J4534,Mapping!$D$17:$D$28,0)),"(unmapped)")))))</f>
        <v/>
      </c>
    </row>
    <row r="4535" spans="11:11" x14ac:dyDescent="0.3">
      <c r="K4535" t="str">
        <f>IF($D4535="","",IFERROR(INDEX(Mapping!$H$3:$H$32,MATCH($B4535,Mapping!$G$3:$G$32,0)),IF(LEFT($F4535,3)="P2P",IFERROR(INDEX(Mapping!$E$3:$E$6,MATCH($G4535,Mapping!$D$3:$D$6,0)),IFERROR(INDEX(Mapping!$B$3:$B$13,MATCH($J4535,Mapping!$A$3:$A$13,0)),"(unmapped)")),IFERROR(INDEX(Mapping!$B$17:$B$22,MATCH($F4535,Mapping!$A$17:$A$22,0)),$F4535)&amp;" "&amp;IF($G4535="Banking","Banking",IFERROR(INDEX(Mapping!$E$17:$E$28,MATCH($J4535,Mapping!$D$17:$D$28,0)),"(unmapped)")))))</f>
        <v/>
      </c>
    </row>
    <row r="4536" spans="11:11" x14ac:dyDescent="0.3">
      <c r="K4536" t="str">
        <f>IF($D4536="","",IFERROR(INDEX(Mapping!$H$3:$H$32,MATCH($B4536,Mapping!$G$3:$G$32,0)),IF(LEFT($F4536,3)="P2P",IFERROR(INDEX(Mapping!$E$3:$E$6,MATCH($G4536,Mapping!$D$3:$D$6,0)),IFERROR(INDEX(Mapping!$B$3:$B$13,MATCH($J4536,Mapping!$A$3:$A$13,0)),"(unmapped)")),IFERROR(INDEX(Mapping!$B$17:$B$22,MATCH($F4536,Mapping!$A$17:$A$22,0)),$F4536)&amp;" "&amp;IF($G4536="Banking","Banking",IFERROR(INDEX(Mapping!$E$17:$E$28,MATCH($J4536,Mapping!$D$17:$D$28,0)),"(unmapped)")))))</f>
        <v/>
      </c>
    </row>
    <row r="4537" spans="11:11" x14ac:dyDescent="0.3">
      <c r="K4537" t="str">
        <f>IF($D4537="","",IFERROR(INDEX(Mapping!$H$3:$H$32,MATCH($B4537,Mapping!$G$3:$G$32,0)),IF(LEFT($F4537,3)="P2P",IFERROR(INDEX(Mapping!$E$3:$E$6,MATCH($G4537,Mapping!$D$3:$D$6,0)),IFERROR(INDEX(Mapping!$B$3:$B$13,MATCH($J4537,Mapping!$A$3:$A$13,0)),"(unmapped)")),IFERROR(INDEX(Mapping!$B$17:$B$22,MATCH($F4537,Mapping!$A$17:$A$22,0)),$F4537)&amp;" "&amp;IF($G4537="Banking","Banking",IFERROR(INDEX(Mapping!$E$17:$E$28,MATCH($J4537,Mapping!$D$17:$D$28,0)),"(unmapped)")))))</f>
        <v/>
      </c>
    </row>
    <row r="4538" spans="11:11" x14ac:dyDescent="0.3">
      <c r="K4538" t="str">
        <f>IF($D4538="","",IFERROR(INDEX(Mapping!$H$3:$H$32,MATCH($B4538,Mapping!$G$3:$G$32,0)),IF(LEFT($F4538,3)="P2P",IFERROR(INDEX(Mapping!$E$3:$E$6,MATCH($G4538,Mapping!$D$3:$D$6,0)),IFERROR(INDEX(Mapping!$B$3:$B$13,MATCH($J4538,Mapping!$A$3:$A$13,0)),"(unmapped)")),IFERROR(INDEX(Mapping!$B$17:$B$22,MATCH($F4538,Mapping!$A$17:$A$22,0)),$F4538)&amp;" "&amp;IF($G4538="Banking","Banking",IFERROR(INDEX(Mapping!$E$17:$E$28,MATCH($J4538,Mapping!$D$17:$D$28,0)),"(unmapped)")))))</f>
        <v/>
      </c>
    </row>
    <row r="4539" spans="11:11" x14ac:dyDescent="0.3">
      <c r="K4539" t="str">
        <f>IF($D4539="","",IFERROR(INDEX(Mapping!$H$3:$H$32,MATCH($B4539,Mapping!$G$3:$G$32,0)),IF(LEFT($F4539,3)="P2P",IFERROR(INDEX(Mapping!$E$3:$E$6,MATCH($G4539,Mapping!$D$3:$D$6,0)),IFERROR(INDEX(Mapping!$B$3:$B$13,MATCH($J4539,Mapping!$A$3:$A$13,0)),"(unmapped)")),IFERROR(INDEX(Mapping!$B$17:$B$22,MATCH($F4539,Mapping!$A$17:$A$22,0)),$F4539)&amp;" "&amp;IF($G4539="Banking","Banking",IFERROR(INDEX(Mapping!$E$17:$E$28,MATCH($J4539,Mapping!$D$17:$D$28,0)),"(unmapped)")))))</f>
        <v/>
      </c>
    </row>
    <row r="4540" spans="11:11" x14ac:dyDescent="0.3">
      <c r="K4540" t="str">
        <f>IF($D4540="","",IFERROR(INDEX(Mapping!$H$3:$H$32,MATCH($B4540,Mapping!$G$3:$G$32,0)),IF(LEFT($F4540,3)="P2P",IFERROR(INDEX(Mapping!$E$3:$E$6,MATCH($G4540,Mapping!$D$3:$D$6,0)),IFERROR(INDEX(Mapping!$B$3:$B$13,MATCH($J4540,Mapping!$A$3:$A$13,0)),"(unmapped)")),IFERROR(INDEX(Mapping!$B$17:$B$22,MATCH($F4540,Mapping!$A$17:$A$22,0)),$F4540)&amp;" "&amp;IF($G4540="Banking","Banking",IFERROR(INDEX(Mapping!$E$17:$E$28,MATCH($J4540,Mapping!$D$17:$D$28,0)),"(unmapped)")))))</f>
        <v/>
      </c>
    </row>
    <row r="4541" spans="11:11" x14ac:dyDescent="0.3">
      <c r="K4541" t="str">
        <f>IF($D4541="","",IFERROR(INDEX(Mapping!$H$3:$H$32,MATCH($B4541,Mapping!$G$3:$G$32,0)),IF(LEFT($F4541,3)="P2P",IFERROR(INDEX(Mapping!$E$3:$E$6,MATCH($G4541,Mapping!$D$3:$D$6,0)),IFERROR(INDEX(Mapping!$B$3:$B$13,MATCH($J4541,Mapping!$A$3:$A$13,0)),"(unmapped)")),IFERROR(INDEX(Mapping!$B$17:$B$22,MATCH($F4541,Mapping!$A$17:$A$22,0)),$F4541)&amp;" "&amp;IF($G4541="Banking","Banking",IFERROR(INDEX(Mapping!$E$17:$E$28,MATCH($J4541,Mapping!$D$17:$D$28,0)),"(unmapped)")))))</f>
        <v/>
      </c>
    </row>
    <row r="4542" spans="11:11" x14ac:dyDescent="0.3">
      <c r="K4542" t="str">
        <f>IF($D4542="","",IFERROR(INDEX(Mapping!$H$3:$H$32,MATCH($B4542,Mapping!$G$3:$G$32,0)),IF(LEFT($F4542,3)="P2P",IFERROR(INDEX(Mapping!$E$3:$E$6,MATCH($G4542,Mapping!$D$3:$D$6,0)),IFERROR(INDEX(Mapping!$B$3:$B$13,MATCH($J4542,Mapping!$A$3:$A$13,0)),"(unmapped)")),IFERROR(INDEX(Mapping!$B$17:$B$22,MATCH($F4542,Mapping!$A$17:$A$22,0)),$F4542)&amp;" "&amp;IF($G4542="Banking","Banking",IFERROR(INDEX(Mapping!$E$17:$E$28,MATCH($J4542,Mapping!$D$17:$D$28,0)),"(unmapped)")))))</f>
        <v/>
      </c>
    </row>
    <row r="4543" spans="11:11" x14ac:dyDescent="0.3">
      <c r="K4543" t="str">
        <f>IF($D4543="","",IFERROR(INDEX(Mapping!$H$3:$H$32,MATCH($B4543,Mapping!$G$3:$G$32,0)),IF(LEFT($F4543,3)="P2P",IFERROR(INDEX(Mapping!$E$3:$E$6,MATCH($G4543,Mapping!$D$3:$D$6,0)),IFERROR(INDEX(Mapping!$B$3:$B$13,MATCH($J4543,Mapping!$A$3:$A$13,0)),"(unmapped)")),IFERROR(INDEX(Mapping!$B$17:$B$22,MATCH($F4543,Mapping!$A$17:$A$22,0)),$F4543)&amp;" "&amp;IF($G4543="Banking","Banking",IFERROR(INDEX(Mapping!$E$17:$E$28,MATCH($J4543,Mapping!$D$17:$D$28,0)),"(unmapped)")))))</f>
        <v/>
      </c>
    </row>
    <row r="4544" spans="11:11" x14ac:dyDescent="0.3">
      <c r="K4544" t="str">
        <f>IF($D4544="","",IFERROR(INDEX(Mapping!$H$3:$H$32,MATCH($B4544,Mapping!$G$3:$G$32,0)),IF(LEFT($F4544,3)="P2P",IFERROR(INDEX(Mapping!$E$3:$E$6,MATCH($G4544,Mapping!$D$3:$D$6,0)),IFERROR(INDEX(Mapping!$B$3:$B$13,MATCH($J4544,Mapping!$A$3:$A$13,0)),"(unmapped)")),IFERROR(INDEX(Mapping!$B$17:$B$22,MATCH($F4544,Mapping!$A$17:$A$22,0)),$F4544)&amp;" "&amp;IF($G4544="Banking","Banking",IFERROR(INDEX(Mapping!$E$17:$E$28,MATCH($J4544,Mapping!$D$17:$D$28,0)),"(unmapped)")))))</f>
        <v/>
      </c>
    </row>
    <row r="4545" spans="11:11" x14ac:dyDescent="0.3">
      <c r="K4545" t="str">
        <f>IF($D4545="","",IFERROR(INDEX(Mapping!$H$3:$H$32,MATCH($B4545,Mapping!$G$3:$G$32,0)),IF(LEFT($F4545,3)="P2P",IFERROR(INDEX(Mapping!$E$3:$E$6,MATCH($G4545,Mapping!$D$3:$D$6,0)),IFERROR(INDEX(Mapping!$B$3:$B$13,MATCH($J4545,Mapping!$A$3:$A$13,0)),"(unmapped)")),IFERROR(INDEX(Mapping!$B$17:$B$22,MATCH($F4545,Mapping!$A$17:$A$22,0)),$F4545)&amp;" "&amp;IF($G4545="Banking","Banking",IFERROR(INDEX(Mapping!$E$17:$E$28,MATCH($J4545,Mapping!$D$17:$D$28,0)),"(unmapped)")))))</f>
        <v/>
      </c>
    </row>
    <row r="4546" spans="11:11" x14ac:dyDescent="0.3">
      <c r="K4546" t="str">
        <f>IF($D4546="","",IFERROR(INDEX(Mapping!$H$3:$H$32,MATCH($B4546,Mapping!$G$3:$G$32,0)),IF(LEFT($F4546,3)="P2P",IFERROR(INDEX(Mapping!$E$3:$E$6,MATCH($G4546,Mapping!$D$3:$D$6,0)),IFERROR(INDEX(Mapping!$B$3:$B$13,MATCH($J4546,Mapping!$A$3:$A$13,0)),"(unmapped)")),IFERROR(INDEX(Mapping!$B$17:$B$22,MATCH($F4546,Mapping!$A$17:$A$22,0)),$F4546)&amp;" "&amp;IF($G4546="Banking","Banking",IFERROR(INDEX(Mapping!$E$17:$E$28,MATCH($J4546,Mapping!$D$17:$D$28,0)),"(unmapped)")))))</f>
        <v/>
      </c>
    </row>
    <row r="4547" spans="11:11" x14ac:dyDescent="0.3">
      <c r="K4547" t="str">
        <f>IF($D4547="","",IFERROR(INDEX(Mapping!$H$3:$H$32,MATCH($B4547,Mapping!$G$3:$G$32,0)),IF(LEFT($F4547,3)="P2P",IFERROR(INDEX(Mapping!$E$3:$E$6,MATCH($G4547,Mapping!$D$3:$D$6,0)),IFERROR(INDEX(Mapping!$B$3:$B$13,MATCH($J4547,Mapping!$A$3:$A$13,0)),"(unmapped)")),IFERROR(INDEX(Mapping!$B$17:$B$22,MATCH($F4547,Mapping!$A$17:$A$22,0)),$F4547)&amp;" "&amp;IF($G4547="Banking","Banking",IFERROR(INDEX(Mapping!$E$17:$E$28,MATCH($J4547,Mapping!$D$17:$D$28,0)),"(unmapped)")))))</f>
        <v/>
      </c>
    </row>
    <row r="4548" spans="11:11" x14ac:dyDescent="0.3">
      <c r="K4548" t="str">
        <f>IF($D4548="","",IFERROR(INDEX(Mapping!$H$3:$H$32,MATCH($B4548,Mapping!$G$3:$G$32,0)),IF(LEFT($F4548,3)="P2P",IFERROR(INDEX(Mapping!$E$3:$E$6,MATCH($G4548,Mapping!$D$3:$D$6,0)),IFERROR(INDEX(Mapping!$B$3:$B$13,MATCH($J4548,Mapping!$A$3:$A$13,0)),"(unmapped)")),IFERROR(INDEX(Mapping!$B$17:$B$22,MATCH($F4548,Mapping!$A$17:$A$22,0)),$F4548)&amp;" "&amp;IF($G4548="Banking","Banking",IFERROR(INDEX(Mapping!$E$17:$E$28,MATCH($J4548,Mapping!$D$17:$D$28,0)),"(unmapped)")))))</f>
        <v/>
      </c>
    </row>
    <row r="4549" spans="11:11" x14ac:dyDescent="0.3">
      <c r="K4549" t="str">
        <f>IF($D4549="","",IFERROR(INDEX(Mapping!$H$3:$H$32,MATCH($B4549,Mapping!$G$3:$G$32,0)),IF(LEFT($F4549,3)="P2P",IFERROR(INDEX(Mapping!$E$3:$E$6,MATCH($G4549,Mapping!$D$3:$D$6,0)),IFERROR(INDEX(Mapping!$B$3:$B$13,MATCH($J4549,Mapping!$A$3:$A$13,0)),"(unmapped)")),IFERROR(INDEX(Mapping!$B$17:$B$22,MATCH($F4549,Mapping!$A$17:$A$22,0)),$F4549)&amp;" "&amp;IF($G4549="Banking","Banking",IFERROR(INDEX(Mapping!$E$17:$E$28,MATCH($J4549,Mapping!$D$17:$D$28,0)),"(unmapped)")))))</f>
        <v/>
      </c>
    </row>
    <row r="4550" spans="11:11" x14ac:dyDescent="0.3">
      <c r="K4550" t="str">
        <f>IF($D4550="","",IFERROR(INDEX(Mapping!$H$3:$H$32,MATCH($B4550,Mapping!$G$3:$G$32,0)),IF(LEFT($F4550,3)="P2P",IFERROR(INDEX(Mapping!$E$3:$E$6,MATCH($G4550,Mapping!$D$3:$D$6,0)),IFERROR(INDEX(Mapping!$B$3:$B$13,MATCH($J4550,Mapping!$A$3:$A$13,0)),"(unmapped)")),IFERROR(INDEX(Mapping!$B$17:$B$22,MATCH($F4550,Mapping!$A$17:$A$22,0)),$F4550)&amp;" "&amp;IF($G4550="Banking","Banking",IFERROR(INDEX(Mapping!$E$17:$E$28,MATCH($J4550,Mapping!$D$17:$D$28,0)),"(unmapped)")))))</f>
        <v/>
      </c>
    </row>
    <row r="4551" spans="11:11" x14ac:dyDescent="0.3">
      <c r="K4551" t="str">
        <f>IF($D4551="","",IFERROR(INDEX(Mapping!$H$3:$H$32,MATCH($B4551,Mapping!$G$3:$G$32,0)),IF(LEFT($F4551,3)="P2P",IFERROR(INDEX(Mapping!$E$3:$E$6,MATCH($G4551,Mapping!$D$3:$D$6,0)),IFERROR(INDEX(Mapping!$B$3:$B$13,MATCH($J4551,Mapping!$A$3:$A$13,0)),"(unmapped)")),IFERROR(INDEX(Mapping!$B$17:$B$22,MATCH($F4551,Mapping!$A$17:$A$22,0)),$F4551)&amp;" "&amp;IF($G4551="Banking","Banking",IFERROR(INDEX(Mapping!$E$17:$E$28,MATCH($J4551,Mapping!$D$17:$D$28,0)),"(unmapped)")))))</f>
        <v/>
      </c>
    </row>
    <row r="4552" spans="11:11" x14ac:dyDescent="0.3">
      <c r="K4552" t="str">
        <f>IF($D4552="","",IFERROR(INDEX(Mapping!$H$3:$H$32,MATCH($B4552,Mapping!$G$3:$G$32,0)),IF(LEFT($F4552,3)="P2P",IFERROR(INDEX(Mapping!$E$3:$E$6,MATCH($G4552,Mapping!$D$3:$D$6,0)),IFERROR(INDEX(Mapping!$B$3:$B$13,MATCH($J4552,Mapping!$A$3:$A$13,0)),"(unmapped)")),IFERROR(INDEX(Mapping!$B$17:$B$22,MATCH($F4552,Mapping!$A$17:$A$22,0)),$F4552)&amp;" "&amp;IF($G4552="Banking","Banking",IFERROR(INDEX(Mapping!$E$17:$E$28,MATCH($J4552,Mapping!$D$17:$D$28,0)),"(unmapped)")))))</f>
        <v/>
      </c>
    </row>
    <row r="4553" spans="11:11" x14ac:dyDescent="0.3">
      <c r="K4553" t="str">
        <f>IF($D4553="","",IFERROR(INDEX(Mapping!$H$3:$H$32,MATCH($B4553,Mapping!$G$3:$G$32,0)),IF(LEFT($F4553,3)="P2P",IFERROR(INDEX(Mapping!$E$3:$E$6,MATCH($G4553,Mapping!$D$3:$D$6,0)),IFERROR(INDEX(Mapping!$B$3:$B$13,MATCH($J4553,Mapping!$A$3:$A$13,0)),"(unmapped)")),IFERROR(INDEX(Mapping!$B$17:$B$22,MATCH($F4553,Mapping!$A$17:$A$22,0)),$F4553)&amp;" "&amp;IF($G4553="Banking","Banking",IFERROR(INDEX(Mapping!$E$17:$E$28,MATCH($J4553,Mapping!$D$17:$D$28,0)),"(unmapped)")))))</f>
        <v/>
      </c>
    </row>
    <row r="4554" spans="11:11" x14ac:dyDescent="0.3">
      <c r="K4554" t="str">
        <f>IF($D4554="","",IFERROR(INDEX(Mapping!$H$3:$H$32,MATCH($B4554,Mapping!$G$3:$G$32,0)),IF(LEFT($F4554,3)="P2P",IFERROR(INDEX(Mapping!$E$3:$E$6,MATCH($G4554,Mapping!$D$3:$D$6,0)),IFERROR(INDEX(Mapping!$B$3:$B$13,MATCH($J4554,Mapping!$A$3:$A$13,0)),"(unmapped)")),IFERROR(INDEX(Mapping!$B$17:$B$22,MATCH($F4554,Mapping!$A$17:$A$22,0)),$F4554)&amp;" "&amp;IF($G4554="Banking","Banking",IFERROR(INDEX(Mapping!$E$17:$E$28,MATCH($J4554,Mapping!$D$17:$D$28,0)),"(unmapped)")))))</f>
        <v/>
      </c>
    </row>
    <row r="4555" spans="11:11" x14ac:dyDescent="0.3">
      <c r="K4555" t="str">
        <f>IF($D4555="","",IFERROR(INDEX(Mapping!$H$3:$H$32,MATCH($B4555,Mapping!$G$3:$G$32,0)),IF(LEFT($F4555,3)="P2P",IFERROR(INDEX(Mapping!$E$3:$E$6,MATCH($G4555,Mapping!$D$3:$D$6,0)),IFERROR(INDEX(Mapping!$B$3:$B$13,MATCH($J4555,Mapping!$A$3:$A$13,0)),"(unmapped)")),IFERROR(INDEX(Mapping!$B$17:$B$22,MATCH($F4555,Mapping!$A$17:$A$22,0)),$F4555)&amp;" "&amp;IF($G4555="Banking","Banking",IFERROR(INDEX(Mapping!$E$17:$E$28,MATCH($J4555,Mapping!$D$17:$D$28,0)),"(unmapped)")))))</f>
        <v/>
      </c>
    </row>
    <row r="4556" spans="11:11" x14ac:dyDescent="0.3">
      <c r="K4556" t="str">
        <f>IF($D4556="","",IFERROR(INDEX(Mapping!$H$3:$H$32,MATCH($B4556,Mapping!$G$3:$G$32,0)),IF(LEFT($F4556,3)="P2P",IFERROR(INDEX(Mapping!$E$3:$E$6,MATCH($G4556,Mapping!$D$3:$D$6,0)),IFERROR(INDEX(Mapping!$B$3:$B$13,MATCH($J4556,Mapping!$A$3:$A$13,0)),"(unmapped)")),IFERROR(INDEX(Mapping!$B$17:$B$22,MATCH($F4556,Mapping!$A$17:$A$22,0)),$F4556)&amp;" "&amp;IF($G4556="Banking","Banking",IFERROR(INDEX(Mapping!$E$17:$E$28,MATCH($J4556,Mapping!$D$17:$D$28,0)),"(unmapped)")))))</f>
        <v/>
      </c>
    </row>
    <row r="4557" spans="11:11" x14ac:dyDescent="0.3">
      <c r="K4557" t="str">
        <f>IF($D4557="","",IFERROR(INDEX(Mapping!$H$3:$H$32,MATCH($B4557,Mapping!$G$3:$G$32,0)),IF(LEFT($F4557,3)="P2P",IFERROR(INDEX(Mapping!$E$3:$E$6,MATCH($G4557,Mapping!$D$3:$D$6,0)),IFERROR(INDEX(Mapping!$B$3:$B$13,MATCH($J4557,Mapping!$A$3:$A$13,0)),"(unmapped)")),IFERROR(INDEX(Mapping!$B$17:$B$22,MATCH($F4557,Mapping!$A$17:$A$22,0)),$F4557)&amp;" "&amp;IF($G4557="Banking","Banking",IFERROR(INDEX(Mapping!$E$17:$E$28,MATCH($J4557,Mapping!$D$17:$D$28,0)),"(unmapped)")))))</f>
        <v/>
      </c>
    </row>
    <row r="4558" spans="11:11" x14ac:dyDescent="0.3">
      <c r="K4558" t="str">
        <f>IF($D4558="","",IFERROR(INDEX(Mapping!$H$3:$H$32,MATCH($B4558,Mapping!$G$3:$G$32,0)),IF(LEFT($F4558,3)="P2P",IFERROR(INDEX(Mapping!$E$3:$E$6,MATCH($G4558,Mapping!$D$3:$D$6,0)),IFERROR(INDEX(Mapping!$B$3:$B$13,MATCH($J4558,Mapping!$A$3:$A$13,0)),"(unmapped)")),IFERROR(INDEX(Mapping!$B$17:$B$22,MATCH($F4558,Mapping!$A$17:$A$22,0)),$F4558)&amp;" "&amp;IF($G4558="Banking","Banking",IFERROR(INDEX(Mapping!$E$17:$E$28,MATCH($J4558,Mapping!$D$17:$D$28,0)),"(unmapped)")))))</f>
        <v/>
      </c>
    </row>
    <row r="4559" spans="11:11" x14ac:dyDescent="0.3">
      <c r="K4559" t="str">
        <f>IF($D4559="","",IFERROR(INDEX(Mapping!$H$3:$H$32,MATCH($B4559,Mapping!$G$3:$G$32,0)),IF(LEFT($F4559,3)="P2P",IFERROR(INDEX(Mapping!$E$3:$E$6,MATCH($G4559,Mapping!$D$3:$D$6,0)),IFERROR(INDEX(Mapping!$B$3:$B$13,MATCH($J4559,Mapping!$A$3:$A$13,0)),"(unmapped)")),IFERROR(INDEX(Mapping!$B$17:$B$22,MATCH($F4559,Mapping!$A$17:$A$22,0)),$F4559)&amp;" "&amp;IF($G4559="Banking","Banking",IFERROR(INDEX(Mapping!$E$17:$E$28,MATCH($J4559,Mapping!$D$17:$D$28,0)),"(unmapped)")))))</f>
        <v/>
      </c>
    </row>
    <row r="4560" spans="11:11" x14ac:dyDescent="0.3">
      <c r="K4560" t="str">
        <f>IF($D4560="","",IFERROR(INDEX(Mapping!$H$3:$H$32,MATCH($B4560,Mapping!$G$3:$G$32,0)),IF(LEFT($F4560,3)="P2P",IFERROR(INDEX(Mapping!$E$3:$E$6,MATCH($G4560,Mapping!$D$3:$D$6,0)),IFERROR(INDEX(Mapping!$B$3:$B$13,MATCH($J4560,Mapping!$A$3:$A$13,0)),"(unmapped)")),IFERROR(INDEX(Mapping!$B$17:$B$22,MATCH($F4560,Mapping!$A$17:$A$22,0)),$F4560)&amp;" "&amp;IF($G4560="Banking","Banking",IFERROR(INDEX(Mapping!$E$17:$E$28,MATCH($J4560,Mapping!$D$17:$D$28,0)),"(unmapped)")))))</f>
        <v/>
      </c>
    </row>
    <row r="4561" spans="11:11" x14ac:dyDescent="0.3">
      <c r="K4561" t="str">
        <f>IF($D4561="","",IFERROR(INDEX(Mapping!$H$3:$H$32,MATCH($B4561,Mapping!$G$3:$G$32,0)),IF(LEFT($F4561,3)="P2P",IFERROR(INDEX(Mapping!$E$3:$E$6,MATCH($G4561,Mapping!$D$3:$D$6,0)),IFERROR(INDEX(Mapping!$B$3:$B$13,MATCH($J4561,Mapping!$A$3:$A$13,0)),"(unmapped)")),IFERROR(INDEX(Mapping!$B$17:$B$22,MATCH($F4561,Mapping!$A$17:$A$22,0)),$F4561)&amp;" "&amp;IF($G4561="Banking","Banking",IFERROR(INDEX(Mapping!$E$17:$E$28,MATCH($J4561,Mapping!$D$17:$D$28,0)),"(unmapped)")))))</f>
        <v/>
      </c>
    </row>
    <row r="4562" spans="11:11" x14ac:dyDescent="0.3">
      <c r="K4562" t="str">
        <f>IF($D4562="","",IFERROR(INDEX(Mapping!$H$3:$H$32,MATCH($B4562,Mapping!$G$3:$G$32,0)),IF(LEFT($F4562,3)="P2P",IFERROR(INDEX(Mapping!$E$3:$E$6,MATCH($G4562,Mapping!$D$3:$D$6,0)),IFERROR(INDEX(Mapping!$B$3:$B$13,MATCH($J4562,Mapping!$A$3:$A$13,0)),"(unmapped)")),IFERROR(INDEX(Mapping!$B$17:$B$22,MATCH($F4562,Mapping!$A$17:$A$22,0)),$F4562)&amp;" "&amp;IF($G4562="Banking","Banking",IFERROR(INDEX(Mapping!$E$17:$E$28,MATCH($J4562,Mapping!$D$17:$D$28,0)),"(unmapped)")))))</f>
        <v/>
      </c>
    </row>
    <row r="4563" spans="11:11" x14ac:dyDescent="0.3">
      <c r="K4563" t="str">
        <f>IF($D4563="","",IFERROR(INDEX(Mapping!$H$3:$H$32,MATCH($B4563,Mapping!$G$3:$G$32,0)),IF(LEFT($F4563,3)="P2P",IFERROR(INDEX(Mapping!$E$3:$E$6,MATCH($G4563,Mapping!$D$3:$D$6,0)),IFERROR(INDEX(Mapping!$B$3:$B$13,MATCH($J4563,Mapping!$A$3:$A$13,0)),"(unmapped)")),IFERROR(INDEX(Mapping!$B$17:$B$22,MATCH($F4563,Mapping!$A$17:$A$22,0)),$F4563)&amp;" "&amp;IF($G4563="Banking","Banking",IFERROR(INDEX(Mapping!$E$17:$E$28,MATCH($J4563,Mapping!$D$17:$D$28,0)),"(unmapped)")))))</f>
        <v/>
      </c>
    </row>
    <row r="4564" spans="11:11" x14ac:dyDescent="0.3">
      <c r="K4564" t="str">
        <f>IF($D4564="","",IFERROR(INDEX(Mapping!$H$3:$H$32,MATCH($B4564,Mapping!$G$3:$G$32,0)),IF(LEFT($F4564,3)="P2P",IFERROR(INDEX(Mapping!$E$3:$E$6,MATCH($G4564,Mapping!$D$3:$D$6,0)),IFERROR(INDEX(Mapping!$B$3:$B$13,MATCH($J4564,Mapping!$A$3:$A$13,0)),"(unmapped)")),IFERROR(INDEX(Mapping!$B$17:$B$22,MATCH($F4564,Mapping!$A$17:$A$22,0)),$F4564)&amp;" "&amp;IF($G4564="Banking","Banking",IFERROR(INDEX(Mapping!$E$17:$E$28,MATCH($J4564,Mapping!$D$17:$D$28,0)),"(unmapped)")))))</f>
        <v/>
      </c>
    </row>
    <row r="4565" spans="11:11" x14ac:dyDescent="0.3">
      <c r="K4565" t="str">
        <f>IF($D4565="","",IFERROR(INDEX(Mapping!$H$3:$H$32,MATCH($B4565,Mapping!$G$3:$G$32,0)),IF(LEFT($F4565,3)="P2P",IFERROR(INDEX(Mapping!$E$3:$E$6,MATCH($G4565,Mapping!$D$3:$D$6,0)),IFERROR(INDEX(Mapping!$B$3:$B$13,MATCH($J4565,Mapping!$A$3:$A$13,0)),"(unmapped)")),IFERROR(INDEX(Mapping!$B$17:$B$22,MATCH($F4565,Mapping!$A$17:$A$22,0)),$F4565)&amp;" "&amp;IF($G4565="Banking","Banking",IFERROR(INDEX(Mapping!$E$17:$E$28,MATCH($J4565,Mapping!$D$17:$D$28,0)),"(unmapped)")))))</f>
        <v/>
      </c>
    </row>
    <row r="4566" spans="11:11" x14ac:dyDescent="0.3">
      <c r="K4566" t="str">
        <f>IF($D4566="","",IFERROR(INDEX(Mapping!$H$3:$H$32,MATCH($B4566,Mapping!$G$3:$G$32,0)),IF(LEFT($F4566,3)="P2P",IFERROR(INDEX(Mapping!$E$3:$E$6,MATCH($G4566,Mapping!$D$3:$D$6,0)),IFERROR(INDEX(Mapping!$B$3:$B$13,MATCH($J4566,Mapping!$A$3:$A$13,0)),"(unmapped)")),IFERROR(INDEX(Mapping!$B$17:$B$22,MATCH($F4566,Mapping!$A$17:$A$22,0)),$F4566)&amp;" "&amp;IF($G4566="Banking","Banking",IFERROR(INDEX(Mapping!$E$17:$E$28,MATCH($J4566,Mapping!$D$17:$D$28,0)),"(unmapped)")))))</f>
        <v/>
      </c>
    </row>
    <row r="4567" spans="11:11" x14ac:dyDescent="0.3">
      <c r="K4567" t="str">
        <f>IF($D4567="","",IFERROR(INDEX(Mapping!$H$3:$H$32,MATCH($B4567,Mapping!$G$3:$G$32,0)),IF(LEFT($F4567,3)="P2P",IFERROR(INDEX(Mapping!$E$3:$E$6,MATCH($G4567,Mapping!$D$3:$D$6,0)),IFERROR(INDEX(Mapping!$B$3:$B$13,MATCH($J4567,Mapping!$A$3:$A$13,0)),"(unmapped)")),IFERROR(INDEX(Mapping!$B$17:$B$22,MATCH($F4567,Mapping!$A$17:$A$22,0)),$F4567)&amp;" "&amp;IF($G4567="Banking","Banking",IFERROR(INDEX(Mapping!$E$17:$E$28,MATCH($J4567,Mapping!$D$17:$D$28,0)),"(unmapped)")))))</f>
        <v/>
      </c>
    </row>
    <row r="4568" spans="11:11" x14ac:dyDescent="0.3">
      <c r="K4568" t="str">
        <f>IF($D4568="","",IFERROR(INDEX(Mapping!$H$3:$H$32,MATCH($B4568,Mapping!$G$3:$G$32,0)),IF(LEFT($F4568,3)="P2P",IFERROR(INDEX(Mapping!$E$3:$E$6,MATCH($G4568,Mapping!$D$3:$D$6,0)),IFERROR(INDEX(Mapping!$B$3:$B$13,MATCH($J4568,Mapping!$A$3:$A$13,0)),"(unmapped)")),IFERROR(INDEX(Mapping!$B$17:$B$22,MATCH($F4568,Mapping!$A$17:$A$22,0)),$F4568)&amp;" "&amp;IF($G4568="Banking","Banking",IFERROR(INDEX(Mapping!$E$17:$E$28,MATCH($J4568,Mapping!$D$17:$D$28,0)),"(unmapped)")))))</f>
        <v/>
      </c>
    </row>
    <row r="4569" spans="11:11" x14ac:dyDescent="0.3">
      <c r="K4569" t="str">
        <f>IF($D4569="","",IFERROR(INDEX(Mapping!$H$3:$H$32,MATCH($B4569,Mapping!$G$3:$G$32,0)),IF(LEFT($F4569,3)="P2P",IFERROR(INDEX(Mapping!$E$3:$E$6,MATCH($G4569,Mapping!$D$3:$D$6,0)),IFERROR(INDEX(Mapping!$B$3:$B$13,MATCH($J4569,Mapping!$A$3:$A$13,0)),"(unmapped)")),IFERROR(INDEX(Mapping!$B$17:$B$22,MATCH($F4569,Mapping!$A$17:$A$22,0)),$F4569)&amp;" "&amp;IF($G4569="Banking","Banking",IFERROR(INDEX(Mapping!$E$17:$E$28,MATCH($J4569,Mapping!$D$17:$D$28,0)),"(unmapped)")))))</f>
        <v/>
      </c>
    </row>
    <row r="4570" spans="11:11" x14ac:dyDescent="0.3">
      <c r="K4570" t="str">
        <f>IF($D4570="","",IFERROR(INDEX(Mapping!$H$3:$H$32,MATCH($B4570,Mapping!$G$3:$G$32,0)),IF(LEFT($F4570,3)="P2P",IFERROR(INDEX(Mapping!$E$3:$E$6,MATCH($G4570,Mapping!$D$3:$D$6,0)),IFERROR(INDEX(Mapping!$B$3:$B$13,MATCH($J4570,Mapping!$A$3:$A$13,0)),"(unmapped)")),IFERROR(INDEX(Mapping!$B$17:$B$22,MATCH($F4570,Mapping!$A$17:$A$22,0)),$F4570)&amp;" "&amp;IF($G4570="Banking","Banking",IFERROR(INDEX(Mapping!$E$17:$E$28,MATCH($J4570,Mapping!$D$17:$D$28,0)),"(unmapped)")))))</f>
        <v/>
      </c>
    </row>
    <row r="4571" spans="11:11" x14ac:dyDescent="0.3">
      <c r="K4571" t="str">
        <f>IF($D4571="","",IFERROR(INDEX(Mapping!$H$3:$H$32,MATCH($B4571,Mapping!$G$3:$G$32,0)),IF(LEFT($F4571,3)="P2P",IFERROR(INDEX(Mapping!$E$3:$E$6,MATCH($G4571,Mapping!$D$3:$D$6,0)),IFERROR(INDEX(Mapping!$B$3:$B$13,MATCH($J4571,Mapping!$A$3:$A$13,0)),"(unmapped)")),IFERROR(INDEX(Mapping!$B$17:$B$22,MATCH($F4571,Mapping!$A$17:$A$22,0)),$F4571)&amp;" "&amp;IF($G4571="Banking","Banking",IFERROR(INDEX(Mapping!$E$17:$E$28,MATCH($J4571,Mapping!$D$17:$D$28,0)),"(unmapped)")))))</f>
        <v/>
      </c>
    </row>
    <row r="4572" spans="11:11" x14ac:dyDescent="0.3">
      <c r="K4572" t="str">
        <f>IF($D4572="","",IFERROR(INDEX(Mapping!$H$3:$H$32,MATCH($B4572,Mapping!$G$3:$G$32,0)),IF(LEFT($F4572,3)="P2P",IFERROR(INDEX(Mapping!$E$3:$E$6,MATCH($G4572,Mapping!$D$3:$D$6,0)),IFERROR(INDEX(Mapping!$B$3:$B$13,MATCH($J4572,Mapping!$A$3:$A$13,0)),"(unmapped)")),IFERROR(INDEX(Mapping!$B$17:$B$22,MATCH($F4572,Mapping!$A$17:$A$22,0)),$F4572)&amp;" "&amp;IF($G4572="Banking","Banking",IFERROR(INDEX(Mapping!$E$17:$E$28,MATCH($J4572,Mapping!$D$17:$D$28,0)),"(unmapped)")))))</f>
        <v/>
      </c>
    </row>
    <row r="4573" spans="11:11" x14ac:dyDescent="0.3">
      <c r="K4573" t="str">
        <f>IF($D4573="","",IFERROR(INDEX(Mapping!$H$3:$H$32,MATCH($B4573,Mapping!$G$3:$G$32,0)),IF(LEFT($F4573,3)="P2P",IFERROR(INDEX(Mapping!$E$3:$E$6,MATCH($G4573,Mapping!$D$3:$D$6,0)),IFERROR(INDEX(Mapping!$B$3:$B$13,MATCH($J4573,Mapping!$A$3:$A$13,0)),"(unmapped)")),IFERROR(INDEX(Mapping!$B$17:$B$22,MATCH($F4573,Mapping!$A$17:$A$22,0)),$F4573)&amp;" "&amp;IF($G4573="Banking","Banking",IFERROR(INDEX(Mapping!$E$17:$E$28,MATCH($J4573,Mapping!$D$17:$D$28,0)),"(unmapped)")))))</f>
        <v/>
      </c>
    </row>
    <row r="4574" spans="11:11" x14ac:dyDescent="0.3">
      <c r="K4574" t="str">
        <f>IF($D4574="","",IFERROR(INDEX(Mapping!$H$3:$H$32,MATCH($B4574,Mapping!$G$3:$G$32,0)),IF(LEFT($F4574,3)="P2P",IFERROR(INDEX(Mapping!$E$3:$E$6,MATCH($G4574,Mapping!$D$3:$D$6,0)),IFERROR(INDEX(Mapping!$B$3:$B$13,MATCH($J4574,Mapping!$A$3:$A$13,0)),"(unmapped)")),IFERROR(INDEX(Mapping!$B$17:$B$22,MATCH($F4574,Mapping!$A$17:$A$22,0)),$F4574)&amp;" "&amp;IF($G4574="Banking","Banking",IFERROR(INDEX(Mapping!$E$17:$E$28,MATCH($J4574,Mapping!$D$17:$D$28,0)),"(unmapped)")))))</f>
        <v/>
      </c>
    </row>
    <row r="4575" spans="11:11" x14ac:dyDescent="0.3">
      <c r="K4575" t="str">
        <f>IF($D4575="","",IFERROR(INDEX(Mapping!$H$3:$H$32,MATCH($B4575,Mapping!$G$3:$G$32,0)),IF(LEFT($F4575,3)="P2P",IFERROR(INDEX(Mapping!$E$3:$E$6,MATCH($G4575,Mapping!$D$3:$D$6,0)),IFERROR(INDEX(Mapping!$B$3:$B$13,MATCH($J4575,Mapping!$A$3:$A$13,0)),"(unmapped)")),IFERROR(INDEX(Mapping!$B$17:$B$22,MATCH($F4575,Mapping!$A$17:$A$22,0)),$F4575)&amp;" "&amp;IF($G4575="Banking","Banking",IFERROR(INDEX(Mapping!$E$17:$E$28,MATCH($J4575,Mapping!$D$17:$D$28,0)),"(unmapped)")))))</f>
        <v/>
      </c>
    </row>
    <row r="4576" spans="11:11" x14ac:dyDescent="0.3">
      <c r="K4576" t="str">
        <f>IF($D4576="","",IFERROR(INDEX(Mapping!$H$3:$H$32,MATCH($B4576,Mapping!$G$3:$G$32,0)),IF(LEFT($F4576,3)="P2P",IFERROR(INDEX(Mapping!$E$3:$E$6,MATCH($G4576,Mapping!$D$3:$D$6,0)),IFERROR(INDEX(Mapping!$B$3:$B$13,MATCH($J4576,Mapping!$A$3:$A$13,0)),"(unmapped)")),IFERROR(INDEX(Mapping!$B$17:$B$22,MATCH($F4576,Mapping!$A$17:$A$22,0)),$F4576)&amp;" "&amp;IF($G4576="Banking","Banking",IFERROR(INDEX(Mapping!$E$17:$E$28,MATCH($J4576,Mapping!$D$17:$D$28,0)),"(unmapped)")))))</f>
        <v/>
      </c>
    </row>
    <row r="4577" spans="11:11" x14ac:dyDescent="0.3">
      <c r="K4577" t="str">
        <f>IF($D4577="","",IFERROR(INDEX(Mapping!$H$3:$H$32,MATCH($B4577,Mapping!$G$3:$G$32,0)),IF(LEFT($F4577,3)="P2P",IFERROR(INDEX(Mapping!$E$3:$E$6,MATCH($G4577,Mapping!$D$3:$D$6,0)),IFERROR(INDEX(Mapping!$B$3:$B$13,MATCH($J4577,Mapping!$A$3:$A$13,0)),"(unmapped)")),IFERROR(INDEX(Mapping!$B$17:$B$22,MATCH($F4577,Mapping!$A$17:$A$22,0)),$F4577)&amp;" "&amp;IF($G4577="Banking","Banking",IFERROR(INDEX(Mapping!$E$17:$E$28,MATCH($J4577,Mapping!$D$17:$D$28,0)),"(unmapped)")))))</f>
        <v/>
      </c>
    </row>
    <row r="4578" spans="11:11" x14ac:dyDescent="0.3">
      <c r="K4578" t="str">
        <f>IF($D4578="","",IFERROR(INDEX(Mapping!$H$3:$H$32,MATCH($B4578,Mapping!$G$3:$G$32,0)),IF(LEFT($F4578,3)="P2P",IFERROR(INDEX(Mapping!$E$3:$E$6,MATCH($G4578,Mapping!$D$3:$D$6,0)),IFERROR(INDEX(Mapping!$B$3:$B$13,MATCH($J4578,Mapping!$A$3:$A$13,0)),"(unmapped)")),IFERROR(INDEX(Mapping!$B$17:$B$22,MATCH($F4578,Mapping!$A$17:$A$22,0)),$F4578)&amp;" "&amp;IF($G4578="Banking","Banking",IFERROR(INDEX(Mapping!$E$17:$E$28,MATCH($J4578,Mapping!$D$17:$D$28,0)),"(unmapped)")))))</f>
        <v/>
      </c>
    </row>
    <row r="4579" spans="11:11" x14ac:dyDescent="0.3">
      <c r="K4579" t="str">
        <f>IF($D4579="","",IFERROR(INDEX(Mapping!$H$3:$H$32,MATCH($B4579,Mapping!$G$3:$G$32,0)),IF(LEFT($F4579,3)="P2P",IFERROR(INDEX(Mapping!$E$3:$E$6,MATCH($G4579,Mapping!$D$3:$D$6,0)),IFERROR(INDEX(Mapping!$B$3:$B$13,MATCH($J4579,Mapping!$A$3:$A$13,0)),"(unmapped)")),IFERROR(INDEX(Mapping!$B$17:$B$22,MATCH($F4579,Mapping!$A$17:$A$22,0)),$F4579)&amp;" "&amp;IF($G4579="Banking","Banking",IFERROR(INDEX(Mapping!$E$17:$E$28,MATCH($J4579,Mapping!$D$17:$D$28,0)),"(unmapped)")))))</f>
        <v/>
      </c>
    </row>
    <row r="4580" spans="11:11" x14ac:dyDescent="0.3">
      <c r="K4580" t="str">
        <f>IF($D4580="","",IFERROR(INDEX(Mapping!$H$3:$H$32,MATCH($B4580,Mapping!$G$3:$G$32,0)),IF(LEFT($F4580,3)="P2P",IFERROR(INDEX(Mapping!$E$3:$E$6,MATCH($G4580,Mapping!$D$3:$D$6,0)),IFERROR(INDEX(Mapping!$B$3:$B$13,MATCH($J4580,Mapping!$A$3:$A$13,0)),"(unmapped)")),IFERROR(INDEX(Mapping!$B$17:$B$22,MATCH($F4580,Mapping!$A$17:$A$22,0)),$F4580)&amp;" "&amp;IF($G4580="Banking","Banking",IFERROR(INDEX(Mapping!$E$17:$E$28,MATCH($J4580,Mapping!$D$17:$D$28,0)),"(unmapped)")))))</f>
        <v/>
      </c>
    </row>
    <row r="4581" spans="11:11" x14ac:dyDescent="0.3">
      <c r="K4581" t="str">
        <f>IF($D4581="","",IFERROR(INDEX(Mapping!$H$3:$H$32,MATCH($B4581,Mapping!$G$3:$G$32,0)),IF(LEFT($F4581,3)="P2P",IFERROR(INDEX(Mapping!$E$3:$E$6,MATCH($G4581,Mapping!$D$3:$D$6,0)),IFERROR(INDEX(Mapping!$B$3:$B$13,MATCH($J4581,Mapping!$A$3:$A$13,0)),"(unmapped)")),IFERROR(INDEX(Mapping!$B$17:$B$22,MATCH($F4581,Mapping!$A$17:$A$22,0)),$F4581)&amp;" "&amp;IF($G4581="Banking","Banking",IFERROR(INDEX(Mapping!$E$17:$E$28,MATCH($J4581,Mapping!$D$17:$D$28,0)),"(unmapped)")))))</f>
        <v/>
      </c>
    </row>
    <row r="4582" spans="11:11" x14ac:dyDescent="0.3">
      <c r="K4582" t="str">
        <f>IF($D4582="","",IFERROR(INDEX(Mapping!$H$3:$H$32,MATCH($B4582,Mapping!$G$3:$G$32,0)),IF(LEFT($F4582,3)="P2P",IFERROR(INDEX(Mapping!$E$3:$E$6,MATCH($G4582,Mapping!$D$3:$D$6,0)),IFERROR(INDEX(Mapping!$B$3:$B$13,MATCH($J4582,Mapping!$A$3:$A$13,0)),"(unmapped)")),IFERROR(INDEX(Mapping!$B$17:$B$22,MATCH($F4582,Mapping!$A$17:$A$22,0)),$F4582)&amp;" "&amp;IF($G4582="Banking","Banking",IFERROR(INDEX(Mapping!$E$17:$E$28,MATCH($J4582,Mapping!$D$17:$D$28,0)),"(unmapped)")))))</f>
        <v/>
      </c>
    </row>
    <row r="4583" spans="11:11" x14ac:dyDescent="0.3">
      <c r="K4583" t="str">
        <f>IF($D4583="","",IFERROR(INDEX(Mapping!$H$3:$H$32,MATCH($B4583,Mapping!$G$3:$G$32,0)),IF(LEFT($F4583,3)="P2P",IFERROR(INDEX(Mapping!$E$3:$E$6,MATCH($G4583,Mapping!$D$3:$D$6,0)),IFERROR(INDEX(Mapping!$B$3:$B$13,MATCH($J4583,Mapping!$A$3:$A$13,0)),"(unmapped)")),IFERROR(INDEX(Mapping!$B$17:$B$22,MATCH($F4583,Mapping!$A$17:$A$22,0)),$F4583)&amp;" "&amp;IF($G4583="Banking","Banking",IFERROR(INDEX(Mapping!$E$17:$E$28,MATCH($J4583,Mapping!$D$17:$D$28,0)),"(unmapped)")))))</f>
        <v/>
      </c>
    </row>
    <row r="4584" spans="11:11" x14ac:dyDescent="0.3">
      <c r="K4584" t="str">
        <f>IF($D4584="","",IFERROR(INDEX(Mapping!$H$3:$H$32,MATCH($B4584,Mapping!$G$3:$G$32,0)),IF(LEFT($F4584,3)="P2P",IFERROR(INDEX(Mapping!$E$3:$E$6,MATCH($G4584,Mapping!$D$3:$D$6,0)),IFERROR(INDEX(Mapping!$B$3:$B$13,MATCH($J4584,Mapping!$A$3:$A$13,0)),"(unmapped)")),IFERROR(INDEX(Mapping!$B$17:$B$22,MATCH($F4584,Mapping!$A$17:$A$22,0)),$F4584)&amp;" "&amp;IF($G4584="Banking","Banking",IFERROR(INDEX(Mapping!$E$17:$E$28,MATCH($J4584,Mapping!$D$17:$D$28,0)),"(unmapped)")))))</f>
        <v/>
      </c>
    </row>
    <row r="4585" spans="11:11" x14ac:dyDescent="0.3">
      <c r="K4585" t="str">
        <f>IF($D4585="","",IFERROR(INDEX(Mapping!$H$3:$H$32,MATCH($B4585,Mapping!$G$3:$G$32,0)),IF(LEFT($F4585,3)="P2P",IFERROR(INDEX(Mapping!$E$3:$E$6,MATCH($G4585,Mapping!$D$3:$D$6,0)),IFERROR(INDEX(Mapping!$B$3:$B$13,MATCH($J4585,Mapping!$A$3:$A$13,0)),"(unmapped)")),IFERROR(INDEX(Mapping!$B$17:$B$22,MATCH($F4585,Mapping!$A$17:$A$22,0)),$F4585)&amp;" "&amp;IF($G4585="Banking","Banking",IFERROR(INDEX(Mapping!$E$17:$E$28,MATCH($J4585,Mapping!$D$17:$D$28,0)),"(unmapped)")))))</f>
        <v/>
      </c>
    </row>
    <row r="4586" spans="11:11" x14ac:dyDescent="0.3">
      <c r="K4586" t="str">
        <f>IF($D4586="","",IFERROR(INDEX(Mapping!$H$3:$H$32,MATCH($B4586,Mapping!$G$3:$G$32,0)),IF(LEFT($F4586,3)="P2P",IFERROR(INDEX(Mapping!$E$3:$E$6,MATCH($G4586,Mapping!$D$3:$D$6,0)),IFERROR(INDEX(Mapping!$B$3:$B$13,MATCH($J4586,Mapping!$A$3:$A$13,0)),"(unmapped)")),IFERROR(INDEX(Mapping!$B$17:$B$22,MATCH($F4586,Mapping!$A$17:$A$22,0)),$F4586)&amp;" "&amp;IF($G4586="Banking","Banking",IFERROR(INDEX(Mapping!$E$17:$E$28,MATCH($J4586,Mapping!$D$17:$D$28,0)),"(unmapped)")))))</f>
        <v/>
      </c>
    </row>
    <row r="4587" spans="11:11" x14ac:dyDescent="0.3">
      <c r="K4587" t="str">
        <f>IF($D4587="","",IFERROR(INDEX(Mapping!$H$3:$H$32,MATCH($B4587,Mapping!$G$3:$G$32,0)),IF(LEFT($F4587,3)="P2P",IFERROR(INDEX(Mapping!$E$3:$E$6,MATCH($G4587,Mapping!$D$3:$D$6,0)),IFERROR(INDEX(Mapping!$B$3:$B$13,MATCH($J4587,Mapping!$A$3:$A$13,0)),"(unmapped)")),IFERROR(INDEX(Mapping!$B$17:$B$22,MATCH($F4587,Mapping!$A$17:$A$22,0)),$F4587)&amp;" "&amp;IF($G4587="Banking","Banking",IFERROR(INDEX(Mapping!$E$17:$E$28,MATCH($J4587,Mapping!$D$17:$D$28,0)),"(unmapped)")))))</f>
        <v/>
      </c>
    </row>
    <row r="4588" spans="11:11" x14ac:dyDescent="0.3">
      <c r="K4588" t="str">
        <f>IF($D4588="","",IFERROR(INDEX(Mapping!$H$3:$H$32,MATCH($B4588,Mapping!$G$3:$G$32,0)),IF(LEFT($F4588,3)="P2P",IFERROR(INDEX(Mapping!$E$3:$E$6,MATCH($G4588,Mapping!$D$3:$D$6,0)),IFERROR(INDEX(Mapping!$B$3:$B$13,MATCH($J4588,Mapping!$A$3:$A$13,0)),"(unmapped)")),IFERROR(INDEX(Mapping!$B$17:$B$22,MATCH($F4588,Mapping!$A$17:$A$22,0)),$F4588)&amp;" "&amp;IF($G4588="Banking","Banking",IFERROR(INDEX(Mapping!$E$17:$E$28,MATCH($J4588,Mapping!$D$17:$D$28,0)),"(unmapped)")))))</f>
        <v/>
      </c>
    </row>
    <row r="4589" spans="11:11" x14ac:dyDescent="0.3">
      <c r="K4589" t="str">
        <f>IF($D4589="","",IFERROR(INDEX(Mapping!$H$3:$H$32,MATCH($B4589,Mapping!$G$3:$G$32,0)),IF(LEFT($F4589,3)="P2P",IFERROR(INDEX(Mapping!$E$3:$E$6,MATCH($G4589,Mapping!$D$3:$D$6,0)),IFERROR(INDEX(Mapping!$B$3:$B$13,MATCH($J4589,Mapping!$A$3:$A$13,0)),"(unmapped)")),IFERROR(INDEX(Mapping!$B$17:$B$22,MATCH($F4589,Mapping!$A$17:$A$22,0)),$F4589)&amp;" "&amp;IF($G4589="Banking","Banking",IFERROR(INDEX(Mapping!$E$17:$E$28,MATCH($J4589,Mapping!$D$17:$D$28,0)),"(unmapped)")))))</f>
        <v/>
      </c>
    </row>
    <row r="4590" spans="11:11" x14ac:dyDescent="0.3">
      <c r="K4590" t="str">
        <f>IF($D4590="","",IFERROR(INDEX(Mapping!$H$3:$H$32,MATCH($B4590,Mapping!$G$3:$G$32,0)),IF(LEFT($F4590,3)="P2P",IFERROR(INDEX(Mapping!$E$3:$E$6,MATCH($G4590,Mapping!$D$3:$D$6,0)),IFERROR(INDEX(Mapping!$B$3:$B$13,MATCH($J4590,Mapping!$A$3:$A$13,0)),"(unmapped)")),IFERROR(INDEX(Mapping!$B$17:$B$22,MATCH($F4590,Mapping!$A$17:$A$22,0)),$F4590)&amp;" "&amp;IF($G4590="Banking","Banking",IFERROR(INDEX(Mapping!$E$17:$E$28,MATCH($J4590,Mapping!$D$17:$D$28,0)),"(unmapped)")))))</f>
        <v/>
      </c>
    </row>
    <row r="4591" spans="11:11" x14ac:dyDescent="0.3">
      <c r="K4591" t="str">
        <f>IF($D4591="","",IFERROR(INDEX(Mapping!$H$3:$H$32,MATCH($B4591,Mapping!$G$3:$G$32,0)),IF(LEFT($F4591,3)="P2P",IFERROR(INDEX(Mapping!$E$3:$E$6,MATCH($G4591,Mapping!$D$3:$D$6,0)),IFERROR(INDEX(Mapping!$B$3:$B$13,MATCH($J4591,Mapping!$A$3:$A$13,0)),"(unmapped)")),IFERROR(INDEX(Mapping!$B$17:$B$22,MATCH($F4591,Mapping!$A$17:$A$22,0)),$F4591)&amp;" "&amp;IF($G4591="Banking","Banking",IFERROR(INDEX(Mapping!$E$17:$E$28,MATCH($J4591,Mapping!$D$17:$D$28,0)),"(unmapped)")))))</f>
        <v/>
      </c>
    </row>
    <row r="4592" spans="11:11" x14ac:dyDescent="0.3">
      <c r="K4592" t="str">
        <f>IF($D4592="","",IFERROR(INDEX(Mapping!$H$3:$H$32,MATCH($B4592,Mapping!$G$3:$G$32,0)),IF(LEFT($F4592,3)="P2P",IFERROR(INDEX(Mapping!$E$3:$E$6,MATCH($G4592,Mapping!$D$3:$D$6,0)),IFERROR(INDEX(Mapping!$B$3:$B$13,MATCH($J4592,Mapping!$A$3:$A$13,0)),"(unmapped)")),IFERROR(INDEX(Mapping!$B$17:$B$22,MATCH($F4592,Mapping!$A$17:$A$22,0)),$F4592)&amp;" "&amp;IF($G4592="Banking","Banking",IFERROR(INDEX(Mapping!$E$17:$E$28,MATCH($J4592,Mapping!$D$17:$D$28,0)),"(unmapped)")))))</f>
        <v/>
      </c>
    </row>
    <row r="4593" spans="11:11" x14ac:dyDescent="0.3">
      <c r="K4593" t="str">
        <f>IF($D4593="","",IFERROR(INDEX(Mapping!$H$3:$H$32,MATCH($B4593,Mapping!$G$3:$G$32,0)),IF(LEFT($F4593,3)="P2P",IFERROR(INDEX(Mapping!$E$3:$E$6,MATCH($G4593,Mapping!$D$3:$D$6,0)),IFERROR(INDEX(Mapping!$B$3:$B$13,MATCH($J4593,Mapping!$A$3:$A$13,0)),"(unmapped)")),IFERROR(INDEX(Mapping!$B$17:$B$22,MATCH($F4593,Mapping!$A$17:$A$22,0)),$F4593)&amp;" "&amp;IF($G4593="Banking","Banking",IFERROR(INDEX(Mapping!$E$17:$E$28,MATCH($J4593,Mapping!$D$17:$D$28,0)),"(unmapped)")))))</f>
        <v/>
      </c>
    </row>
    <row r="4594" spans="11:11" x14ac:dyDescent="0.3">
      <c r="K4594" t="str">
        <f>IF($D4594="","",IFERROR(INDEX(Mapping!$H$3:$H$32,MATCH($B4594,Mapping!$G$3:$G$32,0)),IF(LEFT($F4594,3)="P2P",IFERROR(INDEX(Mapping!$E$3:$E$6,MATCH($G4594,Mapping!$D$3:$D$6,0)),IFERROR(INDEX(Mapping!$B$3:$B$13,MATCH($J4594,Mapping!$A$3:$A$13,0)),"(unmapped)")),IFERROR(INDEX(Mapping!$B$17:$B$22,MATCH($F4594,Mapping!$A$17:$A$22,0)),$F4594)&amp;" "&amp;IF($G4594="Banking","Banking",IFERROR(INDEX(Mapping!$E$17:$E$28,MATCH($J4594,Mapping!$D$17:$D$28,0)),"(unmapped)")))))</f>
        <v/>
      </c>
    </row>
    <row r="4595" spans="11:11" x14ac:dyDescent="0.3">
      <c r="K4595" t="str">
        <f>IF($D4595="","",IFERROR(INDEX(Mapping!$H$3:$H$32,MATCH($B4595,Mapping!$G$3:$G$32,0)),IF(LEFT($F4595,3)="P2P",IFERROR(INDEX(Mapping!$E$3:$E$6,MATCH($G4595,Mapping!$D$3:$D$6,0)),IFERROR(INDEX(Mapping!$B$3:$B$13,MATCH($J4595,Mapping!$A$3:$A$13,0)),"(unmapped)")),IFERROR(INDEX(Mapping!$B$17:$B$22,MATCH($F4595,Mapping!$A$17:$A$22,0)),$F4595)&amp;" "&amp;IF($G4595="Banking","Banking",IFERROR(INDEX(Mapping!$E$17:$E$28,MATCH($J4595,Mapping!$D$17:$D$28,0)),"(unmapped)")))))</f>
        <v/>
      </c>
    </row>
    <row r="4596" spans="11:11" x14ac:dyDescent="0.3">
      <c r="K4596" t="str">
        <f>IF($D4596="","",IFERROR(INDEX(Mapping!$H$3:$H$32,MATCH($B4596,Mapping!$G$3:$G$32,0)),IF(LEFT($F4596,3)="P2P",IFERROR(INDEX(Mapping!$E$3:$E$6,MATCH($G4596,Mapping!$D$3:$D$6,0)),IFERROR(INDEX(Mapping!$B$3:$B$13,MATCH($J4596,Mapping!$A$3:$A$13,0)),"(unmapped)")),IFERROR(INDEX(Mapping!$B$17:$B$22,MATCH($F4596,Mapping!$A$17:$A$22,0)),$F4596)&amp;" "&amp;IF($G4596="Banking","Banking",IFERROR(INDEX(Mapping!$E$17:$E$28,MATCH($J4596,Mapping!$D$17:$D$28,0)),"(unmapped)")))))</f>
        <v/>
      </c>
    </row>
    <row r="4597" spans="11:11" x14ac:dyDescent="0.3">
      <c r="K4597" t="str">
        <f>IF($D4597="","",IFERROR(INDEX(Mapping!$H$3:$H$32,MATCH($B4597,Mapping!$G$3:$G$32,0)),IF(LEFT($F4597,3)="P2P",IFERROR(INDEX(Mapping!$E$3:$E$6,MATCH($G4597,Mapping!$D$3:$D$6,0)),IFERROR(INDEX(Mapping!$B$3:$B$13,MATCH($J4597,Mapping!$A$3:$A$13,0)),"(unmapped)")),IFERROR(INDEX(Mapping!$B$17:$B$22,MATCH($F4597,Mapping!$A$17:$A$22,0)),$F4597)&amp;" "&amp;IF($G4597="Banking","Banking",IFERROR(INDEX(Mapping!$E$17:$E$28,MATCH($J4597,Mapping!$D$17:$D$28,0)),"(unmapped)")))))</f>
        <v/>
      </c>
    </row>
    <row r="4598" spans="11:11" x14ac:dyDescent="0.3">
      <c r="K4598" t="str">
        <f>IF($D4598="","",IFERROR(INDEX(Mapping!$H$3:$H$32,MATCH($B4598,Mapping!$G$3:$G$32,0)),IF(LEFT($F4598,3)="P2P",IFERROR(INDEX(Mapping!$E$3:$E$6,MATCH($G4598,Mapping!$D$3:$D$6,0)),IFERROR(INDEX(Mapping!$B$3:$B$13,MATCH($J4598,Mapping!$A$3:$A$13,0)),"(unmapped)")),IFERROR(INDEX(Mapping!$B$17:$B$22,MATCH($F4598,Mapping!$A$17:$A$22,0)),$F4598)&amp;" "&amp;IF($G4598="Banking","Banking",IFERROR(INDEX(Mapping!$E$17:$E$28,MATCH($J4598,Mapping!$D$17:$D$28,0)),"(unmapped)")))))</f>
        <v/>
      </c>
    </row>
    <row r="4599" spans="11:11" x14ac:dyDescent="0.3">
      <c r="K4599" t="str">
        <f>IF($D4599="","",IFERROR(INDEX(Mapping!$H$3:$H$32,MATCH($B4599,Mapping!$G$3:$G$32,0)),IF(LEFT($F4599,3)="P2P",IFERROR(INDEX(Mapping!$E$3:$E$6,MATCH($G4599,Mapping!$D$3:$D$6,0)),IFERROR(INDEX(Mapping!$B$3:$B$13,MATCH($J4599,Mapping!$A$3:$A$13,0)),"(unmapped)")),IFERROR(INDEX(Mapping!$B$17:$B$22,MATCH($F4599,Mapping!$A$17:$A$22,0)),$F4599)&amp;" "&amp;IF($G4599="Banking","Banking",IFERROR(INDEX(Mapping!$E$17:$E$28,MATCH($J4599,Mapping!$D$17:$D$28,0)),"(unmapped)")))))</f>
        <v/>
      </c>
    </row>
    <row r="4600" spans="11:11" x14ac:dyDescent="0.3">
      <c r="K4600" t="str">
        <f>IF($D4600="","",IFERROR(INDEX(Mapping!$H$3:$H$32,MATCH($B4600,Mapping!$G$3:$G$32,0)),IF(LEFT($F4600,3)="P2P",IFERROR(INDEX(Mapping!$E$3:$E$6,MATCH($G4600,Mapping!$D$3:$D$6,0)),IFERROR(INDEX(Mapping!$B$3:$B$13,MATCH($J4600,Mapping!$A$3:$A$13,0)),"(unmapped)")),IFERROR(INDEX(Mapping!$B$17:$B$22,MATCH($F4600,Mapping!$A$17:$A$22,0)),$F4600)&amp;" "&amp;IF($G4600="Banking","Banking",IFERROR(INDEX(Mapping!$E$17:$E$28,MATCH($J4600,Mapping!$D$17:$D$28,0)),"(unmapped)")))))</f>
        <v/>
      </c>
    </row>
    <row r="4601" spans="11:11" x14ac:dyDescent="0.3">
      <c r="K4601" t="str">
        <f>IF($D4601="","",IFERROR(INDEX(Mapping!$H$3:$H$32,MATCH($B4601,Mapping!$G$3:$G$32,0)),IF(LEFT($F4601,3)="P2P",IFERROR(INDEX(Mapping!$E$3:$E$6,MATCH($G4601,Mapping!$D$3:$D$6,0)),IFERROR(INDEX(Mapping!$B$3:$B$13,MATCH($J4601,Mapping!$A$3:$A$13,0)),"(unmapped)")),IFERROR(INDEX(Mapping!$B$17:$B$22,MATCH($F4601,Mapping!$A$17:$A$22,0)),$F4601)&amp;" "&amp;IF($G4601="Banking","Banking",IFERROR(INDEX(Mapping!$E$17:$E$28,MATCH($J4601,Mapping!$D$17:$D$28,0)),"(unmapped)")))))</f>
        <v/>
      </c>
    </row>
    <row r="4602" spans="11:11" x14ac:dyDescent="0.3">
      <c r="K4602" t="str">
        <f>IF($D4602="","",IFERROR(INDEX(Mapping!$H$3:$H$32,MATCH($B4602,Mapping!$G$3:$G$32,0)),IF(LEFT($F4602,3)="P2P",IFERROR(INDEX(Mapping!$E$3:$E$6,MATCH($G4602,Mapping!$D$3:$D$6,0)),IFERROR(INDEX(Mapping!$B$3:$B$13,MATCH($J4602,Mapping!$A$3:$A$13,0)),"(unmapped)")),IFERROR(INDEX(Mapping!$B$17:$B$22,MATCH($F4602,Mapping!$A$17:$A$22,0)),$F4602)&amp;" "&amp;IF($G4602="Banking","Banking",IFERROR(INDEX(Mapping!$E$17:$E$28,MATCH($J4602,Mapping!$D$17:$D$28,0)),"(unmapped)")))))</f>
        <v/>
      </c>
    </row>
    <row r="4603" spans="11:11" x14ac:dyDescent="0.3">
      <c r="K4603" t="str">
        <f>IF($D4603="","",IFERROR(INDEX(Mapping!$H$3:$H$32,MATCH($B4603,Mapping!$G$3:$G$32,0)),IF(LEFT($F4603,3)="P2P",IFERROR(INDEX(Mapping!$E$3:$E$6,MATCH($G4603,Mapping!$D$3:$D$6,0)),IFERROR(INDEX(Mapping!$B$3:$B$13,MATCH($J4603,Mapping!$A$3:$A$13,0)),"(unmapped)")),IFERROR(INDEX(Mapping!$B$17:$B$22,MATCH($F4603,Mapping!$A$17:$A$22,0)),$F4603)&amp;" "&amp;IF($G4603="Banking","Banking",IFERROR(INDEX(Mapping!$E$17:$E$28,MATCH($J4603,Mapping!$D$17:$D$28,0)),"(unmapped)")))))</f>
        <v/>
      </c>
    </row>
    <row r="4604" spans="11:11" x14ac:dyDescent="0.3">
      <c r="K4604" t="str">
        <f>IF($D4604="","",IFERROR(INDEX(Mapping!$H$3:$H$32,MATCH($B4604,Mapping!$G$3:$G$32,0)),IF(LEFT($F4604,3)="P2P",IFERROR(INDEX(Mapping!$E$3:$E$6,MATCH($G4604,Mapping!$D$3:$D$6,0)),IFERROR(INDEX(Mapping!$B$3:$B$13,MATCH($J4604,Mapping!$A$3:$A$13,0)),"(unmapped)")),IFERROR(INDEX(Mapping!$B$17:$B$22,MATCH($F4604,Mapping!$A$17:$A$22,0)),$F4604)&amp;" "&amp;IF($G4604="Banking","Banking",IFERROR(INDEX(Mapping!$E$17:$E$28,MATCH($J4604,Mapping!$D$17:$D$28,0)),"(unmapped)")))))</f>
        <v/>
      </c>
    </row>
    <row r="4605" spans="11:11" x14ac:dyDescent="0.3">
      <c r="K4605" t="str">
        <f>IF($D4605="","",IFERROR(INDEX(Mapping!$H$3:$H$32,MATCH($B4605,Mapping!$G$3:$G$32,0)),IF(LEFT($F4605,3)="P2P",IFERROR(INDEX(Mapping!$E$3:$E$6,MATCH($G4605,Mapping!$D$3:$D$6,0)),IFERROR(INDEX(Mapping!$B$3:$B$13,MATCH($J4605,Mapping!$A$3:$A$13,0)),"(unmapped)")),IFERROR(INDEX(Mapping!$B$17:$B$22,MATCH($F4605,Mapping!$A$17:$A$22,0)),$F4605)&amp;" "&amp;IF($G4605="Banking","Banking",IFERROR(INDEX(Mapping!$E$17:$E$28,MATCH($J4605,Mapping!$D$17:$D$28,0)),"(unmapped)")))))</f>
        <v/>
      </c>
    </row>
    <row r="4606" spans="11:11" x14ac:dyDescent="0.3">
      <c r="K4606" t="str">
        <f>IF($D4606="","",IFERROR(INDEX(Mapping!$H$3:$H$32,MATCH($B4606,Mapping!$G$3:$G$32,0)),IF(LEFT($F4606,3)="P2P",IFERROR(INDEX(Mapping!$E$3:$E$6,MATCH($G4606,Mapping!$D$3:$D$6,0)),IFERROR(INDEX(Mapping!$B$3:$B$13,MATCH($J4606,Mapping!$A$3:$A$13,0)),"(unmapped)")),IFERROR(INDEX(Mapping!$B$17:$B$22,MATCH($F4606,Mapping!$A$17:$A$22,0)),$F4606)&amp;" "&amp;IF($G4606="Banking","Banking",IFERROR(INDEX(Mapping!$E$17:$E$28,MATCH($J4606,Mapping!$D$17:$D$28,0)),"(unmapped)")))))</f>
        <v/>
      </c>
    </row>
    <row r="4607" spans="11:11" x14ac:dyDescent="0.3">
      <c r="K4607" t="str">
        <f>IF($D4607="","",IFERROR(INDEX(Mapping!$H$3:$H$32,MATCH($B4607,Mapping!$G$3:$G$32,0)),IF(LEFT($F4607,3)="P2P",IFERROR(INDEX(Mapping!$E$3:$E$6,MATCH($G4607,Mapping!$D$3:$D$6,0)),IFERROR(INDEX(Mapping!$B$3:$B$13,MATCH($J4607,Mapping!$A$3:$A$13,0)),"(unmapped)")),IFERROR(INDEX(Mapping!$B$17:$B$22,MATCH($F4607,Mapping!$A$17:$A$22,0)),$F4607)&amp;" "&amp;IF($G4607="Banking","Banking",IFERROR(INDEX(Mapping!$E$17:$E$28,MATCH($J4607,Mapping!$D$17:$D$28,0)),"(unmapped)")))))</f>
        <v/>
      </c>
    </row>
    <row r="4608" spans="11:11" x14ac:dyDescent="0.3">
      <c r="K4608" t="str">
        <f>IF($D4608="","",IFERROR(INDEX(Mapping!$H$3:$H$32,MATCH($B4608,Mapping!$G$3:$G$32,0)),IF(LEFT($F4608,3)="P2P",IFERROR(INDEX(Mapping!$E$3:$E$6,MATCH($G4608,Mapping!$D$3:$D$6,0)),IFERROR(INDEX(Mapping!$B$3:$B$13,MATCH($J4608,Mapping!$A$3:$A$13,0)),"(unmapped)")),IFERROR(INDEX(Mapping!$B$17:$B$22,MATCH($F4608,Mapping!$A$17:$A$22,0)),$F4608)&amp;" "&amp;IF($G4608="Banking","Banking",IFERROR(INDEX(Mapping!$E$17:$E$28,MATCH($J4608,Mapping!$D$17:$D$28,0)),"(unmapped)")))))</f>
        <v/>
      </c>
    </row>
    <row r="4609" spans="11:11" x14ac:dyDescent="0.3">
      <c r="K4609" t="str">
        <f>IF($D4609="","",IFERROR(INDEX(Mapping!$H$3:$H$32,MATCH($B4609,Mapping!$G$3:$G$32,0)),IF(LEFT($F4609,3)="P2P",IFERROR(INDEX(Mapping!$E$3:$E$6,MATCH($G4609,Mapping!$D$3:$D$6,0)),IFERROR(INDEX(Mapping!$B$3:$B$13,MATCH($J4609,Mapping!$A$3:$A$13,0)),"(unmapped)")),IFERROR(INDEX(Mapping!$B$17:$B$22,MATCH($F4609,Mapping!$A$17:$A$22,0)),$F4609)&amp;" "&amp;IF($G4609="Banking","Banking",IFERROR(INDEX(Mapping!$E$17:$E$28,MATCH($J4609,Mapping!$D$17:$D$28,0)),"(unmapped)")))))</f>
        <v/>
      </c>
    </row>
    <row r="4610" spans="11:11" x14ac:dyDescent="0.3">
      <c r="K4610" t="str">
        <f>IF($D4610="","",IFERROR(INDEX(Mapping!$H$3:$H$32,MATCH($B4610,Mapping!$G$3:$G$32,0)),IF(LEFT($F4610,3)="P2P",IFERROR(INDEX(Mapping!$E$3:$E$6,MATCH($G4610,Mapping!$D$3:$D$6,0)),IFERROR(INDEX(Mapping!$B$3:$B$13,MATCH($J4610,Mapping!$A$3:$A$13,0)),"(unmapped)")),IFERROR(INDEX(Mapping!$B$17:$B$22,MATCH($F4610,Mapping!$A$17:$A$22,0)),$F4610)&amp;" "&amp;IF($G4610="Banking","Banking",IFERROR(INDEX(Mapping!$E$17:$E$28,MATCH($J4610,Mapping!$D$17:$D$28,0)),"(unmapped)")))))</f>
        <v/>
      </c>
    </row>
    <row r="4611" spans="11:11" x14ac:dyDescent="0.3">
      <c r="K4611" t="str">
        <f>IF($D4611="","",IFERROR(INDEX(Mapping!$H$3:$H$32,MATCH($B4611,Mapping!$G$3:$G$32,0)),IF(LEFT($F4611,3)="P2P",IFERROR(INDEX(Mapping!$E$3:$E$6,MATCH($G4611,Mapping!$D$3:$D$6,0)),IFERROR(INDEX(Mapping!$B$3:$B$13,MATCH($J4611,Mapping!$A$3:$A$13,0)),"(unmapped)")),IFERROR(INDEX(Mapping!$B$17:$B$22,MATCH($F4611,Mapping!$A$17:$A$22,0)),$F4611)&amp;" "&amp;IF($G4611="Banking","Banking",IFERROR(INDEX(Mapping!$E$17:$E$28,MATCH($J4611,Mapping!$D$17:$D$28,0)),"(unmapped)")))))</f>
        <v/>
      </c>
    </row>
    <row r="4612" spans="11:11" x14ac:dyDescent="0.3">
      <c r="K4612" t="str">
        <f>IF($D4612="","",IFERROR(INDEX(Mapping!$H$3:$H$32,MATCH($B4612,Mapping!$G$3:$G$32,0)),IF(LEFT($F4612,3)="P2P",IFERROR(INDEX(Mapping!$E$3:$E$6,MATCH($G4612,Mapping!$D$3:$D$6,0)),IFERROR(INDEX(Mapping!$B$3:$B$13,MATCH($J4612,Mapping!$A$3:$A$13,0)),"(unmapped)")),IFERROR(INDEX(Mapping!$B$17:$B$22,MATCH($F4612,Mapping!$A$17:$A$22,0)),$F4612)&amp;" "&amp;IF($G4612="Banking","Banking",IFERROR(INDEX(Mapping!$E$17:$E$28,MATCH($J4612,Mapping!$D$17:$D$28,0)),"(unmapped)")))))</f>
        <v/>
      </c>
    </row>
    <row r="4613" spans="11:11" x14ac:dyDescent="0.3">
      <c r="K4613" t="str">
        <f>IF($D4613="","",IFERROR(INDEX(Mapping!$H$3:$H$32,MATCH($B4613,Mapping!$G$3:$G$32,0)),IF(LEFT($F4613,3)="P2P",IFERROR(INDEX(Mapping!$E$3:$E$6,MATCH($G4613,Mapping!$D$3:$D$6,0)),IFERROR(INDEX(Mapping!$B$3:$B$13,MATCH($J4613,Mapping!$A$3:$A$13,0)),"(unmapped)")),IFERROR(INDEX(Mapping!$B$17:$B$22,MATCH($F4613,Mapping!$A$17:$A$22,0)),$F4613)&amp;" "&amp;IF($G4613="Banking","Banking",IFERROR(INDEX(Mapping!$E$17:$E$28,MATCH($J4613,Mapping!$D$17:$D$28,0)),"(unmapped)")))))</f>
        <v/>
      </c>
    </row>
    <row r="4614" spans="11:11" x14ac:dyDescent="0.3">
      <c r="K4614" t="str">
        <f>IF($D4614="","",IFERROR(INDEX(Mapping!$H$3:$H$32,MATCH($B4614,Mapping!$G$3:$G$32,0)),IF(LEFT($F4614,3)="P2P",IFERROR(INDEX(Mapping!$E$3:$E$6,MATCH($G4614,Mapping!$D$3:$D$6,0)),IFERROR(INDEX(Mapping!$B$3:$B$13,MATCH($J4614,Mapping!$A$3:$A$13,0)),"(unmapped)")),IFERROR(INDEX(Mapping!$B$17:$B$22,MATCH($F4614,Mapping!$A$17:$A$22,0)),$F4614)&amp;" "&amp;IF($G4614="Banking","Banking",IFERROR(INDEX(Mapping!$E$17:$E$28,MATCH($J4614,Mapping!$D$17:$D$28,0)),"(unmapped)")))))</f>
        <v/>
      </c>
    </row>
    <row r="4615" spans="11:11" x14ac:dyDescent="0.3">
      <c r="K4615" t="str">
        <f>IF($D4615="","",IFERROR(INDEX(Mapping!$H$3:$H$32,MATCH($B4615,Mapping!$G$3:$G$32,0)),IF(LEFT($F4615,3)="P2P",IFERROR(INDEX(Mapping!$E$3:$E$6,MATCH($G4615,Mapping!$D$3:$D$6,0)),IFERROR(INDEX(Mapping!$B$3:$B$13,MATCH($J4615,Mapping!$A$3:$A$13,0)),"(unmapped)")),IFERROR(INDEX(Mapping!$B$17:$B$22,MATCH($F4615,Mapping!$A$17:$A$22,0)),$F4615)&amp;" "&amp;IF($G4615="Banking","Banking",IFERROR(INDEX(Mapping!$E$17:$E$28,MATCH($J4615,Mapping!$D$17:$D$28,0)),"(unmapped)")))))</f>
        <v/>
      </c>
    </row>
    <row r="4616" spans="11:11" x14ac:dyDescent="0.3">
      <c r="K4616" t="str">
        <f>IF($D4616="","",IFERROR(INDEX(Mapping!$H$3:$H$32,MATCH($B4616,Mapping!$G$3:$G$32,0)),IF(LEFT($F4616,3)="P2P",IFERROR(INDEX(Mapping!$E$3:$E$6,MATCH($G4616,Mapping!$D$3:$D$6,0)),IFERROR(INDEX(Mapping!$B$3:$B$13,MATCH($J4616,Mapping!$A$3:$A$13,0)),"(unmapped)")),IFERROR(INDEX(Mapping!$B$17:$B$22,MATCH($F4616,Mapping!$A$17:$A$22,0)),$F4616)&amp;" "&amp;IF($G4616="Banking","Banking",IFERROR(INDEX(Mapping!$E$17:$E$28,MATCH($J4616,Mapping!$D$17:$D$28,0)),"(unmapped)")))))</f>
        <v/>
      </c>
    </row>
    <row r="4617" spans="11:11" x14ac:dyDescent="0.3">
      <c r="K4617" t="str">
        <f>IF($D4617="","",IFERROR(INDEX(Mapping!$H$3:$H$32,MATCH($B4617,Mapping!$G$3:$G$32,0)),IF(LEFT($F4617,3)="P2P",IFERROR(INDEX(Mapping!$E$3:$E$6,MATCH($G4617,Mapping!$D$3:$D$6,0)),IFERROR(INDEX(Mapping!$B$3:$B$13,MATCH($J4617,Mapping!$A$3:$A$13,0)),"(unmapped)")),IFERROR(INDEX(Mapping!$B$17:$B$22,MATCH($F4617,Mapping!$A$17:$A$22,0)),$F4617)&amp;" "&amp;IF($G4617="Banking","Banking",IFERROR(INDEX(Mapping!$E$17:$E$28,MATCH($J4617,Mapping!$D$17:$D$28,0)),"(unmapped)")))))</f>
        <v/>
      </c>
    </row>
    <row r="4618" spans="11:11" x14ac:dyDescent="0.3">
      <c r="K4618" t="str">
        <f>IF($D4618="","",IFERROR(INDEX(Mapping!$H$3:$H$32,MATCH($B4618,Mapping!$G$3:$G$32,0)),IF(LEFT($F4618,3)="P2P",IFERROR(INDEX(Mapping!$E$3:$E$6,MATCH($G4618,Mapping!$D$3:$D$6,0)),IFERROR(INDEX(Mapping!$B$3:$B$13,MATCH($J4618,Mapping!$A$3:$A$13,0)),"(unmapped)")),IFERROR(INDEX(Mapping!$B$17:$B$22,MATCH($F4618,Mapping!$A$17:$A$22,0)),$F4618)&amp;" "&amp;IF($G4618="Banking","Banking",IFERROR(INDEX(Mapping!$E$17:$E$28,MATCH($J4618,Mapping!$D$17:$D$28,0)),"(unmapped)")))))</f>
        <v/>
      </c>
    </row>
    <row r="4619" spans="11:11" x14ac:dyDescent="0.3">
      <c r="K4619" t="str">
        <f>IF($D4619="","",IFERROR(INDEX(Mapping!$H$3:$H$32,MATCH($B4619,Mapping!$G$3:$G$32,0)),IF(LEFT($F4619,3)="P2P",IFERROR(INDEX(Mapping!$E$3:$E$6,MATCH($G4619,Mapping!$D$3:$D$6,0)),IFERROR(INDEX(Mapping!$B$3:$B$13,MATCH($J4619,Mapping!$A$3:$A$13,0)),"(unmapped)")),IFERROR(INDEX(Mapping!$B$17:$B$22,MATCH($F4619,Mapping!$A$17:$A$22,0)),$F4619)&amp;" "&amp;IF($G4619="Banking","Banking",IFERROR(INDEX(Mapping!$E$17:$E$28,MATCH($J4619,Mapping!$D$17:$D$28,0)),"(unmapped)")))))</f>
        <v/>
      </c>
    </row>
    <row r="4620" spans="11:11" x14ac:dyDescent="0.3">
      <c r="K4620" t="str">
        <f>IF($D4620="","",IFERROR(INDEX(Mapping!$H$3:$H$32,MATCH($B4620,Mapping!$G$3:$G$32,0)),IF(LEFT($F4620,3)="P2P",IFERROR(INDEX(Mapping!$E$3:$E$6,MATCH($G4620,Mapping!$D$3:$D$6,0)),IFERROR(INDEX(Mapping!$B$3:$B$13,MATCH($J4620,Mapping!$A$3:$A$13,0)),"(unmapped)")),IFERROR(INDEX(Mapping!$B$17:$B$22,MATCH($F4620,Mapping!$A$17:$A$22,0)),$F4620)&amp;" "&amp;IF($G4620="Banking","Banking",IFERROR(INDEX(Mapping!$E$17:$E$28,MATCH($J4620,Mapping!$D$17:$D$28,0)),"(unmapped)")))))</f>
        <v/>
      </c>
    </row>
    <row r="4621" spans="11:11" x14ac:dyDescent="0.3">
      <c r="K4621" t="str">
        <f>IF($D4621="","",IFERROR(INDEX(Mapping!$H$3:$H$32,MATCH($B4621,Mapping!$G$3:$G$32,0)),IF(LEFT($F4621,3)="P2P",IFERROR(INDEX(Mapping!$E$3:$E$6,MATCH($G4621,Mapping!$D$3:$D$6,0)),IFERROR(INDEX(Mapping!$B$3:$B$13,MATCH($J4621,Mapping!$A$3:$A$13,0)),"(unmapped)")),IFERROR(INDEX(Mapping!$B$17:$B$22,MATCH($F4621,Mapping!$A$17:$A$22,0)),$F4621)&amp;" "&amp;IF($G4621="Banking","Banking",IFERROR(INDEX(Mapping!$E$17:$E$28,MATCH($J4621,Mapping!$D$17:$D$28,0)),"(unmapped)")))))</f>
        <v/>
      </c>
    </row>
    <row r="4622" spans="11:11" x14ac:dyDescent="0.3">
      <c r="K4622" t="str">
        <f>IF($D4622="","",IFERROR(INDEX(Mapping!$H$3:$H$32,MATCH($B4622,Mapping!$G$3:$G$32,0)),IF(LEFT($F4622,3)="P2P",IFERROR(INDEX(Mapping!$E$3:$E$6,MATCH($G4622,Mapping!$D$3:$D$6,0)),IFERROR(INDEX(Mapping!$B$3:$B$13,MATCH($J4622,Mapping!$A$3:$A$13,0)),"(unmapped)")),IFERROR(INDEX(Mapping!$B$17:$B$22,MATCH($F4622,Mapping!$A$17:$A$22,0)),$F4622)&amp;" "&amp;IF($G4622="Banking","Banking",IFERROR(INDEX(Mapping!$E$17:$E$28,MATCH($J4622,Mapping!$D$17:$D$28,0)),"(unmapped)")))))</f>
        <v/>
      </c>
    </row>
    <row r="4623" spans="11:11" x14ac:dyDescent="0.3">
      <c r="K4623" t="str">
        <f>IF($D4623="","",IFERROR(INDEX(Mapping!$H$3:$H$32,MATCH($B4623,Mapping!$G$3:$G$32,0)),IF(LEFT($F4623,3)="P2P",IFERROR(INDEX(Mapping!$E$3:$E$6,MATCH($G4623,Mapping!$D$3:$D$6,0)),IFERROR(INDEX(Mapping!$B$3:$B$13,MATCH($J4623,Mapping!$A$3:$A$13,0)),"(unmapped)")),IFERROR(INDEX(Mapping!$B$17:$B$22,MATCH($F4623,Mapping!$A$17:$A$22,0)),$F4623)&amp;" "&amp;IF($G4623="Banking","Banking",IFERROR(INDEX(Mapping!$E$17:$E$28,MATCH($J4623,Mapping!$D$17:$D$28,0)),"(unmapped)")))))</f>
        <v/>
      </c>
    </row>
    <row r="4624" spans="11:11" x14ac:dyDescent="0.3">
      <c r="K4624" t="str">
        <f>IF($D4624="","",IFERROR(INDEX(Mapping!$H$3:$H$32,MATCH($B4624,Mapping!$G$3:$G$32,0)),IF(LEFT($F4624,3)="P2P",IFERROR(INDEX(Mapping!$E$3:$E$6,MATCH($G4624,Mapping!$D$3:$D$6,0)),IFERROR(INDEX(Mapping!$B$3:$B$13,MATCH($J4624,Mapping!$A$3:$A$13,0)),"(unmapped)")),IFERROR(INDEX(Mapping!$B$17:$B$22,MATCH($F4624,Mapping!$A$17:$A$22,0)),$F4624)&amp;" "&amp;IF($G4624="Banking","Banking",IFERROR(INDEX(Mapping!$E$17:$E$28,MATCH($J4624,Mapping!$D$17:$D$28,0)),"(unmapped)")))))</f>
        <v/>
      </c>
    </row>
    <row r="4625" spans="11:11" x14ac:dyDescent="0.3">
      <c r="K4625" t="str">
        <f>IF($D4625="","",IFERROR(INDEX(Mapping!$H$3:$H$32,MATCH($B4625,Mapping!$G$3:$G$32,0)),IF(LEFT($F4625,3)="P2P",IFERROR(INDEX(Mapping!$E$3:$E$6,MATCH($G4625,Mapping!$D$3:$D$6,0)),IFERROR(INDEX(Mapping!$B$3:$B$13,MATCH($J4625,Mapping!$A$3:$A$13,0)),"(unmapped)")),IFERROR(INDEX(Mapping!$B$17:$B$22,MATCH($F4625,Mapping!$A$17:$A$22,0)),$F4625)&amp;" "&amp;IF($G4625="Banking","Banking",IFERROR(INDEX(Mapping!$E$17:$E$28,MATCH($J4625,Mapping!$D$17:$D$28,0)),"(unmapped)")))))</f>
        <v/>
      </c>
    </row>
    <row r="4626" spans="11:11" x14ac:dyDescent="0.3">
      <c r="K4626" t="str">
        <f>IF($D4626="","",IFERROR(INDEX(Mapping!$H$3:$H$32,MATCH($B4626,Mapping!$G$3:$G$32,0)),IF(LEFT($F4626,3)="P2P",IFERROR(INDEX(Mapping!$E$3:$E$6,MATCH($G4626,Mapping!$D$3:$D$6,0)),IFERROR(INDEX(Mapping!$B$3:$B$13,MATCH($J4626,Mapping!$A$3:$A$13,0)),"(unmapped)")),IFERROR(INDEX(Mapping!$B$17:$B$22,MATCH($F4626,Mapping!$A$17:$A$22,0)),$F4626)&amp;" "&amp;IF($G4626="Banking","Banking",IFERROR(INDEX(Mapping!$E$17:$E$28,MATCH($J4626,Mapping!$D$17:$D$28,0)),"(unmapped)")))))</f>
        <v/>
      </c>
    </row>
    <row r="4627" spans="11:11" x14ac:dyDescent="0.3">
      <c r="K4627" t="str">
        <f>IF($D4627="","",IFERROR(INDEX(Mapping!$H$3:$H$32,MATCH($B4627,Mapping!$G$3:$G$32,0)),IF(LEFT($F4627,3)="P2P",IFERROR(INDEX(Mapping!$E$3:$E$6,MATCH($G4627,Mapping!$D$3:$D$6,0)),IFERROR(INDEX(Mapping!$B$3:$B$13,MATCH($J4627,Mapping!$A$3:$A$13,0)),"(unmapped)")),IFERROR(INDEX(Mapping!$B$17:$B$22,MATCH($F4627,Mapping!$A$17:$A$22,0)),$F4627)&amp;" "&amp;IF($G4627="Banking","Banking",IFERROR(INDEX(Mapping!$E$17:$E$28,MATCH($J4627,Mapping!$D$17:$D$28,0)),"(unmapped)")))))</f>
        <v/>
      </c>
    </row>
    <row r="4628" spans="11:11" x14ac:dyDescent="0.3">
      <c r="K4628" t="str">
        <f>IF($D4628="","",IFERROR(INDEX(Mapping!$H$3:$H$32,MATCH($B4628,Mapping!$G$3:$G$32,0)),IF(LEFT($F4628,3)="P2P",IFERROR(INDEX(Mapping!$E$3:$E$6,MATCH($G4628,Mapping!$D$3:$D$6,0)),IFERROR(INDEX(Mapping!$B$3:$B$13,MATCH($J4628,Mapping!$A$3:$A$13,0)),"(unmapped)")),IFERROR(INDEX(Mapping!$B$17:$B$22,MATCH($F4628,Mapping!$A$17:$A$22,0)),$F4628)&amp;" "&amp;IF($G4628="Banking","Banking",IFERROR(INDEX(Mapping!$E$17:$E$28,MATCH($J4628,Mapping!$D$17:$D$28,0)),"(unmapped)")))))</f>
        <v/>
      </c>
    </row>
    <row r="4629" spans="11:11" x14ac:dyDescent="0.3">
      <c r="K4629" t="str">
        <f>IF($D4629="","",IFERROR(INDEX(Mapping!$H$3:$H$32,MATCH($B4629,Mapping!$G$3:$G$32,0)),IF(LEFT($F4629,3)="P2P",IFERROR(INDEX(Mapping!$E$3:$E$6,MATCH($G4629,Mapping!$D$3:$D$6,0)),IFERROR(INDEX(Mapping!$B$3:$B$13,MATCH($J4629,Mapping!$A$3:$A$13,0)),"(unmapped)")),IFERROR(INDEX(Mapping!$B$17:$B$22,MATCH($F4629,Mapping!$A$17:$A$22,0)),$F4629)&amp;" "&amp;IF($G4629="Banking","Banking",IFERROR(INDEX(Mapping!$E$17:$E$28,MATCH($J4629,Mapping!$D$17:$D$28,0)),"(unmapped)")))))</f>
        <v/>
      </c>
    </row>
    <row r="4630" spans="11:11" x14ac:dyDescent="0.3">
      <c r="K4630" t="str">
        <f>IF($D4630="","",IFERROR(INDEX(Mapping!$H$3:$H$32,MATCH($B4630,Mapping!$G$3:$G$32,0)),IF(LEFT($F4630,3)="P2P",IFERROR(INDEX(Mapping!$E$3:$E$6,MATCH($G4630,Mapping!$D$3:$D$6,0)),IFERROR(INDEX(Mapping!$B$3:$B$13,MATCH($J4630,Mapping!$A$3:$A$13,0)),"(unmapped)")),IFERROR(INDEX(Mapping!$B$17:$B$22,MATCH($F4630,Mapping!$A$17:$A$22,0)),$F4630)&amp;" "&amp;IF($G4630="Banking","Banking",IFERROR(INDEX(Mapping!$E$17:$E$28,MATCH($J4630,Mapping!$D$17:$D$28,0)),"(unmapped)")))))</f>
        <v/>
      </c>
    </row>
    <row r="4631" spans="11:11" x14ac:dyDescent="0.3">
      <c r="K4631" t="str">
        <f>IF($D4631="","",IFERROR(INDEX(Mapping!$H$3:$H$32,MATCH($B4631,Mapping!$G$3:$G$32,0)),IF(LEFT($F4631,3)="P2P",IFERROR(INDEX(Mapping!$E$3:$E$6,MATCH($G4631,Mapping!$D$3:$D$6,0)),IFERROR(INDEX(Mapping!$B$3:$B$13,MATCH($J4631,Mapping!$A$3:$A$13,0)),"(unmapped)")),IFERROR(INDEX(Mapping!$B$17:$B$22,MATCH($F4631,Mapping!$A$17:$A$22,0)),$F4631)&amp;" "&amp;IF($G4631="Banking","Banking",IFERROR(INDEX(Mapping!$E$17:$E$28,MATCH($J4631,Mapping!$D$17:$D$28,0)),"(unmapped)")))))</f>
        <v/>
      </c>
    </row>
    <row r="4632" spans="11:11" x14ac:dyDescent="0.3">
      <c r="K4632" t="str">
        <f>IF($D4632="","",IFERROR(INDEX(Mapping!$H$3:$H$32,MATCH($B4632,Mapping!$G$3:$G$32,0)),IF(LEFT($F4632,3)="P2P",IFERROR(INDEX(Mapping!$E$3:$E$6,MATCH($G4632,Mapping!$D$3:$D$6,0)),IFERROR(INDEX(Mapping!$B$3:$B$13,MATCH($J4632,Mapping!$A$3:$A$13,0)),"(unmapped)")),IFERROR(INDEX(Mapping!$B$17:$B$22,MATCH($F4632,Mapping!$A$17:$A$22,0)),$F4632)&amp;" "&amp;IF($G4632="Banking","Banking",IFERROR(INDEX(Mapping!$E$17:$E$28,MATCH($J4632,Mapping!$D$17:$D$28,0)),"(unmapped)")))))</f>
        <v/>
      </c>
    </row>
    <row r="4633" spans="11:11" x14ac:dyDescent="0.3">
      <c r="K4633" t="str">
        <f>IF($D4633="","",IFERROR(INDEX(Mapping!$H$3:$H$32,MATCH($B4633,Mapping!$G$3:$G$32,0)),IF(LEFT($F4633,3)="P2P",IFERROR(INDEX(Mapping!$E$3:$E$6,MATCH($G4633,Mapping!$D$3:$D$6,0)),IFERROR(INDEX(Mapping!$B$3:$B$13,MATCH($J4633,Mapping!$A$3:$A$13,0)),"(unmapped)")),IFERROR(INDEX(Mapping!$B$17:$B$22,MATCH($F4633,Mapping!$A$17:$A$22,0)),$F4633)&amp;" "&amp;IF($G4633="Banking","Banking",IFERROR(INDEX(Mapping!$E$17:$E$28,MATCH($J4633,Mapping!$D$17:$D$28,0)),"(unmapped)")))))</f>
        <v/>
      </c>
    </row>
    <row r="4634" spans="11:11" x14ac:dyDescent="0.3">
      <c r="K4634" t="str">
        <f>IF($D4634="","",IFERROR(INDEX(Mapping!$H$3:$H$32,MATCH($B4634,Mapping!$G$3:$G$32,0)),IF(LEFT($F4634,3)="P2P",IFERROR(INDEX(Mapping!$E$3:$E$6,MATCH($G4634,Mapping!$D$3:$D$6,0)),IFERROR(INDEX(Mapping!$B$3:$B$13,MATCH($J4634,Mapping!$A$3:$A$13,0)),"(unmapped)")),IFERROR(INDEX(Mapping!$B$17:$B$22,MATCH($F4634,Mapping!$A$17:$A$22,0)),$F4634)&amp;" "&amp;IF($G4634="Banking","Banking",IFERROR(INDEX(Mapping!$E$17:$E$28,MATCH($J4634,Mapping!$D$17:$D$28,0)),"(unmapped)")))))</f>
        <v/>
      </c>
    </row>
    <row r="4635" spans="11:11" x14ac:dyDescent="0.3">
      <c r="K4635" t="str">
        <f>IF($D4635="","",IFERROR(INDEX(Mapping!$H$3:$H$32,MATCH($B4635,Mapping!$G$3:$G$32,0)),IF(LEFT($F4635,3)="P2P",IFERROR(INDEX(Mapping!$E$3:$E$6,MATCH($G4635,Mapping!$D$3:$D$6,0)),IFERROR(INDEX(Mapping!$B$3:$B$13,MATCH($J4635,Mapping!$A$3:$A$13,0)),"(unmapped)")),IFERROR(INDEX(Mapping!$B$17:$B$22,MATCH($F4635,Mapping!$A$17:$A$22,0)),$F4635)&amp;" "&amp;IF($G4635="Banking","Banking",IFERROR(INDEX(Mapping!$E$17:$E$28,MATCH($J4635,Mapping!$D$17:$D$28,0)),"(unmapped)")))))</f>
        <v/>
      </c>
    </row>
    <row r="4636" spans="11:11" x14ac:dyDescent="0.3">
      <c r="K4636" t="str">
        <f>IF($D4636="","",IFERROR(INDEX(Mapping!$H$3:$H$32,MATCH($B4636,Mapping!$G$3:$G$32,0)),IF(LEFT($F4636,3)="P2P",IFERROR(INDEX(Mapping!$E$3:$E$6,MATCH($G4636,Mapping!$D$3:$D$6,0)),IFERROR(INDEX(Mapping!$B$3:$B$13,MATCH($J4636,Mapping!$A$3:$A$13,0)),"(unmapped)")),IFERROR(INDEX(Mapping!$B$17:$B$22,MATCH($F4636,Mapping!$A$17:$A$22,0)),$F4636)&amp;" "&amp;IF($G4636="Banking","Banking",IFERROR(INDEX(Mapping!$E$17:$E$28,MATCH($J4636,Mapping!$D$17:$D$28,0)),"(unmapped)")))))</f>
        <v/>
      </c>
    </row>
    <row r="4637" spans="11:11" x14ac:dyDescent="0.3">
      <c r="K4637" t="str">
        <f>IF($D4637="","",IFERROR(INDEX(Mapping!$H$3:$H$32,MATCH($B4637,Mapping!$G$3:$G$32,0)),IF(LEFT($F4637,3)="P2P",IFERROR(INDEX(Mapping!$E$3:$E$6,MATCH($G4637,Mapping!$D$3:$D$6,0)),IFERROR(INDEX(Mapping!$B$3:$B$13,MATCH($J4637,Mapping!$A$3:$A$13,0)),"(unmapped)")),IFERROR(INDEX(Mapping!$B$17:$B$22,MATCH($F4637,Mapping!$A$17:$A$22,0)),$F4637)&amp;" "&amp;IF($G4637="Banking","Banking",IFERROR(INDEX(Mapping!$E$17:$E$28,MATCH($J4637,Mapping!$D$17:$D$28,0)),"(unmapped)")))))</f>
        <v/>
      </c>
    </row>
    <row r="4638" spans="11:11" x14ac:dyDescent="0.3">
      <c r="K4638" t="str">
        <f>IF($D4638="","",IFERROR(INDEX(Mapping!$H$3:$H$32,MATCH($B4638,Mapping!$G$3:$G$32,0)),IF(LEFT($F4638,3)="P2P",IFERROR(INDEX(Mapping!$E$3:$E$6,MATCH($G4638,Mapping!$D$3:$D$6,0)),IFERROR(INDEX(Mapping!$B$3:$B$13,MATCH($J4638,Mapping!$A$3:$A$13,0)),"(unmapped)")),IFERROR(INDEX(Mapping!$B$17:$B$22,MATCH($F4638,Mapping!$A$17:$A$22,0)),$F4638)&amp;" "&amp;IF($G4638="Banking","Banking",IFERROR(INDEX(Mapping!$E$17:$E$28,MATCH($J4638,Mapping!$D$17:$D$28,0)),"(unmapped)")))))</f>
        <v/>
      </c>
    </row>
    <row r="4639" spans="11:11" x14ac:dyDescent="0.3">
      <c r="K4639" t="str">
        <f>IF($D4639="","",IFERROR(INDEX(Mapping!$H$3:$H$32,MATCH($B4639,Mapping!$G$3:$G$32,0)),IF(LEFT($F4639,3)="P2P",IFERROR(INDEX(Mapping!$E$3:$E$6,MATCH($G4639,Mapping!$D$3:$D$6,0)),IFERROR(INDEX(Mapping!$B$3:$B$13,MATCH($J4639,Mapping!$A$3:$A$13,0)),"(unmapped)")),IFERROR(INDEX(Mapping!$B$17:$B$22,MATCH($F4639,Mapping!$A$17:$A$22,0)),$F4639)&amp;" "&amp;IF($G4639="Banking","Banking",IFERROR(INDEX(Mapping!$E$17:$E$28,MATCH($J4639,Mapping!$D$17:$D$28,0)),"(unmapped)")))))</f>
        <v/>
      </c>
    </row>
    <row r="4640" spans="11:11" x14ac:dyDescent="0.3">
      <c r="K4640" t="str">
        <f>IF($D4640="","",IFERROR(INDEX(Mapping!$H$3:$H$32,MATCH($B4640,Mapping!$G$3:$G$32,0)),IF(LEFT($F4640,3)="P2P",IFERROR(INDEX(Mapping!$E$3:$E$6,MATCH($G4640,Mapping!$D$3:$D$6,0)),IFERROR(INDEX(Mapping!$B$3:$B$13,MATCH($J4640,Mapping!$A$3:$A$13,0)),"(unmapped)")),IFERROR(INDEX(Mapping!$B$17:$B$22,MATCH($F4640,Mapping!$A$17:$A$22,0)),$F4640)&amp;" "&amp;IF($G4640="Banking","Banking",IFERROR(INDEX(Mapping!$E$17:$E$28,MATCH($J4640,Mapping!$D$17:$D$28,0)),"(unmapped)")))))</f>
        <v/>
      </c>
    </row>
    <row r="4641" spans="11:11" x14ac:dyDescent="0.3">
      <c r="K4641" t="str">
        <f>IF($D4641="","",IFERROR(INDEX(Mapping!$H$3:$H$32,MATCH($B4641,Mapping!$G$3:$G$32,0)),IF(LEFT($F4641,3)="P2P",IFERROR(INDEX(Mapping!$E$3:$E$6,MATCH($G4641,Mapping!$D$3:$D$6,0)),IFERROR(INDEX(Mapping!$B$3:$B$13,MATCH($J4641,Mapping!$A$3:$A$13,0)),"(unmapped)")),IFERROR(INDEX(Mapping!$B$17:$B$22,MATCH($F4641,Mapping!$A$17:$A$22,0)),$F4641)&amp;" "&amp;IF($G4641="Banking","Banking",IFERROR(INDEX(Mapping!$E$17:$E$28,MATCH($J4641,Mapping!$D$17:$D$28,0)),"(unmapped)")))))</f>
        <v/>
      </c>
    </row>
    <row r="4642" spans="11:11" x14ac:dyDescent="0.3">
      <c r="K4642" t="str">
        <f>IF($D4642="","",IFERROR(INDEX(Mapping!$H$3:$H$32,MATCH($B4642,Mapping!$G$3:$G$32,0)),IF(LEFT($F4642,3)="P2P",IFERROR(INDEX(Mapping!$E$3:$E$6,MATCH($G4642,Mapping!$D$3:$D$6,0)),IFERROR(INDEX(Mapping!$B$3:$B$13,MATCH($J4642,Mapping!$A$3:$A$13,0)),"(unmapped)")),IFERROR(INDEX(Mapping!$B$17:$B$22,MATCH($F4642,Mapping!$A$17:$A$22,0)),$F4642)&amp;" "&amp;IF($G4642="Banking","Banking",IFERROR(INDEX(Mapping!$E$17:$E$28,MATCH($J4642,Mapping!$D$17:$D$28,0)),"(unmapped)")))))</f>
        <v/>
      </c>
    </row>
    <row r="4643" spans="11:11" x14ac:dyDescent="0.3">
      <c r="K4643" t="str">
        <f>IF($D4643="","",IFERROR(INDEX(Mapping!$H$3:$H$32,MATCH($B4643,Mapping!$G$3:$G$32,0)),IF(LEFT($F4643,3)="P2P",IFERROR(INDEX(Mapping!$E$3:$E$6,MATCH($G4643,Mapping!$D$3:$D$6,0)),IFERROR(INDEX(Mapping!$B$3:$B$13,MATCH($J4643,Mapping!$A$3:$A$13,0)),"(unmapped)")),IFERROR(INDEX(Mapping!$B$17:$B$22,MATCH($F4643,Mapping!$A$17:$A$22,0)),$F4643)&amp;" "&amp;IF($G4643="Banking","Banking",IFERROR(INDEX(Mapping!$E$17:$E$28,MATCH($J4643,Mapping!$D$17:$D$28,0)),"(unmapped)")))))</f>
        <v/>
      </c>
    </row>
    <row r="4644" spans="11:11" x14ac:dyDescent="0.3">
      <c r="K4644" t="str">
        <f>IF($D4644="","",IFERROR(INDEX(Mapping!$H$3:$H$32,MATCH($B4644,Mapping!$G$3:$G$32,0)),IF(LEFT($F4644,3)="P2P",IFERROR(INDEX(Mapping!$E$3:$E$6,MATCH($G4644,Mapping!$D$3:$D$6,0)),IFERROR(INDEX(Mapping!$B$3:$B$13,MATCH($J4644,Mapping!$A$3:$A$13,0)),"(unmapped)")),IFERROR(INDEX(Mapping!$B$17:$B$22,MATCH($F4644,Mapping!$A$17:$A$22,0)),$F4644)&amp;" "&amp;IF($G4644="Banking","Banking",IFERROR(INDEX(Mapping!$E$17:$E$28,MATCH($J4644,Mapping!$D$17:$D$28,0)),"(unmapped)")))))</f>
        <v/>
      </c>
    </row>
    <row r="4645" spans="11:11" x14ac:dyDescent="0.3">
      <c r="K4645" t="str">
        <f>IF($D4645="","",IFERROR(INDEX(Mapping!$H$3:$H$32,MATCH($B4645,Mapping!$G$3:$G$32,0)),IF(LEFT($F4645,3)="P2P",IFERROR(INDEX(Mapping!$E$3:$E$6,MATCH($G4645,Mapping!$D$3:$D$6,0)),IFERROR(INDEX(Mapping!$B$3:$B$13,MATCH($J4645,Mapping!$A$3:$A$13,0)),"(unmapped)")),IFERROR(INDEX(Mapping!$B$17:$B$22,MATCH($F4645,Mapping!$A$17:$A$22,0)),$F4645)&amp;" "&amp;IF($G4645="Banking","Banking",IFERROR(INDEX(Mapping!$E$17:$E$28,MATCH($J4645,Mapping!$D$17:$D$28,0)),"(unmapped)")))))</f>
        <v/>
      </c>
    </row>
    <row r="4646" spans="11:11" x14ac:dyDescent="0.3">
      <c r="K4646" t="str">
        <f>IF($D4646="","",IFERROR(INDEX(Mapping!$H$3:$H$32,MATCH($B4646,Mapping!$G$3:$G$32,0)),IF(LEFT($F4646,3)="P2P",IFERROR(INDEX(Mapping!$E$3:$E$6,MATCH($G4646,Mapping!$D$3:$D$6,0)),IFERROR(INDEX(Mapping!$B$3:$B$13,MATCH($J4646,Mapping!$A$3:$A$13,0)),"(unmapped)")),IFERROR(INDEX(Mapping!$B$17:$B$22,MATCH($F4646,Mapping!$A$17:$A$22,0)),$F4646)&amp;" "&amp;IF($G4646="Banking","Banking",IFERROR(INDEX(Mapping!$E$17:$E$28,MATCH($J4646,Mapping!$D$17:$D$28,0)),"(unmapped)")))))</f>
        <v/>
      </c>
    </row>
    <row r="4647" spans="11:11" x14ac:dyDescent="0.3">
      <c r="K4647" t="str">
        <f>IF($D4647="","",IFERROR(INDEX(Mapping!$H$3:$H$32,MATCH($B4647,Mapping!$G$3:$G$32,0)),IF(LEFT($F4647,3)="P2P",IFERROR(INDEX(Mapping!$E$3:$E$6,MATCH($G4647,Mapping!$D$3:$D$6,0)),IFERROR(INDEX(Mapping!$B$3:$B$13,MATCH($J4647,Mapping!$A$3:$A$13,0)),"(unmapped)")),IFERROR(INDEX(Mapping!$B$17:$B$22,MATCH($F4647,Mapping!$A$17:$A$22,0)),$F4647)&amp;" "&amp;IF($G4647="Banking","Banking",IFERROR(INDEX(Mapping!$E$17:$E$28,MATCH($J4647,Mapping!$D$17:$D$28,0)),"(unmapped)")))))</f>
        <v/>
      </c>
    </row>
    <row r="4648" spans="11:11" x14ac:dyDescent="0.3">
      <c r="K4648" t="str">
        <f>IF($D4648="","",IFERROR(INDEX(Mapping!$H$3:$H$32,MATCH($B4648,Mapping!$G$3:$G$32,0)),IF(LEFT($F4648,3)="P2P",IFERROR(INDEX(Mapping!$E$3:$E$6,MATCH($G4648,Mapping!$D$3:$D$6,0)),IFERROR(INDEX(Mapping!$B$3:$B$13,MATCH($J4648,Mapping!$A$3:$A$13,0)),"(unmapped)")),IFERROR(INDEX(Mapping!$B$17:$B$22,MATCH($F4648,Mapping!$A$17:$A$22,0)),$F4648)&amp;" "&amp;IF($G4648="Banking","Banking",IFERROR(INDEX(Mapping!$E$17:$E$28,MATCH($J4648,Mapping!$D$17:$D$28,0)),"(unmapped)")))))</f>
        <v/>
      </c>
    </row>
    <row r="4649" spans="11:11" x14ac:dyDescent="0.3">
      <c r="K4649" t="str">
        <f>IF($D4649="","",IFERROR(INDEX(Mapping!$H$3:$H$32,MATCH($B4649,Mapping!$G$3:$G$32,0)),IF(LEFT($F4649,3)="P2P",IFERROR(INDEX(Mapping!$E$3:$E$6,MATCH($G4649,Mapping!$D$3:$D$6,0)),IFERROR(INDEX(Mapping!$B$3:$B$13,MATCH($J4649,Mapping!$A$3:$A$13,0)),"(unmapped)")),IFERROR(INDEX(Mapping!$B$17:$B$22,MATCH($F4649,Mapping!$A$17:$A$22,0)),$F4649)&amp;" "&amp;IF($G4649="Banking","Banking",IFERROR(INDEX(Mapping!$E$17:$E$28,MATCH($J4649,Mapping!$D$17:$D$28,0)),"(unmapped)")))))</f>
        <v/>
      </c>
    </row>
    <row r="4650" spans="11:11" x14ac:dyDescent="0.3">
      <c r="K4650" t="str">
        <f>IF($D4650="","",IFERROR(INDEX(Mapping!$H$3:$H$32,MATCH($B4650,Mapping!$G$3:$G$32,0)),IF(LEFT($F4650,3)="P2P",IFERROR(INDEX(Mapping!$E$3:$E$6,MATCH($G4650,Mapping!$D$3:$D$6,0)),IFERROR(INDEX(Mapping!$B$3:$B$13,MATCH($J4650,Mapping!$A$3:$A$13,0)),"(unmapped)")),IFERROR(INDEX(Mapping!$B$17:$B$22,MATCH($F4650,Mapping!$A$17:$A$22,0)),$F4650)&amp;" "&amp;IF($G4650="Banking","Banking",IFERROR(INDEX(Mapping!$E$17:$E$28,MATCH($J4650,Mapping!$D$17:$D$28,0)),"(unmapped)")))))</f>
        <v/>
      </c>
    </row>
    <row r="4651" spans="11:11" x14ac:dyDescent="0.3">
      <c r="K4651" t="str">
        <f>IF($D4651="","",IFERROR(INDEX(Mapping!$H$3:$H$32,MATCH($B4651,Mapping!$G$3:$G$32,0)),IF(LEFT($F4651,3)="P2P",IFERROR(INDEX(Mapping!$E$3:$E$6,MATCH($G4651,Mapping!$D$3:$D$6,0)),IFERROR(INDEX(Mapping!$B$3:$B$13,MATCH($J4651,Mapping!$A$3:$A$13,0)),"(unmapped)")),IFERROR(INDEX(Mapping!$B$17:$B$22,MATCH($F4651,Mapping!$A$17:$A$22,0)),$F4651)&amp;" "&amp;IF($G4651="Banking","Banking",IFERROR(INDEX(Mapping!$E$17:$E$28,MATCH($J4651,Mapping!$D$17:$D$28,0)),"(unmapped)")))))</f>
        <v/>
      </c>
    </row>
    <row r="4652" spans="11:11" x14ac:dyDescent="0.3">
      <c r="K4652" t="str">
        <f>IF($D4652="","",IFERROR(INDEX(Mapping!$H$3:$H$32,MATCH($B4652,Mapping!$G$3:$G$32,0)),IF(LEFT($F4652,3)="P2P",IFERROR(INDEX(Mapping!$E$3:$E$6,MATCH($G4652,Mapping!$D$3:$D$6,0)),IFERROR(INDEX(Mapping!$B$3:$B$13,MATCH($J4652,Mapping!$A$3:$A$13,0)),"(unmapped)")),IFERROR(INDEX(Mapping!$B$17:$B$22,MATCH($F4652,Mapping!$A$17:$A$22,0)),$F4652)&amp;" "&amp;IF($G4652="Banking","Banking",IFERROR(INDEX(Mapping!$E$17:$E$28,MATCH($J4652,Mapping!$D$17:$D$28,0)),"(unmapped)")))))</f>
        <v/>
      </c>
    </row>
    <row r="4653" spans="11:11" x14ac:dyDescent="0.3">
      <c r="K4653" t="str">
        <f>IF($D4653="","",IFERROR(INDEX(Mapping!$H$3:$H$32,MATCH($B4653,Mapping!$G$3:$G$32,0)),IF(LEFT($F4653,3)="P2P",IFERROR(INDEX(Mapping!$E$3:$E$6,MATCH($G4653,Mapping!$D$3:$D$6,0)),IFERROR(INDEX(Mapping!$B$3:$B$13,MATCH($J4653,Mapping!$A$3:$A$13,0)),"(unmapped)")),IFERROR(INDEX(Mapping!$B$17:$B$22,MATCH($F4653,Mapping!$A$17:$A$22,0)),$F4653)&amp;" "&amp;IF($G4653="Banking","Banking",IFERROR(INDEX(Mapping!$E$17:$E$28,MATCH($J4653,Mapping!$D$17:$D$28,0)),"(unmapped)")))))</f>
        <v/>
      </c>
    </row>
    <row r="4654" spans="11:11" x14ac:dyDescent="0.3">
      <c r="K4654" t="str">
        <f>IF($D4654="","",IFERROR(INDEX(Mapping!$H$3:$H$32,MATCH($B4654,Mapping!$G$3:$G$32,0)),IF(LEFT($F4654,3)="P2P",IFERROR(INDEX(Mapping!$E$3:$E$6,MATCH($G4654,Mapping!$D$3:$D$6,0)),IFERROR(INDEX(Mapping!$B$3:$B$13,MATCH($J4654,Mapping!$A$3:$A$13,0)),"(unmapped)")),IFERROR(INDEX(Mapping!$B$17:$B$22,MATCH($F4654,Mapping!$A$17:$A$22,0)),$F4654)&amp;" "&amp;IF($G4654="Banking","Banking",IFERROR(INDEX(Mapping!$E$17:$E$28,MATCH($J4654,Mapping!$D$17:$D$28,0)),"(unmapped)")))))</f>
        <v/>
      </c>
    </row>
    <row r="4655" spans="11:11" x14ac:dyDescent="0.3">
      <c r="K4655" t="str">
        <f>IF($D4655="","",IFERROR(INDEX(Mapping!$H$3:$H$32,MATCH($B4655,Mapping!$G$3:$G$32,0)),IF(LEFT($F4655,3)="P2P",IFERROR(INDEX(Mapping!$E$3:$E$6,MATCH($G4655,Mapping!$D$3:$D$6,0)),IFERROR(INDEX(Mapping!$B$3:$B$13,MATCH($J4655,Mapping!$A$3:$A$13,0)),"(unmapped)")),IFERROR(INDEX(Mapping!$B$17:$B$22,MATCH($F4655,Mapping!$A$17:$A$22,0)),$F4655)&amp;" "&amp;IF($G4655="Banking","Banking",IFERROR(INDEX(Mapping!$E$17:$E$28,MATCH($J4655,Mapping!$D$17:$D$28,0)),"(unmapped)")))))</f>
        <v/>
      </c>
    </row>
    <row r="4656" spans="11:11" x14ac:dyDescent="0.3">
      <c r="K4656" t="str">
        <f>IF($D4656="","",IFERROR(INDEX(Mapping!$H$3:$H$32,MATCH($B4656,Mapping!$G$3:$G$32,0)),IF(LEFT($F4656,3)="P2P",IFERROR(INDEX(Mapping!$E$3:$E$6,MATCH($G4656,Mapping!$D$3:$D$6,0)),IFERROR(INDEX(Mapping!$B$3:$B$13,MATCH($J4656,Mapping!$A$3:$A$13,0)),"(unmapped)")),IFERROR(INDEX(Mapping!$B$17:$B$22,MATCH($F4656,Mapping!$A$17:$A$22,0)),$F4656)&amp;" "&amp;IF($G4656="Banking","Banking",IFERROR(INDEX(Mapping!$E$17:$E$28,MATCH($J4656,Mapping!$D$17:$D$28,0)),"(unmapped)")))))</f>
        <v/>
      </c>
    </row>
    <row r="4657" spans="11:11" x14ac:dyDescent="0.3">
      <c r="K4657" t="str">
        <f>IF($D4657="","",IFERROR(INDEX(Mapping!$H$3:$H$32,MATCH($B4657,Mapping!$G$3:$G$32,0)),IF(LEFT($F4657,3)="P2P",IFERROR(INDEX(Mapping!$E$3:$E$6,MATCH($G4657,Mapping!$D$3:$D$6,0)),IFERROR(INDEX(Mapping!$B$3:$B$13,MATCH($J4657,Mapping!$A$3:$A$13,0)),"(unmapped)")),IFERROR(INDEX(Mapping!$B$17:$B$22,MATCH($F4657,Mapping!$A$17:$A$22,0)),$F4657)&amp;" "&amp;IF($G4657="Banking","Banking",IFERROR(INDEX(Mapping!$E$17:$E$28,MATCH($J4657,Mapping!$D$17:$D$28,0)),"(unmapped)")))))</f>
        <v/>
      </c>
    </row>
    <row r="4658" spans="11:11" x14ac:dyDescent="0.3">
      <c r="K4658" t="str">
        <f>IF($D4658="","",IFERROR(INDEX(Mapping!$H$3:$H$32,MATCH($B4658,Mapping!$G$3:$G$32,0)),IF(LEFT($F4658,3)="P2P",IFERROR(INDEX(Mapping!$E$3:$E$6,MATCH($G4658,Mapping!$D$3:$D$6,0)),IFERROR(INDEX(Mapping!$B$3:$B$13,MATCH($J4658,Mapping!$A$3:$A$13,0)),"(unmapped)")),IFERROR(INDEX(Mapping!$B$17:$B$22,MATCH($F4658,Mapping!$A$17:$A$22,0)),$F4658)&amp;" "&amp;IF($G4658="Banking","Banking",IFERROR(INDEX(Mapping!$E$17:$E$28,MATCH($J4658,Mapping!$D$17:$D$28,0)),"(unmapped)")))))</f>
        <v/>
      </c>
    </row>
    <row r="4659" spans="11:11" x14ac:dyDescent="0.3">
      <c r="K4659" t="str">
        <f>IF($D4659="","",IFERROR(INDEX(Mapping!$H$3:$H$32,MATCH($B4659,Mapping!$G$3:$G$32,0)),IF(LEFT($F4659,3)="P2P",IFERROR(INDEX(Mapping!$E$3:$E$6,MATCH($G4659,Mapping!$D$3:$D$6,0)),IFERROR(INDEX(Mapping!$B$3:$B$13,MATCH($J4659,Mapping!$A$3:$A$13,0)),"(unmapped)")),IFERROR(INDEX(Mapping!$B$17:$B$22,MATCH($F4659,Mapping!$A$17:$A$22,0)),$F4659)&amp;" "&amp;IF($G4659="Banking","Banking",IFERROR(INDEX(Mapping!$E$17:$E$28,MATCH($J4659,Mapping!$D$17:$D$28,0)),"(unmapped)")))))</f>
        <v/>
      </c>
    </row>
    <row r="4660" spans="11:11" x14ac:dyDescent="0.3">
      <c r="K4660" t="str">
        <f>IF($D4660="","",IFERROR(INDEX(Mapping!$H$3:$H$32,MATCH($B4660,Mapping!$G$3:$G$32,0)),IF(LEFT($F4660,3)="P2P",IFERROR(INDEX(Mapping!$E$3:$E$6,MATCH($G4660,Mapping!$D$3:$D$6,0)),IFERROR(INDEX(Mapping!$B$3:$B$13,MATCH($J4660,Mapping!$A$3:$A$13,0)),"(unmapped)")),IFERROR(INDEX(Mapping!$B$17:$B$22,MATCH($F4660,Mapping!$A$17:$A$22,0)),$F4660)&amp;" "&amp;IF($G4660="Banking","Banking",IFERROR(INDEX(Mapping!$E$17:$E$28,MATCH($J4660,Mapping!$D$17:$D$28,0)),"(unmapped)")))))</f>
        <v/>
      </c>
    </row>
    <row r="4661" spans="11:11" x14ac:dyDescent="0.3">
      <c r="K4661" t="str">
        <f>IF($D4661="","",IFERROR(INDEX(Mapping!$H$3:$H$32,MATCH($B4661,Mapping!$G$3:$G$32,0)),IF(LEFT($F4661,3)="P2P",IFERROR(INDEX(Mapping!$E$3:$E$6,MATCH($G4661,Mapping!$D$3:$D$6,0)),IFERROR(INDEX(Mapping!$B$3:$B$13,MATCH($J4661,Mapping!$A$3:$A$13,0)),"(unmapped)")),IFERROR(INDEX(Mapping!$B$17:$B$22,MATCH($F4661,Mapping!$A$17:$A$22,0)),$F4661)&amp;" "&amp;IF($G4661="Banking","Banking",IFERROR(INDEX(Mapping!$E$17:$E$28,MATCH($J4661,Mapping!$D$17:$D$28,0)),"(unmapped)")))))</f>
        <v/>
      </c>
    </row>
    <row r="4662" spans="11:11" x14ac:dyDescent="0.3">
      <c r="K4662" t="str">
        <f>IF($D4662="","",IFERROR(INDEX(Mapping!$H$3:$H$32,MATCH($B4662,Mapping!$G$3:$G$32,0)),IF(LEFT($F4662,3)="P2P",IFERROR(INDEX(Mapping!$E$3:$E$6,MATCH($G4662,Mapping!$D$3:$D$6,0)),IFERROR(INDEX(Mapping!$B$3:$B$13,MATCH($J4662,Mapping!$A$3:$A$13,0)),"(unmapped)")),IFERROR(INDEX(Mapping!$B$17:$B$22,MATCH($F4662,Mapping!$A$17:$A$22,0)),$F4662)&amp;" "&amp;IF($G4662="Banking","Banking",IFERROR(INDEX(Mapping!$E$17:$E$28,MATCH($J4662,Mapping!$D$17:$D$28,0)),"(unmapped)")))))</f>
        <v/>
      </c>
    </row>
    <row r="4663" spans="11:11" x14ac:dyDescent="0.3">
      <c r="K4663" t="str">
        <f>IF($D4663="","",IFERROR(INDEX(Mapping!$H$3:$H$32,MATCH($B4663,Mapping!$G$3:$G$32,0)),IF(LEFT($F4663,3)="P2P",IFERROR(INDEX(Mapping!$E$3:$E$6,MATCH($G4663,Mapping!$D$3:$D$6,0)),IFERROR(INDEX(Mapping!$B$3:$B$13,MATCH($J4663,Mapping!$A$3:$A$13,0)),"(unmapped)")),IFERROR(INDEX(Mapping!$B$17:$B$22,MATCH($F4663,Mapping!$A$17:$A$22,0)),$F4663)&amp;" "&amp;IF($G4663="Banking","Banking",IFERROR(INDEX(Mapping!$E$17:$E$28,MATCH($J4663,Mapping!$D$17:$D$28,0)),"(unmapped)")))))</f>
        <v/>
      </c>
    </row>
    <row r="4664" spans="11:11" x14ac:dyDescent="0.3">
      <c r="K4664" t="str">
        <f>IF($D4664="","",IFERROR(INDEX(Mapping!$H$3:$H$32,MATCH($B4664,Mapping!$G$3:$G$32,0)),IF(LEFT($F4664,3)="P2P",IFERROR(INDEX(Mapping!$E$3:$E$6,MATCH($G4664,Mapping!$D$3:$D$6,0)),IFERROR(INDEX(Mapping!$B$3:$B$13,MATCH($J4664,Mapping!$A$3:$A$13,0)),"(unmapped)")),IFERROR(INDEX(Mapping!$B$17:$B$22,MATCH($F4664,Mapping!$A$17:$A$22,0)),$F4664)&amp;" "&amp;IF($G4664="Banking","Banking",IFERROR(INDEX(Mapping!$E$17:$E$28,MATCH($J4664,Mapping!$D$17:$D$28,0)),"(unmapped)")))))</f>
        <v/>
      </c>
    </row>
    <row r="4665" spans="11:11" x14ac:dyDescent="0.3">
      <c r="K4665" t="str">
        <f>IF($D4665="","",IFERROR(INDEX(Mapping!$H$3:$H$32,MATCH($B4665,Mapping!$G$3:$G$32,0)),IF(LEFT($F4665,3)="P2P",IFERROR(INDEX(Mapping!$E$3:$E$6,MATCH($G4665,Mapping!$D$3:$D$6,0)),IFERROR(INDEX(Mapping!$B$3:$B$13,MATCH($J4665,Mapping!$A$3:$A$13,0)),"(unmapped)")),IFERROR(INDEX(Mapping!$B$17:$B$22,MATCH($F4665,Mapping!$A$17:$A$22,0)),$F4665)&amp;" "&amp;IF($G4665="Banking","Banking",IFERROR(INDEX(Mapping!$E$17:$E$28,MATCH($J4665,Mapping!$D$17:$D$28,0)),"(unmapped)")))))</f>
        <v/>
      </c>
    </row>
    <row r="4666" spans="11:11" x14ac:dyDescent="0.3">
      <c r="K4666" t="str">
        <f>IF($D4666="","",IFERROR(INDEX(Mapping!$H$3:$H$32,MATCH($B4666,Mapping!$G$3:$G$32,0)),IF(LEFT($F4666,3)="P2P",IFERROR(INDEX(Mapping!$E$3:$E$6,MATCH($G4666,Mapping!$D$3:$D$6,0)),IFERROR(INDEX(Mapping!$B$3:$B$13,MATCH($J4666,Mapping!$A$3:$A$13,0)),"(unmapped)")),IFERROR(INDEX(Mapping!$B$17:$B$22,MATCH($F4666,Mapping!$A$17:$A$22,0)),$F4666)&amp;" "&amp;IF($G4666="Banking","Banking",IFERROR(INDEX(Mapping!$E$17:$E$28,MATCH($J4666,Mapping!$D$17:$D$28,0)),"(unmapped)")))))</f>
        <v/>
      </c>
    </row>
    <row r="4667" spans="11:11" x14ac:dyDescent="0.3">
      <c r="K4667" t="str">
        <f>IF($D4667="","",IFERROR(INDEX(Mapping!$H$3:$H$32,MATCH($B4667,Mapping!$G$3:$G$32,0)),IF(LEFT($F4667,3)="P2P",IFERROR(INDEX(Mapping!$E$3:$E$6,MATCH($G4667,Mapping!$D$3:$D$6,0)),IFERROR(INDEX(Mapping!$B$3:$B$13,MATCH($J4667,Mapping!$A$3:$A$13,0)),"(unmapped)")),IFERROR(INDEX(Mapping!$B$17:$B$22,MATCH($F4667,Mapping!$A$17:$A$22,0)),$F4667)&amp;" "&amp;IF($G4667="Banking","Banking",IFERROR(INDEX(Mapping!$E$17:$E$28,MATCH($J4667,Mapping!$D$17:$D$28,0)),"(unmapped)")))))</f>
        <v/>
      </c>
    </row>
    <row r="4668" spans="11:11" x14ac:dyDescent="0.3">
      <c r="K4668" t="str">
        <f>IF($D4668="","",IFERROR(INDEX(Mapping!$H$3:$H$32,MATCH($B4668,Mapping!$G$3:$G$32,0)),IF(LEFT($F4668,3)="P2P",IFERROR(INDEX(Mapping!$E$3:$E$6,MATCH($G4668,Mapping!$D$3:$D$6,0)),IFERROR(INDEX(Mapping!$B$3:$B$13,MATCH($J4668,Mapping!$A$3:$A$13,0)),"(unmapped)")),IFERROR(INDEX(Mapping!$B$17:$B$22,MATCH($F4668,Mapping!$A$17:$A$22,0)),$F4668)&amp;" "&amp;IF($G4668="Banking","Banking",IFERROR(INDEX(Mapping!$E$17:$E$28,MATCH($J4668,Mapping!$D$17:$D$28,0)),"(unmapped)")))))</f>
        <v/>
      </c>
    </row>
    <row r="4669" spans="11:11" x14ac:dyDescent="0.3">
      <c r="K4669" t="str">
        <f>IF($D4669="","",IFERROR(INDEX(Mapping!$H$3:$H$32,MATCH($B4669,Mapping!$G$3:$G$32,0)),IF(LEFT($F4669,3)="P2P",IFERROR(INDEX(Mapping!$E$3:$E$6,MATCH($G4669,Mapping!$D$3:$D$6,0)),IFERROR(INDEX(Mapping!$B$3:$B$13,MATCH($J4669,Mapping!$A$3:$A$13,0)),"(unmapped)")),IFERROR(INDEX(Mapping!$B$17:$B$22,MATCH($F4669,Mapping!$A$17:$A$22,0)),$F4669)&amp;" "&amp;IF($G4669="Banking","Banking",IFERROR(INDEX(Mapping!$E$17:$E$28,MATCH($J4669,Mapping!$D$17:$D$28,0)),"(unmapped)")))))</f>
        <v/>
      </c>
    </row>
    <row r="4670" spans="11:11" x14ac:dyDescent="0.3">
      <c r="K4670" t="str">
        <f>IF($D4670="","",IFERROR(INDEX(Mapping!$H$3:$H$32,MATCH($B4670,Mapping!$G$3:$G$32,0)),IF(LEFT($F4670,3)="P2P",IFERROR(INDEX(Mapping!$E$3:$E$6,MATCH($G4670,Mapping!$D$3:$D$6,0)),IFERROR(INDEX(Mapping!$B$3:$B$13,MATCH($J4670,Mapping!$A$3:$A$13,0)),"(unmapped)")),IFERROR(INDEX(Mapping!$B$17:$B$22,MATCH($F4670,Mapping!$A$17:$A$22,0)),$F4670)&amp;" "&amp;IF($G4670="Banking","Banking",IFERROR(INDEX(Mapping!$E$17:$E$28,MATCH($J4670,Mapping!$D$17:$D$28,0)),"(unmapped)")))))</f>
        <v/>
      </c>
    </row>
    <row r="4671" spans="11:11" x14ac:dyDescent="0.3">
      <c r="K4671" t="str">
        <f>IF($D4671="","",IFERROR(INDEX(Mapping!$H$3:$H$32,MATCH($B4671,Mapping!$G$3:$G$32,0)),IF(LEFT($F4671,3)="P2P",IFERROR(INDEX(Mapping!$E$3:$E$6,MATCH($G4671,Mapping!$D$3:$D$6,0)),IFERROR(INDEX(Mapping!$B$3:$B$13,MATCH($J4671,Mapping!$A$3:$A$13,0)),"(unmapped)")),IFERROR(INDEX(Mapping!$B$17:$B$22,MATCH($F4671,Mapping!$A$17:$A$22,0)),$F4671)&amp;" "&amp;IF($G4671="Banking","Banking",IFERROR(INDEX(Mapping!$E$17:$E$28,MATCH($J4671,Mapping!$D$17:$D$28,0)),"(unmapped)")))))</f>
        <v/>
      </c>
    </row>
    <row r="4672" spans="11:11" x14ac:dyDescent="0.3">
      <c r="K4672" t="str">
        <f>IF($D4672="","",IFERROR(INDEX(Mapping!$H$3:$H$32,MATCH($B4672,Mapping!$G$3:$G$32,0)),IF(LEFT($F4672,3)="P2P",IFERROR(INDEX(Mapping!$E$3:$E$6,MATCH($G4672,Mapping!$D$3:$D$6,0)),IFERROR(INDEX(Mapping!$B$3:$B$13,MATCH($J4672,Mapping!$A$3:$A$13,0)),"(unmapped)")),IFERROR(INDEX(Mapping!$B$17:$B$22,MATCH($F4672,Mapping!$A$17:$A$22,0)),$F4672)&amp;" "&amp;IF($G4672="Banking","Banking",IFERROR(INDEX(Mapping!$E$17:$E$28,MATCH($J4672,Mapping!$D$17:$D$28,0)),"(unmapped)")))))</f>
        <v/>
      </c>
    </row>
    <row r="4673" spans="11:11" x14ac:dyDescent="0.3">
      <c r="K4673" t="str">
        <f>IF($D4673="","",IFERROR(INDEX(Mapping!$H$3:$H$32,MATCH($B4673,Mapping!$G$3:$G$32,0)),IF(LEFT($F4673,3)="P2P",IFERROR(INDEX(Mapping!$E$3:$E$6,MATCH($G4673,Mapping!$D$3:$D$6,0)),IFERROR(INDEX(Mapping!$B$3:$B$13,MATCH($J4673,Mapping!$A$3:$A$13,0)),"(unmapped)")),IFERROR(INDEX(Mapping!$B$17:$B$22,MATCH($F4673,Mapping!$A$17:$A$22,0)),$F4673)&amp;" "&amp;IF($G4673="Banking","Banking",IFERROR(INDEX(Mapping!$E$17:$E$28,MATCH($J4673,Mapping!$D$17:$D$28,0)),"(unmapped)")))))</f>
        <v/>
      </c>
    </row>
    <row r="4674" spans="11:11" x14ac:dyDescent="0.3">
      <c r="K4674" t="str">
        <f>IF($D4674="","",IFERROR(INDEX(Mapping!$H$3:$H$32,MATCH($B4674,Mapping!$G$3:$G$32,0)),IF(LEFT($F4674,3)="P2P",IFERROR(INDEX(Mapping!$E$3:$E$6,MATCH($G4674,Mapping!$D$3:$D$6,0)),IFERROR(INDEX(Mapping!$B$3:$B$13,MATCH($J4674,Mapping!$A$3:$A$13,0)),"(unmapped)")),IFERROR(INDEX(Mapping!$B$17:$B$22,MATCH($F4674,Mapping!$A$17:$A$22,0)),$F4674)&amp;" "&amp;IF($G4674="Banking","Banking",IFERROR(INDEX(Mapping!$E$17:$E$28,MATCH($J4674,Mapping!$D$17:$D$28,0)),"(unmapped)")))))</f>
        <v/>
      </c>
    </row>
    <row r="4675" spans="11:11" x14ac:dyDescent="0.3">
      <c r="K4675" t="str">
        <f>IF($D4675="","",IFERROR(INDEX(Mapping!$H$3:$H$32,MATCH($B4675,Mapping!$G$3:$G$32,0)),IF(LEFT($F4675,3)="P2P",IFERROR(INDEX(Mapping!$E$3:$E$6,MATCH($G4675,Mapping!$D$3:$D$6,0)),IFERROR(INDEX(Mapping!$B$3:$B$13,MATCH($J4675,Mapping!$A$3:$A$13,0)),"(unmapped)")),IFERROR(INDEX(Mapping!$B$17:$B$22,MATCH($F4675,Mapping!$A$17:$A$22,0)),$F4675)&amp;" "&amp;IF($G4675="Banking","Banking",IFERROR(INDEX(Mapping!$E$17:$E$28,MATCH($J4675,Mapping!$D$17:$D$28,0)),"(unmapped)")))))</f>
        <v/>
      </c>
    </row>
    <row r="4676" spans="11:11" x14ac:dyDescent="0.3">
      <c r="K4676" t="str">
        <f>IF($D4676="","",IFERROR(INDEX(Mapping!$H$3:$H$32,MATCH($B4676,Mapping!$G$3:$G$32,0)),IF(LEFT($F4676,3)="P2P",IFERROR(INDEX(Mapping!$E$3:$E$6,MATCH($G4676,Mapping!$D$3:$D$6,0)),IFERROR(INDEX(Mapping!$B$3:$B$13,MATCH($J4676,Mapping!$A$3:$A$13,0)),"(unmapped)")),IFERROR(INDEX(Mapping!$B$17:$B$22,MATCH($F4676,Mapping!$A$17:$A$22,0)),$F4676)&amp;" "&amp;IF($G4676="Banking","Banking",IFERROR(INDEX(Mapping!$E$17:$E$28,MATCH($J4676,Mapping!$D$17:$D$28,0)),"(unmapped)")))))</f>
        <v/>
      </c>
    </row>
    <row r="4677" spans="11:11" x14ac:dyDescent="0.3">
      <c r="K4677" t="str">
        <f>IF($D4677="","",IFERROR(INDEX(Mapping!$H$3:$H$32,MATCH($B4677,Mapping!$G$3:$G$32,0)),IF(LEFT($F4677,3)="P2P",IFERROR(INDEX(Mapping!$E$3:$E$6,MATCH($G4677,Mapping!$D$3:$D$6,0)),IFERROR(INDEX(Mapping!$B$3:$B$13,MATCH($J4677,Mapping!$A$3:$A$13,0)),"(unmapped)")),IFERROR(INDEX(Mapping!$B$17:$B$22,MATCH($F4677,Mapping!$A$17:$A$22,0)),$F4677)&amp;" "&amp;IF($G4677="Banking","Banking",IFERROR(INDEX(Mapping!$E$17:$E$28,MATCH($J4677,Mapping!$D$17:$D$28,0)),"(unmapped)")))))</f>
        <v/>
      </c>
    </row>
    <row r="4678" spans="11:11" x14ac:dyDescent="0.3">
      <c r="K4678" t="str">
        <f>IF($D4678="","",IFERROR(INDEX(Mapping!$H$3:$H$32,MATCH($B4678,Mapping!$G$3:$G$32,0)),IF(LEFT($F4678,3)="P2P",IFERROR(INDEX(Mapping!$E$3:$E$6,MATCH($G4678,Mapping!$D$3:$D$6,0)),IFERROR(INDEX(Mapping!$B$3:$B$13,MATCH($J4678,Mapping!$A$3:$A$13,0)),"(unmapped)")),IFERROR(INDEX(Mapping!$B$17:$B$22,MATCH($F4678,Mapping!$A$17:$A$22,0)),$F4678)&amp;" "&amp;IF($G4678="Banking","Banking",IFERROR(INDEX(Mapping!$E$17:$E$28,MATCH($J4678,Mapping!$D$17:$D$28,0)),"(unmapped)")))))</f>
        <v/>
      </c>
    </row>
    <row r="4679" spans="11:11" x14ac:dyDescent="0.3">
      <c r="K4679" t="str">
        <f>IF($D4679="","",IFERROR(INDEX(Mapping!$H$3:$H$32,MATCH($B4679,Mapping!$G$3:$G$32,0)),IF(LEFT($F4679,3)="P2P",IFERROR(INDEX(Mapping!$E$3:$E$6,MATCH($G4679,Mapping!$D$3:$D$6,0)),IFERROR(INDEX(Mapping!$B$3:$B$13,MATCH($J4679,Mapping!$A$3:$A$13,0)),"(unmapped)")),IFERROR(INDEX(Mapping!$B$17:$B$22,MATCH($F4679,Mapping!$A$17:$A$22,0)),$F4679)&amp;" "&amp;IF($G4679="Banking","Banking",IFERROR(INDEX(Mapping!$E$17:$E$28,MATCH($J4679,Mapping!$D$17:$D$28,0)),"(unmapped)")))))</f>
        <v/>
      </c>
    </row>
    <row r="4680" spans="11:11" x14ac:dyDescent="0.3">
      <c r="K4680" t="str">
        <f>IF($D4680="","",IFERROR(INDEX(Mapping!$H$3:$H$32,MATCH($B4680,Mapping!$G$3:$G$32,0)),IF(LEFT($F4680,3)="P2P",IFERROR(INDEX(Mapping!$E$3:$E$6,MATCH($G4680,Mapping!$D$3:$D$6,0)),IFERROR(INDEX(Mapping!$B$3:$B$13,MATCH($J4680,Mapping!$A$3:$A$13,0)),"(unmapped)")),IFERROR(INDEX(Mapping!$B$17:$B$22,MATCH($F4680,Mapping!$A$17:$A$22,0)),$F4680)&amp;" "&amp;IF($G4680="Banking","Banking",IFERROR(INDEX(Mapping!$E$17:$E$28,MATCH($J4680,Mapping!$D$17:$D$28,0)),"(unmapped)")))))</f>
        <v/>
      </c>
    </row>
    <row r="4681" spans="11:11" x14ac:dyDescent="0.3">
      <c r="K4681" t="str">
        <f>IF($D4681="","",IFERROR(INDEX(Mapping!$H$3:$H$32,MATCH($B4681,Mapping!$G$3:$G$32,0)),IF(LEFT($F4681,3)="P2P",IFERROR(INDEX(Mapping!$E$3:$E$6,MATCH($G4681,Mapping!$D$3:$D$6,0)),IFERROR(INDEX(Mapping!$B$3:$B$13,MATCH($J4681,Mapping!$A$3:$A$13,0)),"(unmapped)")),IFERROR(INDEX(Mapping!$B$17:$B$22,MATCH($F4681,Mapping!$A$17:$A$22,0)),$F4681)&amp;" "&amp;IF($G4681="Banking","Banking",IFERROR(INDEX(Mapping!$E$17:$E$28,MATCH($J4681,Mapping!$D$17:$D$28,0)),"(unmapped)")))))</f>
        <v/>
      </c>
    </row>
    <row r="4682" spans="11:11" x14ac:dyDescent="0.3">
      <c r="K4682" t="str">
        <f>IF($D4682="","",IFERROR(INDEX(Mapping!$H$3:$H$32,MATCH($B4682,Mapping!$G$3:$G$32,0)),IF(LEFT($F4682,3)="P2P",IFERROR(INDEX(Mapping!$E$3:$E$6,MATCH($G4682,Mapping!$D$3:$D$6,0)),IFERROR(INDEX(Mapping!$B$3:$B$13,MATCH($J4682,Mapping!$A$3:$A$13,0)),"(unmapped)")),IFERROR(INDEX(Mapping!$B$17:$B$22,MATCH($F4682,Mapping!$A$17:$A$22,0)),$F4682)&amp;" "&amp;IF($G4682="Banking","Banking",IFERROR(INDEX(Mapping!$E$17:$E$28,MATCH($J4682,Mapping!$D$17:$D$28,0)),"(unmapped)")))))</f>
        <v/>
      </c>
    </row>
    <row r="4683" spans="11:11" x14ac:dyDescent="0.3">
      <c r="K4683" t="str">
        <f>IF($D4683="","",IFERROR(INDEX(Mapping!$H$3:$H$32,MATCH($B4683,Mapping!$G$3:$G$32,0)),IF(LEFT($F4683,3)="P2P",IFERROR(INDEX(Mapping!$E$3:$E$6,MATCH($G4683,Mapping!$D$3:$D$6,0)),IFERROR(INDEX(Mapping!$B$3:$B$13,MATCH($J4683,Mapping!$A$3:$A$13,0)),"(unmapped)")),IFERROR(INDEX(Mapping!$B$17:$B$22,MATCH($F4683,Mapping!$A$17:$A$22,0)),$F4683)&amp;" "&amp;IF($G4683="Banking","Banking",IFERROR(INDEX(Mapping!$E$17:$E$28,MATCH($J4683,Mapping!$D$17:$D$28,0)),"(unmapped)")))))</f>
        <v/>
      </c>
    </row>
    <row r="4684" spans="11:11" x14ac:dyDescent="0.3">
      <c r="K4684" t="str">
        <f>IF($D4684="","",IFERROR(INDEX(Mapping!$H$3:$H$32,MATCH($B4684,Mapping!$G$3:$G$32,0)),IF(LEFT($F4684,3)="P2P",IFERROR(INDEX(Mapping!$E$3:$E$6,MATCH($G4684,Mapping!$D$3:$D$6,0)),IFERROR(INDEX(Mapping!$B$3:$B$13,MATCH($J4684,Mapping!$A$3:$A$13,0)),"(unmapped)")),IFERROR(INDEX(Mapping!$B$17:$B$22,MATCH($F4684,Mapping!$A$17:$A$22,0)),$F4684)&amp;" "&amp;IF($G4684="Banking","Banking",IFERROR(INDEX(Mapping!$E$17:$E$28,MATCH($J4684,Mapping!$D$17:$D$28,0)),"(unmapped)")))))</f>
        <v/>
      </c>
    </row>
    <row r="4685" spans="11:11" x14ac:dyDescent="0.3">
      <c r="K4685" t="str">
        <f>IF($D4685="","",IFERROR(INDEX(Mapping!$H$3:$H$32,MATCH($B4685,Mapping!$G$3:$G$32,0)),IF(LEFT($F4685,3)="P2P",IFERROR(INDEX(Mapping!$E$3:$E$6,MATCH($G4685,Mapping!$D$3:$D$6,0)),IFERROR(INDEX(Mapping!$B$3:$B$13,MATCH($J4685,Mapping!$A$3:$A$13,0)),"(unmapped)")),IFERROR(INDEX(Mapping!$B$17:$B$22,MATCH($F4685,Mapping!$A$17:$A$22,0)),$F4685)&amp;" "&amp;IF($G4685="Banking","Banking",IFERROR(INDEX(Mapping!$E$17:$E$28,MATCH($J4685,Mapping!$D$17:$D$28,0)),"(unmapped)")))))</f>
        <v/>
      </c>
    </row>
    <row r="4686" spans="11:11" x14ac:dyDescent="0.3">
      <c r="K4686" t="str">
        <f>IF($D4686="","",IFERROR(INDEX(Mapping!$H$3:$H$32,MATCH($B4686,Mapping!$G$3:$G$32,0)),IF(LEFT($F4686,3)="P2P",IFERROR(INDEX(Mapping!$E$3:$E$6,MATCH($G4686,Mapping!$D$3:$D$6,0)),IFERROR(INDEX(Mapping!$B$3:$B$13,MATCH($J4686,Mapping!$A$3:$A$13,0)),"(unmapped)")),IFERROR(INDEX(Mapping!$B$17:$B$22,MATCH($F4686,Mapping!$A$17:$A$22,0)),$F4686)&amp;" "&amp;IF($G4686="Banking","Banking",IFERROR(INDEX(Mapping!$E$17:$E$28,MATCH($J4686,Mapping!$D$17:$D$28,0)),"(unmapped)")))))</f>
        <v/>
      </c>
    </row>
    <row r="4687" spans="11:11" x14ac:dyDescent="0.3">
      <c r="K4687" t="str">
        <f>IF($D4687="","",IFERROR(INDEX(Mapping!$H$3:$H$32,MATCH($B4687,Mapping!$G$3:$G$32,0)),IF(LEFT($F4687,3)="P2P",IFERROR(INDEX(Mapping!$E$3:$E$6,MATCH($G4687,Mapping!$D$3:$D$6,0)),IFERROR(INDEX(Mapping!$B$3:$B$13,MATCH($J4687,Mapping!$A$3:$A$13,0)),"(unmapped)")),IFERROR(INDEX(Mapping!$B$17:$B$22,MATCH($F4687,Mapping!$A$17:$A$22,0)),$F4687)&amp;" "&amp;IF($G4687="Banking","Banking",IFERROR(INDEX(Mapping!$E$17:$E$28,MATCH($J4687,Mapping!$D$17:$D$28,0)),"(unmapped)")))))</f>
        <v/>
      </c>
    </row>
    <row r="4688" spans="11:11" x14ac:dyDescent="0.3">
      <c r="K4688" t="str">
        <f>IF($D4688="","",IFERROR(INDEX(Mapping!$H$3:$H$32,MATCH($B4688,Mapping!$G$3:$G$32,0)),IF(LEFT($F4688,3)="P2P",IFERROR(INDEX(Mapping!$E$3:$E$6,MATCH($G4688,Mapping!$D$3:$D$6,0)),IFERROR(INDEX(Mapping!$B$3:$B$13,MATCH($J4688,Mapping!$A$3:$A$13,0)),"(unmapped)")),IFERROR(INDEX(Mapping!$B$17:$B$22,MATCH($F4688,Mapping!$A$17:$A$22,0)),$F4688)&amp;" "&amp;IF($G4688="Banking","Banking",IFERROR(INDEX(Mapping!$E$17:$E$28,MATCH($J4688,Mapping!$D$17:$D$28,0)),"(unmapped)")))))</f>
        <v/>
      </c>
    </row>
    <row r="4689" spans="11:11" x14ac:dyDescent="0.3">
      <c r="K4689" t="str">
        <f>IF($D4689="","",IFERROR(INDEX(Mapping!$H$3:$H$32,MATCH($B4689,Mapping!$G$3:$G$32,0)),IF(LEFT($F4689,3)="P2P",IFERROR(INDEX(Mapping!$E$3:$E$6,MATCH($G4689,Mapping!$D$3:$D$6,0)),IFERROR(INDEX(Mapping!$B$3:$B$13,MATCH($J4689,Mapping!$A$3:$A$13,0)),"(unmapped)")),IFERROR(INDEX(Mapping!$B$17:$B$22,MATCH($F4689,Mapping!$A$17:$A$22,0)),$F4689)&amp;" "&amp;IF($G4689="Banking","Banking",IFERROR(INDEX(Mapping!$E$17:$E$28,MATCH($J4689,Mapping!$D$17:$D$28,0)),"(unmapped)")))))</f>
        <v/>
      </c>
    </row>
    <row r="4690" spans="11:11" x14ac:dyDescent="0.3">
      <c r="K4690" t="str">
        <f>IF($D4690="","",IFERROR(INDEX(Mapping!$H$3:$H$32,MATCH($B4690,Mapping!$G$3:$G$32,0)),IF(LEFT($F4690,3)="P2P",IFERROR(INDEX(Mapping!$E$3:$E$6,MATCH($G4690,Mapping!$D$3:$D$6,0)),IFERROR(INDEX(Mapping!$B$3:$B$13,MATCH($J4690,Mapping!$A$3:$A$13,0)),"(unmapped)")),IFERROR(INDEX(Mapping!$B$17:$B$22,MATCH($F4690,Mapping!$A$17:$A$22,0)),$F4690)&amp;" "&amp;IF($G4690="Banking","Banking",IFERROR(INDEX(Mapping!$E$17:$E$28,MATCH($J4690,Mapping!$D$17:$D$28,0)),"(unmapped)")))))</f>
        <v/>
      </c>
    </row>
    <row r="4691" spans="11:11" x14ac:dyDescent="0.3">
      <c r="K4691" t="str">
        <f>IF($D4691="","",IFERROR(INDEX(Mapping!$H$3:$H$32,MATCH($B4691,Mapping!$G$3:$G$32,0)),IF(LEFT($F4691,3)="P2P",IFERROR(INDEX(Mapping!$E$3:$E$6,MATCH($G4691,Mapping!$D$3:$D$6,0)),IFERROR(INDEX(Mapping!$B$3:$B$13,MATCH($J4691,Mapping!$A$3:$A$13,0)),"(unmapped)")),IFERROR(INDEX(Mapping!$B$17:$B$22,MATCH($F4691,Mapping!$A$17:$A$22,0)),$F4691)&amp;" "&amp;IF($G4691="Banking","Banking",IFERROR(INDEX(Mapping!$E$17:$E$28,MATCH($J4691,Mapping!$D$17:$D$28,0)),"(unmapped)")))))</f>
        <v/>
      </c>
    </row>
    <row r="4692" spans="11:11" x14ac:dyDescent="0.3">
      <c r="K4692" t="str">
        <f>IF($D4692="","",IFERROR(INDEX(Mapping!$H$3:$H$32,MATCH($B4692,Mapping!$G$3:$G$32,0)),IF(LEFT($F4692,3)="P2P",IFERROR(INDEX(Mapping!$E$3:$E$6,MATCH($G4692,Mapping!$D$3:$D$6,0)),IFERROR(INDEX(Mapping!$B$3:$B$13,MATCH($J4692,Mapping!$A$3:$A$13,0)),"(unmapped)")),IFERROR(INDEX(Mapping!$B$17:$B$22,MATCH($F4692,Mapping!$A$17:$A$22,0)),$F4692)&amp;" "&amp;IF($G4692="Banking","Banking",IFERROR(INDEX(Mapping!$E$17:$E$28,MATCH($J4692,Mapping!$D$17:$D$28,0)),"(unmapped)")))))</f>
        <v/>
      </c>
    </row>
    <row r="4693" spans="11:11" x14ac:dyDescent="0.3">
      <c r="K4693" t="str">
        <f>IF($D4693="","",IFERROR(INDEX(Mapping!$H$3:$H$32,MATCH($B4693,Mapping!$G$3:$G$32,0)),IF(LEFT($F4693,3)="P2P",IFERROR(INDEX(Mapping!$E$3:$E$6,MATCH($G4693,Mapping!$D$3:$D$6,0)),IFERROR(INDEX(Mapping!$B$3:$B$13,MATCH($J4693,Mapping!$A$3:$A$13,0)),"(unmapped)")),IFERROR(INDEX(Mapping!$B$17:$B$22,MATCH($F4693,Mapping!$A$17:$A$22,0)),$F4693)&amp;" "&amp;IF($G4693="Banking","Banking",IFERROR(INDEX(Mapping!$E$17:$E$28,MATCH($J4693,Mapping!$D$17:$D$28,0)),"(unmapped)")))))</f>
        <v/>
      </c>
    </row>
    <row r="4694" spans="11:11" x14ac:dyDescent="0.3">
      <c r="K4694" t="str">
        <f>IF($D4694="","",IFERROR(INDEX(Mapping!$H$3:$H$32,MATCH($B4694,Mapping!$G$3:$G$32,0)),IF(LEFT($F4694,3)="P2P",IFERROR(INDEX(Mapping!$E$3:$E$6,MATCH($G4694,Mapping!$D$3:$D$6,0)),IFERROR(INDEX(Mapping!$B$3:$B$13,MATCH($J4694,Mapping!$A$3:$A$13,0)),"(unmapped)")),IFERROR(INDEX(Mapping!$B$17:$B$22,MATCH($F4694,Mapping!$A$17:$A$22,0)),$F4694)&amp;" "&amp;IF($G4694="Banking","Banking",IFERROR(INDEX(Mapping!$E$17:$E$28,MATCH($J4694,Mapping!$D$17:$D$28,0)),"(unmapped)")))))</f>
        <v/>
      </c>
    </row>
    <row r="4695" spans="11:11" x14ac:dyDescent="0.3">
      <c r="K4695" t="str">
        <f>IF($D4695="","",IFERROR(INDEX(Mapping!$H$3:$H$32,MATCH($B4695,Mapping!$G$3:$G$32,0)),IF(LEFT($F4695,3)="P2P",IFERROR(INDEX(Mapping!$E$3:$E$6,MATCH($G4695,Mapping!$D$3:$D$6,0)),IFERROR(INDEX(Mapping!$B$3:$B$13,MATCH($J4695,Mapping!$A$3:$A$13,0)),"(unmapped)")),IFERROR(INDEX(Mapping!$B$17:$B$22,MATCH($F4695,Mapping!$A$17:$A$22,0)),$F4695)&amp;" "&amp;IF($G4695="Banking","Banking",IFERROR(INDEX(Mapping!$E$17:$E$28,MATCH($J4695,Mapping!$D$17:$D$28,0)),"(unmapped)")))))</f>
        <v/>
      </c>
    </row>
    <row r="4696" spans="11:11" x14ac:dyDescent="0.3">
      <c r="K4696" t="str">
        <f>IF($D4696="","",IFERROR(INDEX(Mapping!$H$3:$H$32,MATCH($B4696,Mapping!$G$3:$G$32,0)),IF(LEFT($F4696,3)="P2P",IFERROR(INDEX(Mapping!$E$3:$E$6,MATCH($G4696,Mapping!$D$3:$D$6,0)),IFERROR(INDEX(Mapping!$B$3:$B$13,MATCH($J4696,Mapping!$A$3:$A$13,0)),"(unmapped)")),IFERROR(INDEX(Mapping!$B$17:$B$22,MATCH($F4696,Mapping!$A$17:$A$22,0)),$F4696)&amp;" "&amp;IF($G4696="Banking","Banking",IFERROR(INDEX(Mapping!$E$17:$E$28,MATCH($J4696,Mapping!$D$17:$D$28,0)),"(unmapped)")))))</f>
        <v/>
      </c>
    </row>
    <row r="4697" spans="11:11" x14ac:dyDescent="0.3">
      <c r="K4697" t="str">
        <f>IF($D4697="","",IFERROR(INDEX(Mapping!$H$3:$H$32,MATCH($B4697,Mapping!$G$3:$G$32,0)),IF(LEFT($F4697,3)="P2P",IFERROR(INDEX(Mapping!$E$3:$E$6,MATCH($G4697,Mapping!$D$3:$D$6,0)),IFERROR(INDEX(Mapping!$B$3:$B$13,MATCH($J4697,Mapping!$A$3:$A$13,0)),"(unmapped)")),IFERROR(INDEX(Mapping!$B$17:$B$22,MATCH($F4697,Mapping!$A$17:$A$22,0)),$F4697)&amp;" "&amp;IF($G4697="Banking","Banking",IFERROR(INDEX(Mapping!$E$17:$E$28,MATCH($J4697,Mapping!$D$17:$D$28,0)),"(unmapped)")))))</f>
        <v/>
      </c>
    </row>
    <row r="4698" spans="11:11" x14ac:dyDescent="0.3">
      <c r="K4698" t="str">
        <f>IF($D4698="","",IFERROR(INDEX(Mapping!$H$3:$H$32,MATCH($B4698,Mapping!$G$3:$G$32,0)),IF(LEFT($F4698,3)="P2P",IFERROR(INDEX(Mapping!$E$3:$E$6,MATCH($G4698,Mapping!$D$3:$D$6,0)),IFERROR(INDEX(Mapping!$B$3:$B$13,MATCH($J4698,Mapping!$A$3:$A$13,0)),"(unmapped)")),IFERROR(INDEX(Mapping!$B$17:$B$22,MATCH($F4698,Mapping!$A$17:$A$22,0)),$F4698)&amp;" "&amp;IF($G4698="Banking","Banking",IFERROR(INDEX(Mapping!$E$17:$E$28,MATCH($J4698,Mapping!$D$17:$D$28,0)),"(unmapped)")))))</f>
        <v/>
      </c>
    </row>
    <row r="4699" spans="11:11" x14ac:dyDescent="0.3">
      <c r="K4699" t="str">
        <f>IF($D4699="","",IFERROR(INDEX(Mapping!$H$3:$H$32,MATCH($B4699,Mapping!$G$3:$G$32,0)),IF(LEFT($F4699,3)="P2P",IFERROR(INDEX(Mapping!$E$3:$E$6,MATCH($G4699,Mapping!$D$3:$D$6,0)),IFERROR(INDEX(Mapping!$B$3:$B$13,MATCH($J4699,Mapping!$A$3:$A$13,0)),"(unmapped)")),IFERROR(INDEX(Mapping!$B$17:$B$22,MATCH($F4699,Mapping!$A$17:$A$22,0)),$F4699)&amp;" "&amp;IF($G4699="Banking","Banking",IFERROR(INDEX(Mapping!$E$17:$E$28,MATCH($J4699,Mapping!$D$17:$D$28,0)),"(unmapped)")))))</f>
        <v/>
      </c>
    </row>
    <row r="4700" spans="11:11" x14ac:dyDescent="0.3">
      <c r="K4700" t="str">
        <f>IF($D4700="","",IFERROR(INDEX(Mapping!$H$3:$H$32,MATCH($B4700,Mapping!$G$3:$G$32,0)),IF(LEFT($F4700,3)="P2P",IFERROR(INDEX(Mapping!$E$3:$E$6,MATCH($G4700,Mapping!$D$3:$D$6,0)),IFERROR(INDEX(Mapping!$B$3:$B$13,MATCH($J4700,Mapping!$A$3:$A$13,0)),"(unmapped)")),IFERROR(INDEX(Mapping!$B$17:$B$22,MATCH($F4700,Mapping!$A$17:$A$22,0)),$F4700)&amp;" "&amp;IF($G4700="Banking","Banking",IFERROR(INDEX(Mapping!$E$17:$E$28,MATCH($J4700,Mapping!$D$17:$D$28,0)),"(unmapped)")))))</f>
        <v/>
      </c>
    </row>
    <row r="4701" spans="11:11" x14ac:dyDescent="0.3">
      <c r="K4701" t="str">
        <f>IF($D4701="","",IFERROR(INDEX(Mapping!$H$3:$H$32,MATCH($B4701,Mapping!$G$3:$G$32,0)),IF(LEFT($F4701,3)="P2P",IFERROR(INDEX(Mapping!$E$3:$E$6,MATCH($G4701,Mapping!$D$3:$D$6,0)),IFERROR(INDEX(Mapping!$B$3:$B$13,MATCH($J4701,Mapping!$A$3:$A$13,0)),"(unmapped)")),IFERROR(INDEX(Mapping!$B$17:$B$22,MATCH($F4701,Mapping!$A$17:$A$22,0)),$F4701)&amp;" "&amp;IF($G4701="Banking","Banking",IFERROR(INDEX(Mapping!$E$17:$E$28,MATCH($J4701,Mapping!$D$17:$D$28,0)),"(unmapped)")))))</f>
        <v/>
      </c>
    </row>
    <row r="4702" spans="11:11" x14ac:dyDescent="0.3">
      <c r="K4702" t="str">
        <f>IF($D4702="","",IFERROR(INDEX(Mapping!$H$3:$H$32,MATCH($B4702,Mapping!$G$3:$G$32,0)),IF(LEFT($F4702,3)="P2P",IFERROR(INDEX(Mapping!$E$3:$E$6,MATCH($G4702,Mapping!$D$3:$D$6,0)),IFERROR(INDEX(Mapping!$B$3:$B$13,MATCH($J4702,Mapping!$A$3:$A$13,0)),"(unmapped)")),IFERROR(INDEX(Mapping!$B$17:$B$22,MATCH($F4702,Mapping!$A$17:$A$22,0)),$F4702)&amp;" "&amp;IF($G4702="Banking","Banking",IFERROR(INDEX(Mapping!$E$17:$E$28,MATCH($J4702,Mapping!$D$17:$D$28,0)),"(unmapped)")))))</f>
        <v/>
      </c>
    </row>
    <row r="4703" spans="11:11" x14ac:dyDescent="0.3">
      <c r="K4703" t="str">
        <f>IF($D4703="","",IFERROR(INDEX(Mapping!$H$3:$H$32,MATCH($B4703,Mapping!$G$3:$G$32,0)),IF(LEFT($F4703,3)="P2P",IFERROR(INDEX(Mapping!$E$3:$E$6,MATCH($G4703,Mapping!$D$3:$D$6,0)),IFERROR(INDEX(Mapping!$B$3:$B$13,MATCH($J4703,Mapping!$A$3:$A$13,0)),"(unmapped)")),IFERROR(INDEX(Mapping!$B$17:$B$22,MATCH($F4703,Mapping!$A$17:$A$22,0)),$F4703)&amp;" "&amp;IF($G4703="Banking","Banking",IFERROR(INDEX(Mapping!$E$17:$E$28,MATCH($J4703,Mapping!$D$17:$D$28,0)),"(unmapped)")))))</f>
        <v/>
      </c>
    </row>
    <row r="4704" spans="11:11" x14ac:dyDescent="0.3">
      <c r="K4704" t="str">
        <f>IF($D4704="","",IFERROR(INDEX(Mapping!$H$3:$H$32,MATCH($B4704,Mapping!$G$3:$G$32,0)),IF(LEFT($F4704,3)="P2P",IFERROR(INDEX(Mapping!$E$3:$E$6,MATCH($G4704,Mapping!$D$3:$D$6,0)),IFERROR(INDEX(Mapping!$B$3:$B$13,MATCH($J4704,Mapping!$A$3:$A$13,0)),"(unmapped)")),IFERROR(INDEX(Mapping!$B$17:$B$22,MATCH($F4704,Mapping!$A$17:$A$22,0)),$F4704)&amp;" "&amp;IF($G4704="Banking","Banking",IFERROR(INDEX(Mapping!$E$17:$E$28,MATCH($J4704,Mapping!$D$17:$D$28,0)),"(unmapped)")))))</f>
        <v/>
      </c>
    </row>
    <row r="4705" spans="11:11" x14ac:dyDescent="0.3">
      <c r="K4705" t="str">
        <f>IF($D4705="","",IFERROR(INDEX(Mapping!$H$3:$H$32,MATCH($B4705,Mapping!$G$3:$G$32,0)),IF(LEFT($F4705,3)="P2P",IFERROR(INDEX(Mapping!$E$3:$E$6,MATCH($G4705,Mapping!$D$3:$D$6,0)),IFERROR(INDEX(Mapping!$B$3:$B$13,MATCH($J4705,Mapping!$A$3:$A$13,0)),"(unmapped)")),IFERROR(INDEX(Mapping!$B$17:$B$22,MATCH($F4705,Mapping!$A$17:$A$22,0)),$F4705)&amp;" "&amp;IF($G4705="Banking","Banking",IFERROR(INDEX(Mapping!$E$17:$E$28,MATCH($J4705,Mapping!$D$17:$D$28,0)),"(unmapped)")))))</f>
        <v/>
      </c>
    </row>
    <row r="4706" spans="11:11" x14ac:dyDescent="0.3">
      <c r="K4706" t="str">
        <f>IF($D4706="","",IFERROR(INDEX(Mapping!$H$3:$H$32,MATCH($B4706,Mapping!$G$3:$G$32,0)),IF(LEFT($F4706,3)="P2P",IFERROR(INDEX(Mapping!$E$3:$E$6,MATCH($G4706,Mapping!$D$3:$D$6,0)),IFERROR(INDEX(Mapping!$B$3:$B$13,MATCH($J4706,Mapping!$A$3:$A$13,0)),"(unmapped)")),IFERROR(INDEX(Mapping!$B$17:$B$22,MATCH($F4706,Mapping!$A$17:$A$22,0)),$F4706)&amp;" "&amp;IF($G4706="Banking","Banking",IFERROR(INDEX(Mapping!$E$17:$E$28,MATCH($J4706,Mapping!$D$17:$D$28,0)),"(unmapped)")))))</f>
        <v/>
      </c>
    </row>
    <row r="4707" spans="11:11" x14ac:dyDescent="0.3">
      <c r="K4707" t="str">
        <f>IF($D4707="","",IFERROR(INDEX(Mapping!$H$3:$H$32,MATCH($B4707,Mapping!$G$3:$G$32,0)),IF(LEFT($F4707,3)="P2P",IFERROR(INDEX(Mapping!$E$3:$E$6,MATCH($G4707,Mapping!$D$3:$D$6,0)),IFERROR(INDEX(Mapping!$B$3:$B$13,MATCH($J4707,Mapping!$A$3:$A$13,0)),"(unmapped)")),IFERROR(INDEX(Mapping!$B$17:$B$22,MATCH($F4707,Mapping!$A$17:$A$22,0)),$F4707)&amp;" "&amp;IF($G4707="Banking","Banking",IFERROR(INDEX(Mapping!$E$17:$E$28,MATCH($J4707,Mapping!$D$17:$D$28,0)),"(unmapped)")))))</f>
        <v/>
      </c>
    </row>
    <row r="4708" spans="11:11" x14ac:dyDescent="0.3">
      <c r="K4708" t="str">
        <f>IF($D4708="","",IFERROR(INDEX(Mapping!$H$3:$H$32,MATCH($B4708,Mapping!$G$3:$G$32,0)),IF(LEFT($F4708,3)="P2P",IFERROR(INDEX(Mapping!$E$3:$E$6,MATCH($G4708,Mapping!$D$3:$D$6,0)),IFERROR(INDEX(Mapping!$B$3:$B$13,MATCH($J4708,Mapping!$A$3:$A$13,0)),"(unmapped)")),IFERROR(INDEX(Mapping!$B$17:$B$22,MATCH($F4708,Mapping!$A$17:$A$22,0)),$F4708)&amp;" "&amp;IF($G4708="Banking","Banking",IFERROR(INDEX(Mapping!$E$17:$E$28,MATCH($J4708,Mapping!$D$17:$D$28,0)),"(unmapped)")))))</f>
        <v/>
      </c>
    </row>
    <row r="4709" spans="11:11" x14ac:dyDescent="0.3">
      <c r="K4709" t="str">
        <f>IF($D4709="","",IFERROR(INDEX(Mapping!$H$3:$H$32,MATCH($B4709,Mapping!$G$3:$G$32,0)),IF(LEFT($F4709,3)="P2P",IFERROR(INDEX(Mapping!$E$3:$E$6,MATCH($G4709,Mapping!$D$3:$D$6,0)),IFERROR(INDEX(Mapping!$B$3:$B$13,MATCH($J4709,Mapping!$A$3:$A$13,0)),"(unmapped)")),IFERROR(INDEX(Mapping!$B$17:$B$22,MATCH($F4709,Mapping!$A$17:$A$22,0)),$F4709)&amp;" "&amp;IF($G4709="Banking","Banking",IFERROR(INDEX(Mapping!$E$17:$E$28,MATCH($J4709,Mapping!$D$17:$D$28,0)),"(unmapped)")))))</f>
        <v/>
      </c>
    </row>
    <row r="4710" spans="11:11" x14ac:dyDescent="0.3">
      <c r="K4710" t="str">
        <f>IF($D4710="","",IFERROR(INDEX(Mapping!$H$3:$H$32,MATCH($B4710,Mapping!$G$3:$G$32,0)),IF(LEFT($F4710,3)="P2P",IFERROR(INDEX(Mapping!$E$3:$E$6,MATCH($G4710,Mapping!$D$3:$D$6,0)),IFERROR(INDEX(Mapping!$B$3:$B$13,MATCH($J4710,Mapping!$A$3:$A$13,0)),"(unmapped)")),IFERROR(INDEX(Mapping!$B$17:$B$22,MATCH($F4710,Mapping!$A$17:$A$22,0)),$F4710)&amp;" "&amp;IF($G4710="Banking","Banking",IFERROR(INDEX(Mapping!$E$17:$E$28,MATCH($J4710,Mapping!$D$17:$D$28,0)),"(unmapped)")))))</f>
        <v/>
      </c>
    </row>
    <row r="4711" spans="11:11" x14ac:dyDescent="0.3">
      <c r="K4711" t="str">
        <f>IF($D4711="","",IFERROR(INDEX(Mapping!$H$3:$H$32,MATCH($B4711,Mapping!$G$3:$G$32,0)),IF(LEFT($F4711,3)="P2P",IFERROR(INDEX(Mapping!$E$3:$E$6,MATCH($G4711,Mapping!$D$3:$D$6,0)),IFERROR(INDEX(Mapping!$B$3:$B$13,MATCH($J4711,Mapping!$A$3:$A$13,0)),"(unmapped)")),IFERROR(INDEX(Mapping!$B$17:$B$22,MATCH($F4711,Mapping!$A$17:$A$22,0)),$F4711)&amp;" "&amp;IF($G4711="Banking","Banking",IFERROR(INDEX(Mapping!$E$17:$E$28,MATCH($J4711,Mapping!$D$17:$D$28,0)),"(unmapped)")))))</f>
        <v/>
      </c>
    </row>
    <row r="4712" spans="11:11" x14ac:dyDescent="0.3">
      <c r="K4712" t="str">
        <f>IF($D4712="","",IFERROR(INDEX(Mapping!$H$3:$H$32,MATCH($B4712,Mapping!$G$3:$G$32,0)),IF(LEFT($F4712,3)="P2P",IFERROR(INDEX(Mapping!$E$3:$E$6,MATCH($G4712,Mapping!$D$3:$D$6,0)),IFERROR(INDEX(Mapping!$B$3:$B$13,MATCH($J4712,Mapping!$A$3:$A$13,0)),"(unmapped)")),IFERROR(INDEX(Mapping!$B$17:$B$22,MATCH($F4712,Mapping!$A$17:$A$22,0)),$F4712)&amp;" "&amp;IF($G4712="Banking","Banking",IFERROR(INDEX(Mapping!$E$17:$E$28,MATCH($J4712,Mapping!$D$17:$D$28,0)),"(unmapped)")))))</f>
        <v/>
      </c>
    </row>
    <row r="4713" spans="11:11" x14ac:dyDescent="0.3">
      <c r="K4713" t="str">
        <f>IF($D4713="","",IFERROR(INDEX(Mapping!$H$3:$H$32,MATCH($B4713,Mapping!$G$3:$G$32,0)),IF(LEFT($F4713,3)="P2P",IFERROR(INDEX(Mapping!$E$3:$E$6,MATCH($G4713,Mapping!$D$3:$D$6,0)),IFERROR(INDEX(Mapping!$B$3:$B$13,MATCH($J4713,Mapping!$A$3:$A$13,0)),"(unmapped)")),IFERROR(INDEX(Mapping!$B$17:$B$22,MATCH($F4713,Mapping!$A$17:$A$22,0)),$F4713)&amp;" "&amp;IF($G4713="Banking","Banking",IFERROR(INDEX(Mapping!$E$17:$E$28,MATCH($J4713,Mapping!$D$17:$D$28,0)),"(unmapped)")))))</f>
        <v/>
      </c>
    </row>
    <row r="4714" spans="11:11" x14ac:dyDescent="0.3">
      <c r="K4714" t="str">
        <f>IF($D4714="","",IFERROR(INDEX(Mapping!$H$3:$H$32,MATCH($B4714,Mapping!$G$3:$G$32,0)),IF(LEFT($F4714,3)="P2P",IFERROR(INDEX(Mapping!$E$3:$E$6,MATCH($G4714,Mapping!$D$3:$D$6,0)),IFERROR(INDEX(Mapping!$B$3:$B$13,MATCH($J4714,Mapping!$A$3:$A$13,0)),"(unmapped)")),IFERROR(INDEX(Mapping!$B$17:$B$22,MATCH($F4714,Mapping!$A$17:$A$22,0)),$F4714)&amp;" "&amp;IF($G4714="Banking","Banking",IFERROR(INDEX(Mapping!$E$17:$E$28,MATCH($J4714,Mapping!$D$17:$D$28,0)),"(unmapped)")))))</f>
        <v/>
      </c>
    </row>
    <row r="4715" spans="11:11" x14ac:dyDescent="0.3">
      <c r="K4715" t="str">
        <f>IF($D4715="","",IFERROR(INDEX(Mapping!$H$3:$H$32,MATCH($B4715,Mapping!$G$3:$G$32,0)),IF(LEFT($F4715,3)="P2P",IFERROR(INDEX(Mapping!$E$3:$E$6,MATCH($G4715,Mapping!$D$3:$D$6,0)),IFERROR(INDEX(Mapping!$B$3:$B$13,MATCH($J4715,Mapping!$A$3:$A$13,0)),"(unmapped)")),IFERROR(INDEX(Mapping!$B$17:$B$22,MATCH($F4715,Mapping!$A$17:$A$22,0)),$F4715)&amp;" "&amp;IF($G4715="Banking","Banking",IFERROR(INDEX(Mapping!$E$17:$E$28,MATCH($J4715,Mapping!$D$17:$D$28,0)),"(unmapped)")))))</f>
        <v/>
      </c>
    </row>
    <row r="4716" spans="11:11" x14ac:dyDescent="0.3">
      <c r="K4716" t="str">
        <f>IF($D4716="","",IFERROR(INDEX(Mapping!$H$3:$H$32,MATCH($B4716,Mapping!$G$3:$G$32,0)),IF(LEFT($F4716,3)="P2P",IFERROR(INDEX(Mapping!$E$3:$E$6,MATCH($G4716,Mapping!$D$3:$D$6,0)),IFERROR(INDEX(Mapping!$B$3:$B$13,MATCH($J4716,Mapping!$A$3:$A$13,0)),"(unmapped)")),IFERROR(INDEX(Mapping!$B$17:$B$22,MATCH($F4716,Mapping!$A$17:$A$22,0)),$F4716)&amp;" "&amp;IF($G4716="Banking","Banking",IFERROR(INDEX(Mapping!$E$17:$E$28,MATCH($J4716,Mapping!$D$17:$D$28,0)),"(unmapped)")))))</f>
        <v/>
      </c>
    </row>
    <row r="4717" spans="11:11" x14ac:dyDescent="0.3">
      <c r="K4717" t="str">
        <f>IF($D4717="","",IFERROR(INDEX(Mapping!$H$3:$H$32,MATCH($B4717,Mapping!$G$3:$G$32,0)),IF(LEFT($F4717,3)="P2P",IFERROR(INDEX(Mapping!$E$3:$E$6,MATCH($G4717,Mapping!$D$3:$D$6,0)),IFERROR(INDEX(Mapping!$B$3:$B$13,MATCH($J4717,Mapping!$A$3:$A$13,0)),"(unmapped)")),IFERROR(INDEX(Mapping!$B$17:$B$22,MATCH($F4717,Mapping!$A$17:$A$22,0)),$F4717)&amp;" "&amp;IF($G4717="Banking","Banking",IFERROR(INDEX(Mapping!$E$17:$E$28,MATCH($J4717,Mapping!$D$17:$D$28,0)),"(unmapped)")))))</f>
        <v/>
      </c>
    </row>
    <row r="4718" spans="11:11" x14ac:dyDescent="0.3">
      <c r="K4718" t="str">
        <f>IF($D4718="","",IFERROR(INDEX(Mapping!$H$3:$H$32,MATCH($B4718,Mapping!$G$3:$G$32,0)),IF(LEFT($F4718,3)="P2P",IFERROR(INDEX(Mapping!$E$3:$E$6,MATCH($G4718,Mapping!$D$3:$D$6,0)),IFERROR(INDEX(Mapping!$B$3:$B$13,MATCH($J4718,Mapping!$A$3:$A$13,0)),"(unmapped)")),IFERROR(INDEX(Mapping!$B$17:$B$22,MATCH($F4718,Mapping!$A$17:$A$22,0)),$F4718)&amp;" "&amp;IF($G4718="Banking","Banking",IFERROR(INDEX(Mapping!$E$17:$E$28,MATCH($J4718,Mapping!$D$17:$D$28,0)),"(unmapped)")))))</f>
        <v/>
      </c>
    </row>
    <row r="4719" spans="11:11" x14ac:dyDescent="0.3">
      <c r="K4719" t="str">
        <f>IF($D4719="","",IFERROR(INDEX(Mapping!$H$3:$H$32,MATCH($B4719,Mapping!$G$3:$G$32,0)),IF(LEFT($F4719,3)="P2P",IFERROR(INDEX(Mapping!$E$3:$E$6,MATCH($G4719,Mapping!$D$3:$D$6,0)),IFERROR(INDEX(Mapping!$B$3:$B$13,MATCH($J4719,Mapping!$A$3:$A$13,0)),"(unmapped)")),IFERROR(INDEX(Mapping!$B$17:$B$22,MATCH($F4719,Mapping!$A$17:$A$22,0)),$F4719)&amp;" "&amp;IF($G4719="Banking","Banking",IFERROR(INDEX(Mapping!$E$17:$E$28,MATCH($J4719,Mapping!$D$17:$D$28,0)),"(unmapped)")))))</f>
        <v/>
      </c>
    </row>
    <row r="4720" spans="11:11" x14ac:dyDescent="0.3">
      <c r="K4720" t="str">
        <f>IF($D4720="","",IFERROR(INDEX(Mapping!$H$3:$H$32,MATCH($B4720,Mapping!$G$3:$G$32,0)),IF(LEFT($F4720,3)="P2P",IFERROR(INDEX(Mapping!$E$3:$E$6,MATCH($G4720,Mapping!$D$3:$D$6,0)),IFERROR(INDEX(Mapping!$B$3:$B$13,MATCH($J4720,Mapping!$A$3:$A$13,0)),"(unmapped)")),IFERROR(INDEX(Mapping!$B$17:$B$22,MATCH($F4720,Mapping!$A$17:$A$22,0)),$F4720)&amp;" "&amp;IF($G4720="Banking","Banking",IFERROR(INDEX(Mapping!$E$17:$E$28,MATCH($J4720,Mapping!$D$17:$D$28,0)),"(unmapped)")))))</f>
        <v/>
      </c>
    </row>
    <row r="4721" spans="11:11" x14ac:dyDescent="0.3">
      <c r="K4721" t="str">
        <f>IF($D4721="","",IFERROR(INDEX(Mapping!$H$3:$H$32,MATCH($B4721,Mapping!$G$3:$G$32,0)),IF(LEFT($F4721,3)="P2P",IFERROR(INDEX(Mapping!$E$3:$E$6,MATCH($G4721,Mapping!$D$3:$D$6,0)),IFERROR(INDEX(Mapping!$B$3:$B$13,MATCH($J4721,Mapping!$A$3:$A$13,0)),"(unmapped)")),IFERROR(INDEX(Mapping!$B$17:$B$22,MATCH($F4721,Mapping!$A$17:$A$22,0)),$F4721)&amp;" "&amp;IF($G4721="Banking","Banking",IFERROR(INDEX(Mapping!$E$17:$E$28,MATCH($J4721,Mapping!$D$17:$D$28,0)),"(unmapped)")))))</f>
        <v/>
      </c>
    </row>
    <row r="4722" spans="11:11" x14ac:dyDescent="0.3">
      <c r="K4722" t="str">
        <f>IF($D4722="","",IFERROR(INDEX(Mapping!$H$3:$H$32,MATCH($B4722,Mapping!$G$3:$G$32,0)),IF(LEFT($F4722,3)="P2P",IFERROR(INDEX(Mapping!$E$3:$E$6,MATCH($G4722,Mapping!$D$3:$D$6,0)),IFERROR(INDEX(Mapping!$B$3:$B$13,MATCH($J4722,Mapping!$A$3:$A$13,0)),"(unmapped)")),IFERROR(INDEX(Mapping!$B$17:$B$22,MATCH($F4722,Mapping!$A$17:$A$22,0)),$F4722)&amp;" "&amp;IF($G4722="Banking","Banking",IFERROR(INDEX(Mapping!$E$17:$E$28,MATCH($J4722,Mapping!$D$17:$D$28,0)),"(unmapped)")))))</f>
        <v/>
      </c>
    </row>
    <row r="4723" spans="11:11" x14ac:dyDescent="0.3">
      <c r="K4723" t="str">
        <f>IF($D4723="","",IFERROR(INDEX(Mapping!$H$3:$H$32,MATCH($B4723,Mapping!$G$3:$G$32,0)),IF(LEFT($F4723,3)="P2P",IFERROR(INDEX(Mapping!$E$3:$E$6,MATCH($G4723,Mapping!$D$3:$D$6,0)),IFERROR(INDEX(Mapping!$B$3:$B$13,MATCH($J4723,Mapping!$A$3:$A$13,0)),"(unmapped)")),IFERROR(INDEX(Mapping!$B$17:$B$22,MATCH($F4723,Mapping!$A$17:$A$22,0)),$F4723)&amp;" "&amp;IF($G4723="Banking","Banking",IFERROR(INDEX(Mapping!$E$17:$E$28,MATCH($J4723,Mapping!$D$17:$D$28,0)),"(unmapped)")))))</f>
        <v/>
      </c>
    </row>
    <row r="4724" spans="11:11" x14ac:dyDescent="0.3">
      <c r="K4724" t="str">
        <f>IF($D4724="","",IFERROR(INDEX(Mapping!$H$3:$H$32,MATCH($B4724,Mapping!$G$3:$G$32,0)),IF(LEFT($F4724,3)="P2P",IFERROR(INDEX(Mapping!$E$3:$E$6,MATCH($G4724,Mapping!$D$3:$D$6,0)),IFERROR(INDEX(Mapping!$B$3:$B$13,MATCH($J4724,Mapping!$A$3:$A$13,0)),"(unmapped)")),IFERROR(INDEX(Mapping!$B$17:$B$22,MATCH($F4724,Mapping!$A$17:$A$22,0)),$F4724)&amp;" "&amp;IF($G4724="Banking","Banking",IFERROR(INDEX(Mapping!$E$17:$E$28,MATCH($J4724,Mapping!$D$17:$D$28,0)),"(unmapped)")))))</f>
        <v/>
      </c>
    </row>
    <row r="4725" spans="11:11" x14ac:dyDescent="0.3">
      <c r="K4725" t="str">
        <f>IF($D4725="","",IFERROR(INDEX(Mapping!$H$3:$H$32,MATCH($B4725,Mapping!$G$3:$G$32,0)),IF(LEFT($F4725,3)="P2P",IFERROR(INDEX(Mapping!$E$3:$E$6,MATCH($G4725,Mapping!$D$3:$D$6,0)),IFERROR(INDEX(Mapping!$B$3:$B$13,MATCH($J4725,Mapping!$A$3:$A$13,0)),"(unmapped)")),IFERROR(INDEX(Mapping!$B$17:$B$22,MATCH($F4725,Mapping!$A$17:$A$22,0)),$F4725)&amp;" "&amp;IF($G4725="Banking","Banking",IFERROR(INDEX(Mapping!$E$17:$E$28,MATCH($J4725,Mapping!$D$17:$D$28,0)),"(unmapped)")))))</f>
        <v/>
      </c>
    </row>
    <row r="4726" spans="11:11" x14ac:dyDescent="0.3">
      <c r="K4726" t="str">
        <f>IF($D4726="","",IFERROR(INDEX(Mapping!$H$3:$H$32,MATCH($B4726,Mapping!$G$3:$G$32,0)),IF(LEFT($F4726,3)="P2P",IFERROR(INDEX(Mapping!$E$3:$E$6,MATCH($G4726,Mapping!$D$3:$D$6,0)),IFERROR(INDEX(Mapping!$B$3:$B$13,MATCH($J4726,Mapping!$A$3:$A$13,0)),"(unmapped)")),IFERROR(INDEX(Mapping!$B$17:$B$22,MATCH($F4726,Mapping!$A$17:$A$22,0)),$F4726)&amp;" "&amp;IF($G4726="Banking","Banking",IFERROR(INDEX(Mapping!$E$17:$E$28,MATCH($J4726,Mapping!$D$17:$D$28,0)),"(unmapped)")))))</f>
        <v/>
      </c>
    </row>
    <row r="4727" spans="11:11" x14ac:dyDescent="0.3">
      <c r="K4727" t="str">
        <f>IF($D4727="","",IFERROR(INDEX(Mapping!$H$3:$H$32,MATCH($B4727,Mapping!$G$3:$G$32,0)),IF(LEFT($F4727,3)="P2P",IFERROR(INDEX(Mapping!$E$3:$E$6,MATCH($G4727,Mapping!$D$3:$D$6,0)),IFERROR(INDEX(Mapping!$B$3:$B$13,MATCH($J4727,Mapping!$A$3:$A$13,0)),"(unmapped)")),IFERROR(INDEX(Mapping!$B$17:$B$22,MATCH($F4727,Mapping!$A$17:$A$22,0)),$F4727)&amp;" "&amp;IF($G4727="Banking","Banking",IFERROR(INDEX(Mapping!$E$17:$E$28,MATCH($J4727,Mapping!$D$17:$D$28,0)),"(unmapped)")))))</f>
        <v/>
      </c>
    </row>
    <row r="4728" spans="11:11" x14ac:dyDescent="0.3">
      <c r="K4728" t="str">
        <f>IF($D4728="","",IFERROR(INDEX(Mapping!$H$3:$H$32,MATCH($B4728,Mapping!$G$3:$G$32,0)),IF(LEFT($F4728,3)="P2P",IFERROR(INDEX(Mapping!$E$3:$E$6,MATCH($G4728,Mapping!$D$3:$D$6,0)),IFERROR(INDEX(Mapping!$B$3:$B$13,MATCH($J4728,Mapping!$A$3:$A$13,0)),"(unmapped)")),IFERROR(INDEX(Mapping!$B$17:$B$22,MATCH($F4728,Mapping!$A$17:$A$22,0)),$F4728)&amp;" "&amp;IF($G4728="Banking","Banking",IFERROR(INDEX(Mapping!$E$17:$E$28,MATCH($J4728,Mapping!$D$17:$D$28,0)),"(unmapped)")))))</f>
        <v/>
      </c>
    </row>
    <row r="4729" spans="11:11" x14ac:dyDescent="0.3">
      <c r="K4729" t="str">
        <f>IF($D4729="","",IFERROR(INDEX(Mapping!$H$3:$H$32,MATCH($B4729,Mapping!$G$3:$G$32,0)),IF(LEFT($F4729,3)="P2P",IFERROR(INDEX(Mapping!$E$3:$E$6,MATCH($G4729,Mapping!$D$3:$D$6,0)),IFERROR(INDEX(Mapping!$B$3:$B$13,MATCH($J4729,Mapping!$A$3:$A$13,0)),"(unmapped)")),IFERROR(INDEX(Mapping!$B$17:$B$22,MATCH($F4729,Mapping!$A$17:$A$22,0)),$F4729)&amp;" "&amp;IF($G4729="Banking","Banking",IFERROR(INDEX(Mapping!$E$17:$E$28,MATCH($J4729,Mapping!$D$17:$D$28,0)),"(unmapped)")))))</f>
        <v/>
      </c>
    </row>
    <row r="4730" spans="11:11" x14ac:dyDescent="0.3">
      <c r="K4730" t="str">
        <f>IF($D4730="","",IFERROR(INDEX(Mapping!$H$3:$H$32,MATCH($B4730,Mapping!$G$3:$G$32,0)),IF(LEFT($F4730,3)="P2P",IFERROR(INDEX(Mapping!$E$3:$E$6,MATCH($G4730,Mapping!$D$3:$D$6,0)),IFERROR(INDEX(Mapping!$B$3:$B$13,MATCH($J4730,Mapping!$A$3:$A$13,0)),"(unmapped)")),IFERROR(INDEX(Mapping!$B$17:$B$22,MATCH($F4730,Mapping!$A$17:$A$22,0)),$F4730)&amp;" "&amp;IF($G4730="Banking","Banking",IFERROR(INDEX(Mapping!$E$17:$E$28,MATCH($J4730,Mapping!$D$17:$D$28,0)),"(unmapped)")))))</f>
        <v/>
      </c>
    </row>
    <row r="4731" spans="11:11" x14ac:dyDescent="0.3">
      <c r="K4731" t="str">
        <f>IF($D4731="","",IFERROR(INDEX(Mapping!$H$3:$H$32,MATCH($B4731,Mapping!$G$3:$G$32,0)),IF(LEFT($F4731,3)="P2P",IFERROR(INDEX(Mapping!$E$3:$E$6,MATCH($G4731,Mapping!$D$3:$D$6,0)),IFERROR(INDEX(Mapping!$B$3:$B$13,MATCH($J4731,Mapping!$A$3:$A$13,0)),"(unmapped)")),IFERROR(INDEX(Mapping!$B$17:$B$22,MATCH($F4731,Mapping!$A$17:$A$22,0)),$F4731)&amp;" "&amp;IF($G4731="Banking","Banking",IFERROR(INDEX(Mapping!$E$17:$E$28,MATCH($J4731,Mapping!$D$17:$D$28,0)),"(unmapped)")))))</f>
        <v/>
      </c>
    </row>
    <row r="4732" spans="11:11" x14ac:dyDescent="0.3">
      <c r="K4732" t="str">
        <f>IF($D4732="","",IFERROR(INDEX(Mapping!$H$3:$H$32,MATCH($B4732,Mapping!$G$3:$G$32,0)),IF(LEFT($F4732,3)="P2P",IFERROR(INDEX(Mapping!$E$3:$E$6,MATCH($G4732,Mapping!$D$3:$D$6,0)),IFERROR(INDEX(Mapping!$B$3:$B$13,MATCH($J4732,Mapping!$A$3:$A$13,0)),"(unmapped)")),IFERROR(INDEX(Mapping!$B$17:$B$22,MATCH($F4732,Mapping!$A$17:$A$22,0)),$F4732)&amp;" "&amp;IF($G4732="Banking","Banking",IFERROR(INDEX(Mapping!$E$17:$E$28,MATCH($J4732,Mapping!$D$17:$D$28,0)),"(unmapped)")))))</f>
        <v/>
      </c>
    </row>
    <row r="4733" spans="11:11" x14ac:dyDescent="0.3">
      <c r="K4733" t="str">
        <f>IF($D4733="","",IFERROR(INDEX(Mapping!$H$3:$H$32,MATCH($B4733,Mapping!$G$3:$G$32,0)),IF(LEFT($F4733,3)="P2P",IFERROR(INDEX(Mapping!$E$3:$E$6,MATCH($G4733,Mapping!$D$3:$D$6,0)),IFERROR(INDEX(Mapping!$B$3:$B$13,MATCH($J4733,Mapping!$A$3:$A$13,0)),"(unmapped)")),IFERROR(INDEX(Mapping!$B$17:$B$22,MATCH($F4733,Mapping!$A$17:$A$22,0)),$F4733)&amp;" "&amp;IF($G4733="Banking","Banking",IFERROR(INDEX(Mapping!$E$17:$E$28,MATCH($J4733,Mapping!$D$17:$D$28,0)),"(unmapped)")))))</f>
        <v/>
      </c>
    </row>
    <row r="4734" spans="11:11" x14ac:dyDescent="0.3">
      <c r="K4734" t="str">
        <f>IF($D4734="","",IFERROR(INDEX(Mapping!$H$3:$H$32,MATCH($B4734,Mapping!$G$3:$G$32,0)),IF(LEFT($F4734,3)="P2P",IFERROR(INDEX(Mapping!$E$3:$E$6,MATCH($G4734,Mapping!$D$3:$D$6,0)),IFERROR(INDEX(Mapping!$B$3:$B$13,MATCH($J4734,Mapping!$A$3:$A$13,0)),"(unmapped)")),IFERROR(INDEX(Mapping!$B$17:$B$22,MATCH($F4734,Mapping!$A$17:$A$22,0)),$F4734)&amp;" "&amp;IF($G4734="Banking","Banking",IFERROR(INDEX(Mapping!$E$17:$E$28,MATCH($J4734,Mapping!$D$17:$D$28,0)),"(unmapped)")))))</f>
        <v/>
      </c>
    </row>
    <row r="4735" spans="11:11" x14ac:dyDescent="0.3">
      <c r="K4735" t="str">
        <f>IF($D4735="","",IFERROR(INDEX(Mapping!$H$3:$H$32,MATCH($B4735,Mapping!$G$3:$G$32,0)),IF(LEFT($F4735,3)="P2P",IFERROR(INDEX(Mapping!$E$3:$E$6,MATCH($G4735,Mapping!$D$3:$D$6,0)),IFERROR(INDEX(Mapping!$B$3:$B$13,MATCH($J4735,Mapping!$A$3:$A$13,0)),"(unmapped)")),IFERROR(INDEX(Mapping!$B$17:$B$22,MATCH($F4735,Mapping!$A$17:$A$22,0)),$F4735)&amp;" "&amp;IF($G4735="Banking","Banking",IFERROR(INDEX(Mapping!$E$17:$E$28,MATCH($J4735,Mapping!$D$17:$D$28,0)),"(unmapped)")))))</f>
        <v/>
      </c>
    </row>
    <row r="4736" spans="11:11" x14ac:dyDescent="0.3">
      <c r="K4736" t="str">
        <f>IF($D4736="","",IFERROR(INDEX(Mapping!$H$3:$H$32,MATCH($B4736,Mapping!$G$3:$G$32,0)),IF(LEFT($F4736,3)="P2P",IFERROR(INDEX(Mapping!$E$3:$E$6,MATCH($G4736,Mapping!$D$3:$D$6,0)),IFERROR(INDEX(Mapping!$B$3:$B$13,MATCH($J4736,Mapping!$A$3:$A$13,0)),"(unmapped)")),IFERROR(INDEX(Mapping!$B$17:$B$22,MATCH($F4736,Mapping!$A$17:$A$22,0)),$F4736)&amp;" "&amp;IF($G4736="Banking","Banking",IFERROR(INDEX(Mapping!$E$17:$E$28,MATCH($J4736,Mapping!$D$17:$D$28,0)),"(unmapped)")))))</f>
        <v/>
      </c>
    </row>
    <row r="4737" spans="11:11" x14ac:dyDescent="0.3">
      <c r="K4737" t="str">
        <f>IF($D4737="","",IFERROR(INDEX(Mapping!$H$3:$H$32,MATCH($B4737,Mapping!$G$3:$G$32,0)),IF(LEFT($F4737,3)="P2P",IFERROR(INDEX(Mapping!$E$3:$E$6,MATCH($G4737,Mapping!$D$3:$D$6,0)),IFERROR(INDEX(Mapping!$B$3:$B$13,MATCH($J4737,Mapping!$A$3:$A$13,0)),"(unmapped)")),IFERROR(INDEX(Mapping!$B$17:$B$22,MATCH($F4737,Mapping!$A$17:$A$22,0)),$F4737)&amp;" "&amp;IF($G4737="Banking","Banking",IFERROR(INDEX(Mapping!$E$17:$E$28,MATCH($J4737,Mapping!$D$17:$D$28,0)),"(unmapped)")))))</f>
        <v/>
      </c>
    </row>
    <row r="4738" spans="11:11" x14ac:dyDescent="0.3">
      <c r="K4738" t="str">
        <f>IF($D4738="","",IFERROR(INDEX(Mapping!$H$3:$H$32,MATCH($B4738,Mapping!$G$3:$G$32,0)),IF(LEFT($F4738,3)="P2P",IFERROR(INDEX(Mapping!$E$3:$E$6,MATCH($G4738,Mapping!$D$3:$D$6,0)),IFERROR(INDEX(Mapping!$B$3:$B$13,MATCH($J4738,Mapping!$A$3:$A$13,0)),"(unmapped)")),IFERROR(INDEX(Mapping!$B$17:$B$22,MATCH($F4738,Mapping!$A$17:$A$22,0)),$F4738)&amp;" "&amp;IF($G4738="Banking","Banking",IFERROR(INDEX(Mapping!$E$17:$E$28,MATCH($J4738,Mapping!$D$17:$D$28,0)),"(unmapped)")))))</f>
        <v/>
      </c>
    </row>
    <row r="4739" spans="11:11" x14ac:dyDescent="0.3">
      <c r="K4739" t="str">
        <f>IF($D4739="","",IFERROR(INDEX(Mapping!$H$3:$H$32,MATCH($B4739,Mapping!$G$3:$G$32,0)),IF(LEFT($F4739,3)="P2P",IFERROR(INDEX(Mapping!$E$3:$E$6,MATCH($G4739,Mapping!$D$3:$D$6,0)),IFERROR(INDEX(Mapping!$B$3:$B$13,MATCH($J4739,Mapping!$A$3:$A$13,0)),"(unmapped)")),IFERROR(INDEX(Mapping!$B$17:$B$22,MATCH($F4739,Mapping!$A$17:$A$22,0)),$F4739)&amp;" "&amp;IF($G4739="Banking","Banking",IFERROR(INDEX(Mapping!$E$17:$E$28,MATCH($J4739,Mapping!$D$17:$D$28,0)),"(unmapped)")))))</f>
        <v/>
      </c>
    </row>
    <row r="4740" spans="11:11" x14ac:dyDescent="0.3">
      <c r="K4740" t="str">
        <f>IF($D4740="","",IFERROR(INDEX(Mapping!$H$3:$H$32,MATCH($B4740,Mapping!$G$3:$G$32,0)),IF(LEFT($F4740,3)="P2P",IFERROR(INDEX(Mapping!$E$3:$E$6,MATCH($G4740,Mapping!$D$3:$D$6,0)),IFERROR(INDEX(Mapping!$B$3:$B$13,MATCH($J4740,Mapping!$A$3:$A$13,0)),"(unmapped)")),IFERROR(INDEX(Mapping!$B$17:$B$22,MATCH($F4740,Mapping!$A$17:$A$22,0)),$F4740)&amp;" "&amp;IF($G4740="Banking","Banking",IFERROR(INDEX(Mapping!$E$17:$E$28,MATCH($J4740,Mapping!$D$17:$D$28,0)),"(unmapped)")))))</f>
        <v/>
      </c>
    </row>
    <row r="4741" spans="11:11" x14ac:dyDescent="0.3">
      <c r="K4741" t="str">
        <f>IF($D4741="","",IFERROR(INDEX(Mapping!$H$3:$H$32,MATCH($B4741,Mapping!$G$3:$G$32,0)),IF(LEFT($F4741,3)="P2P",IFERROR(INDEX(Mapping!$E$3:$E$6,MATCH($G4741,Mapping!$D$3:$D$6,0)),IFERROR(INDEX(Mapping!$B$3:$B$13,MATCH($J4741,Mapping!$A$3:$A$13,0)),"(unmapped)")),IFERROR(INDEX(Mapping!$B$17:$B$22,MATCH($F4741,Mapping!$A$17:$A$22,0)),$F4741)&amp;" "&amp;IF($G4741="Banking","Banking",IFERROR(INDEX(Mapping!$E$17:$E$28,MATCH($J4741,Mapping!$D$17:$D$28,0)),"(unmapped)")))))</f>
        <v/>
      </c>
    </row>
    <row r="4742" spans="11:11" x14ac:dyDescent="0.3">
      <c r="K4742" t="str">
        <f>IF($D4742="","",IFERROR(INDEX(Mapping!$H$3:$H$32,MATCH($B4742,Mapping!$G$3:$G$32,0)),IF(LEFT($F4742,3)="P2P",IFERROR(INDEX(Mapping!$E$3:$E$6,MATCH($G4742,Mapping!$D$3:$D$6,0)),IFERROR(INDEX(Mapping!$B$3:$B$13,MATCH($J4742,Mapping!$A$3:$A$13,0)),"(unmapped)")),IFERROR(INDEX(Mapping!$B$17:$B$22,MATCH($F4742,Mapping!$A$17:$A$22,0)),$F4742)&amp;" "&amp;IF($G4742="Banking","Banking",IFERROR(INDEX(Mapping!$E$17:$E$28,MATCH($J4742,Mapping!$D$17:$D$28,0)),"(unmapped)")))))</f>
        <v/>
      </c>
    </row>
    <row r="4743" spans="11:11" x14ac:dyDescent="0.3">
      <c r="K4743" t="str">
        <f>IF($D4743="","",IFERROR(INDEX(Mapping!$H$3:$H$32,MATCH($B4743,Mapping!$G$3:$G$32,0)),IF(LEFT($F4743,3)="P2P",IFERROR(INDEX(Mapping!$E$3:$E$6,MATCH($G4743,Mapping!$D$3:$D$6,0)),IFERROR(INDEX(Mapping!$B$3:$B$13,MATCH($J4743,Mapping!$A$3:$A$13,0)),"(unmapped)")),IFERROR(INDEX(Mapping!$B$17:$B$22,MATCH($F4743,Mapping!$A$17:$A$22,0)),$F4743)&amp;" "&amp;IF($G4743="Banking","Banking",IFERROR(INDEX(Mapping!$E$17:$E$28,MATCH($J4743,Mapping!$D$17:$D$28,0)),"(unmapped)")))))</f>
        <v/>
      </c>
    </row>
    <row r="4744" spans="11:11" x14ac:dyDescent="0.3">
      <c r="K4744" t="str">
        <f>IF($D4744="","",IFERROR(INDEX(Mapping!$H$3:$H$32,MATCH($B4744,Mapping!$G$3:$G$32,0)),IF(LEFT($F4744,3)="P2P",IFERROR(INDEX(Mapping!$E$3:$E$6,MATCH($G4744,Mapping!$D$3:$D$6,0)),IFERROR(INDEX(Mapping!$B$3:$B$13,MATCH($J4744,Mapping!$A$3:$A$13,0)),"(unmapped)")),IFERROR(INDEX(Mapping!$B$17:$B$22,MATCH($F4744,Mapping!$A$17:$A$22,0)),$F4744)&amp;" "&amp;IF($G4744="Banking","Banking",IFERROR(INDEX(Mapping!$E$17:$E$28,MATCH($J4744,Mapping!$D$17:$D$28,0)),"(unmapped)")))))</f>
        <v/>
      </c>
    </row>
    <row r="4745" spans="11:11" x14ac:dyDescent="0.3">
      <c r="K4745" t="str">
        <f>IF($D4745="","",IFERROR(INDEX(Mapping!$H$3:$H$32,MATCH($B4745,Mapping!$G$3:$G$32,0)),IF(LEFT($F4745,3)="P2P",IFERROR(INDEX(Mapping!$E$3:$E$6,MATCH($G4745,Mapping!$D$3:$D$6,0)),IFERROR(INDEX(Mapping!$B$3:$B$13,MATCH($J4745,Mapping!$A$3:$A$13,0)),"(unmapped)")),IFERROR(INDEX(Mapping!$B$17:$B$22,MATCH($F4745,Mapping!$A$17:$A$22,0)),$F4745)&amp;" "&amp;IF($G4745="Banking","Banking",IFERROR(INDEX(Mapping!$E$17:$E$28,MATCH($J4745,Mapping!$D$17:$D$28,0)),"(unmapped)")))))</f>
        <v/>
      </c>
    </row>
    <row r="4746" spans="11:11" x14ac:dyDescent="0.3">
      <c r="K4746" t="str">
        <f>IF($D4746="","",IFERROR(INDEX(Mapping!$H$3:$H$32,MATCH($B4746,Mapping!$G$3:$G$32,0)),IF(LEFT($F4746,3)="P2P",IFERROR(INDEX(Mapping!$E$3:$E$6,MATCH($G4746,Mapping!$D$3:$D$6,0)),IFERROR(INDEX(Mapping!$B$3:$B$13,MATCH($J4746,Mapping!$A$3:$A$13,0)),"(unmapped)")),IFERROR(INDEX(Mapping!$B$17:$B$22,MATCH($F4746,Mapping!$A$17:$A$22,0)),$F4746)&amp;" "&amp;IF($G4746="Banking","Banking",IFERROR(INDEX(Mapping!$E$17:$E$28,MATCH($J4746,Mapping!$D$17:$D$28,0)),"(unmapped)")))))</f>
        <v/>
      </c>
    </row>
    <row r="4747" spans="11:11" x14ac:dyDescent="0.3">
      <c r="K4747" t="str">
        <f>IF($D4747="","",IFERROR(INDEX(Mapping!$H$3:$H$32,MATCH($B4747,Mapping!$G$3:$G$32,0)),IF(LEFT($F4747,3)="P2P",IFERROR(INDEX(Mapping!$E$3:$E$6,MATCH($G4747,Mapping!$D$3:$D$6,0)),IFERROR(INDEX(Mapping!$B$3:$B$13,MATCH($J4747,Mapping!$A$3:$A$13,0)),"(unmapped)")),IFERROR(INDEX(Mapping!$B$17:$B$22,MATCH($F4747,Mapping!$A$17:$A$22,0)),$F4747)&amp;" "&amp;IF($G4747="Banking","Banking",IFERROR(INDEX(Mapping!$E$17:$E$28,MATCH($J4747,Mapping!$D$17:$D$28,0)),"(unmapped)")))))</f>
        <v/>
      </c>
    </row>
    <row r="4748" spans="11:11" x14ac:dyDescent="0.3">
      <c r="K4748" t="str">
        <f>IF($D4748="","",IFERROR(INDEX(Mapping!$H$3:$H$32,MATCH($B4748,Mapping!$G$3:$G$32,0)),IF(LEFT($F4748,3)="P2P",IFERROR(INDEX(Mapping!$E$3:$E$6,MATCH($G4748,Mapping!$D$3:$D$6,0)),IFERROR(INDEX(Mapping!$B$3:$B$13,MATCH($J4748,Mapping!$A$3:$A$13,0)),"(unmapped)")),IFERROR(INDEX(Mapping!$B$17:$B$22,MATCH($F4748,Mapping!$A$17:$A$22,0)),$F4748)&amp;" "&amp;IF($G4748="Banking","Banking",IFERROR(INDEX(Mapping!$E$17:$E$28,MATCH($J4748,Mapping!$D$17:$D$28,0)),"(unmapped)")))))</f>
        <v/>
      </c>
    </row>
    <row r="4749" spans="11:11" x14ac:dyDescent="0.3">
      <c r="K4749" t="str">
        <f>IF($D4749="","",IFERROR(INDEX(Mapping!$H$3:$H$32,MATCH($B4749,Mapping!$G$3:$G$32,0)),IF(LEFT($F4749,3)="P2P",IFERROR(INDEX(Mapping!$E$3:$E$6,MATCH($G4749,Mapping!$D$3:$D$6,0)),IFERROR(INDEX(Mapping!$B$3:$B$13,MATCH($J4749,Mapping!$A$3:$A$13,0)),"(unmapped)")),IFERROR(INDEX(Mapping!$B$17:$B$22,MATCH($F4749,Mapping!$A$17:$A$22,0)),$F4749)&amp;" "&amp;IF($G4749="Banking","Banking",IFERROR(INDEX(Mapping!$E$17:$E$28,MATCH($J4749,Mapping!$D$17:$D$28,0)),"(unmapped)")))))</f>
        <v/>
      </c>
    </row>
    <row r="4750" spans="11:11" x14ac:dyDescent="0.3">
      <c r="K4750" t="str">
        <f>IF($D4750="","",IFERROR(INDEX(Mapping!$H$3:$H$32,MATCH($B4750,Mapping!$G$3:$G$32,0)),IF(LEFT($F4750,3)="P2P",IFERROR(INDEX(Mapping!$E$3:$E$6,MATCH($G4750,Mapping!$D$3:$D$6,0)),IFERROR(INDEX(Mapping!$B$3:$B$13,MATCH($J4750,Mapping!$A$3:$A$13,0)),"(unmapped)")),IFERROR(INDEX(Mapping!$B$17:$B$22,MATCH($F4750,Mapping!$A$17:$A$22,0)),$F4750)&amp;" "&amp;IF($G4750="Banking","Banking",IFERROR(INDEX(Mapping!$E$17:$E$28,MATCH($J4750,Mapping!$D$17:$D$28,0)),"(unmapped)")))))</f>
        <v/>
      </c>
    </row>
    <row r="4751" spans="11:11" x14ac:dyDescent="0.3">
      <c r="K4751" t="str">
        <f>IF($D4751="","",IFERROR(INDEX(Mapping!$H$3:$H$32,MATCH($B4751,Mapping!$G$3:$G$32,0)),IF(LEFT($F4751,3)="P2P",IFERROR(INDEX(Mapping!$E$3:$E$6,MATCH($G4751,Mapping!$D$3:$D$6,0)),IFERROR(INDEX(Mapping!$B$3:$B$13,MATCH($J4751,Mapping!$A$3:$A$13,0)),"(unmapped)")),IFERROR(INDEX(Mapping!$B$17:$B$22,MATCH($F4751,Mapping!$A$17:$A$22,0)),$F4751)&amp;" "&amp;IF($G4751="Banking","Banking",IFERROR(INDEX(Mapping!$E$17:$E$28,MATCH($J4751,Mapping!$D$17:$D$28,0)),"(unmapped)")))))</f>
        <v/>
      </c>
    </row>
    <row r="4752" spans="11:11" x14ac:dyDescent="0.3">
      <c r="K4752" t="str">
        <f>IF($D4752="","",IFERROR(INDEX(Mapping!$H$3:$H$32,MATCH($B4752,Mapping!$G$3:$G$32,0)),IF(LEFT($F4752,3)="P2P",IFERROR(INDEX(Mapping!$E$3:$E$6,MATCH($G4752,Mapping!$D$3:$D$6,0)),IFERROR(INDEX(Mapping!$B$3:$B$13,MATCH($J4752,Mapping!$A$3:$A$13,0)),"(unmapped)")),IFERROR(INDEX(Mapping!$B$17:$B$22,MATCH($F4752,Mapping!$A$17:$A$22,0)),$F4752)&amp;" "&amp;IF($G4752="Banking","Banking",IFERROR(INDEX(Mapping!$E$17:$E$28,MATCH($J4752,Mapping!$D$17:$D$28,0)),"(unmapped)")))))</f>
        <v/>
      </c>
    </row>
    <row r="4753" spans="11:11" x14ac:dyDescent="0.3">
      <c r="K4753" t="str">
        <f>IF($D4753="","",IFERROR(INDEX(Mapping!$H$3:$H$32,MATCH($B4753,Mapping!$G$3:$G$32,0)),IF(LEFT($F4753,3)="P2P",IFERROR(INDEX(Mapping!$E$3:$E$6,MATCH($G4753,Mapping!$D$3:$D$6,0)),IFERROR(INDEX(Mapping!$B$3:$B$13,MATCH($J4753,Mapping!$A$3:$A$13,0)),"(unmapped)")),IFERROR(INDEX(Mapping!$B$17:$B$22,MATCH($F4753,Mapping!$A$17:$A$22,0)),$F4753)&amp;" "&amp;IF($G4753="Banking","Banking",IFERROR(INDEX(Mapping!$E$17:$E$28,MATCH($J4753,Mapping!$D$17:$D$28,0)),"(unmapped)")))))</f>
        <v/>
      </c>
    </row>
    <row r="4754" spans="11:11" x14ac:dyDescent="0.3">
      <c r="K4754" t="str">
        <f>IF($D4754="","",IFERROR(INDEX(Mapping!$H$3:$H$32,MATCH($B4754,Mapping!$G$3:$G$32,0)),IF(LEFT($F4754,3)="P2P",IFERROR(INDEX(Mapping!$E$3:$E$6,MATCH($G4754,Mapping!$D$3:$D$6,0)),IFERROR(INDEX(Mapping!$B$3:$B$13,MATCH($J4754,Mapping!$A$3:$A$13,0)),"(unmapped)")),IFERROR(INDEX(Mapping!$B$17:$B$22,MATCH($F4754,Mapping!$A$17:$A$22,0)),$F4754)&amp;" "&amp;IF($G4754="Banking","Banking",IFERROR(INDEX(Mapping!$E$17:$E$28,MATCH($J4754,Mapping!$D$17:$D$28,0)),"(unmapped)")))))</f>
        <v/>
      </c>
    </row>
    <row r="4755" spans="11:11" x14ac:dyDescent="0.3">
      <c r="K4755" t="str">
        <f>IF($D4755="","",IFERROR(INDEX(Mapping!$H$3:$H$32,MATCH($B4755,Mapping!$G$3:$G$32,0)),IF(LEFT($F4755,3)="P2P",IFERROR(INDEX(Mapping!$E$3:$E$6,MATCH($G4755,Mapping!$D$3:$D$6,0)),IFERROR(INDEX(Mapping!$B$3:$B$13,MATCH($J4755,Mapping!$A$3:$A$13,0)),"(unmapped)")),IFERROR(INDEX(Mapping!$B$17:$B$22,MATCH($F4755,Mapping!$A$17:$A$22,0)),$F4755)&amp;" "&amp;IF($G4755="Banking","Banking",IFERROR(INDEX(Mapping!$E$17:$E$28,MATCH($J4755,Mapping!$D$17:$D$28,0)),"(unmapped)")))))</f>
        <v/>
      </c>
    </row>
    <row r="4756" spans="11:11" x14ac:dyDescent="0.3">
      <c r="K4756" t="str">
        <f>IF($D4756="","",IFERROR(INDEX(Mapping!$H$3:$H$32,MATCH($B4756,Mapping!$G$3:$G$32,0)),IF(LEFT($F4756,3)="P2P",IFERROR(INDEX(Mapping!$E$3:$E$6,MATCH($G4756,Mapping!$D$3:$D$6,0)),IFERROR(INDEX(Mapping!$B$3:$B$13,MATCH($J4756,Mapping!$A$3:$A$13,0)),"(unmapped)")),IFERROR(INDEX(Mapping!$B$17:$B$22,MATCH($F4756,Mapping!$A$17:$A$22,0)),$F4756)&amp;" "&amp;IF($G4756="Banking","Banking",IFERROR(INDEX(Mapping!$E$17:$E$28,MATCH($J4756,Mapping!$D$17:$D$28,0)),"(unmapped)")))))</f>
        <v/>
      </c>
    </row>
    <row r="4757" spans="11:11" x14ac:dyDescent="0.3">
      <c r="K4757" t="str">
        <f>IF($D4757="","",IFERROR(INDEX(Mapping!$H$3:$H$32,MATCH($B4757,Mapping!$G$3:$G$32,0)),IF(LEFT($F4757,3)="P2P",IFERROR(INDEX(Mapping!$E$3:$E$6,MATCH($G4757,Mapping!$D$3:$D$6,0)),IFERROR(INDEX(Mapping!$B$3:$B$13,MATCH($J4757,Mapping!$A$3:$A$13,0)),"(unmapped)")),IFERROR(INDEX(Mapping!$B$17:$B$22,MATCH($F4757,Mapping!$A$17:$A$22,0)),$F4757)&amp;" "&amp;IF($G4757="Banking","Banking",IFERROR(INDEX(Mapping!$E$17:$E$28,MATCH($J4757,Mapping!$D$17:$D$28,0)),"(unmapped)")))))</f>
        <v/>
      </c>
    </row>
    <row r="4758" spans="11:11" x14ac:dyDescent="0.3">
      <c r="K4758" t="str">
        <f>IF($D4758="","",IFERROR(INDEX(Mapping!$H$3:$H$32,MATCH($B4758,Mapping!$G$3:$G$32,0)),IF(LEFT($F4758,3)="P2P",IFERROR(INDEX(Mapping!$E$3:$E$6,MATCH($G4758,Mapping!$D$3:$D$6,0)),IFERROR(INDEX(Mapping!$B$3:$B$13,MATCH($J4758,Mapping!$A$3:$A$13,0)),"(unmapped)")),IFERROR(INDEX(Mapping!$B$17:$B$22,MATCH($F4758,Mapping!$A$17:$A$22,0)),$F4758)&amp;" "&amp;IF($G4758="Banking","Banking",IFERROR(INDEX(Mapping!$E$17:$E$28,MATCH($J4758,Mapping!$D$17:$D$28,0)),"(unmapped)")))))</f>
        <v/>
      </c>
    </row>
    <row r="4759" spans="11:11" x14ac:dyDescent="0.3">
      <c r="K4759" t="str">
        <f>IF($D4759="","",IFERROR(INDEX(Mapping!$H$3:$H$32,MATCH($B4759,Mapping!$G$3:$G$32,0)),IF(LEFT($F4759,3)="P2P",IFERROR(INDEX(Mapping!$E$3:$E$6,MATCH($G4759,Mapping!$D$3:$D$6,0)),IFERROR(INDEX(Mapping!$B$3:$B$13,MATCH($J4759,Mapping!$A$3:$A$13,0)),"(unmapped)")),IFERROR(INDEX(Mapping!$B$17:$B$22,MATCH($F4759,Mapping!$A$17:$A$22,0)),$F4759)&amp;" "&amp;IF($G4759="Banking","Banking",IFERROR(INDEX(Mapping!$E$17:$E$28,MATCH($J4759,Mapping!$D$17:$D$28,0)),"(unmapped)")))))</f>
        <v/>
      </c>
    </row>
    <row r="4760" spans="11:11" x14ac:dyDescent="0.3">
      <c r="K4760" t="str">
        <f>IF($D4760="","",IFERROR(INDEX(Mapping!$H$3:$H$32,MATCH($B4760,Mapping!$G$3:$G$32,0)),IF(LEFT($F4760,3)="P2P",IFERROR(INDEX(Mapping!$E$3:$E$6,MATCH($G4760,Mapping!$D$3:$D$6,0)),IFERROR(INDEX(Mapping!$B$3:$B$13,MATCH($J4760,Mapping!$A$3:$A$13,0)),"(unmapped)")),IFERROR(INDEX(Mapping!$B$17:$B$22,MATCH($F4760,Mapping!$A$17:$A$22,0)),$F4760)&amp;" "&amp;IF($G4760="Banking","Banking",IFERROR(INDEX(Mapping!$E$17:$E$28,MATCH($J4760,Mapping!$D$17:$D$28,0)),"(unmapped)")))))</f>
        <v/>
      </c>
    </row>
    <row r="4761" spans="11:11" x14ac:dyDescent="0.3">
      <c r="K4761" t="str">
        <f>IF($D4761="","",IFERROR(INDEX(Mapping!$H$3:$H$32,MATCH($B4761,Mapping!$G$3:$G$32,0)),IF(LEFT($F4761,3)="P2P",IFERROR(INDEX(Mapping!$E$3:$E$6,MATCH($G4761,Mapping!$D$3:$D$6,0)),IFERROR(INDEX(Mapping!$B$3:$B$13,MATCH($J4761,Mapping!$A$3:$A$13,0)),"(unmapped)")),IFERROR(INDEX(Mapping!$B$17:$B$22,MATCH($F4761,Mapping!$A$17:$A$22,0)),$F4761)&amp;" "&amp;IF($G4761="Banking","Banking",IFERROR(INDEX(Mapping!$E$17:$E$28,MATCH($J4761,Mapping!$D$17:$D$28,0)),"(unmapped)")))))</f>
        <v/>
      </c>
    </row>
    <row r="4762" spans="11:11" x14ac:dyDescent="0.3">
      <c r="K4762" t="str">
        <f>IF($D4762="","",IFERROR(INDEX(Mapping!$H$3:$H$32,MATCH($B4762,Mapping!$G$3:$G$32,0)),IF(LEFT($F4762,3)="P2P",IFERROR(INDEX(Mapping!$E$3:$E$6,MATCH($G4762,Mapping!$D$3:$D$6,0)),IFERROR(INDEX(Mapping!$B$3:$B$13,MATCH($J4762,Mapping!$A$3:$A$13,0)),"(unmapped)")),IFERROR(INDEX(Mapping!$B$17:$B$22,MATCH($F4762,Mapping!$A$17:$A$22,0)),$F4762)&amp;" "&amp;IF($G4762="Banking","Banking",IFERROR(INDEX(Mapping!$E$17:$E$28,MATCH($J4762,Mapping!$D$17:$D$28,0)),"(unmapped)")))))</f>
        <v/>
      </c>
    </row>
    <row r="4763" spans="11:11" x14ac:dyDescent="0.3">
      <c r="K4763" t="str">
        <f>IF($D4763="","",IFERROR(INDEX(Mapping!$H$3:$H$32,MATCH($B4763,Mapping!$G$3:$G$32,0)),IF(LEFT($F4763,3)="P2P",IFERROR(INDEX(Mapping!$E$3:$E$6,MATCH($G4763,Mapping!$D$3:$D$6,0)),IFERROR(INDEX(Mapping!$B$3:$B$13,MATCH($J4763,Mapping!$A$3:$A$13,0)),"(unmapped)")),IFERROR(INDEX(Mapping!$B$17:$B$22,MATCH($F4763,Mapping!$A$17:$A$22,0)),$F4763)&amp;" "&amp;IF($G4763="Banking","Banking",IFERROR(INDEX(Mapping!$E$17:$E$28,MATCH($J4763,Mapping!$D$17:$D$28,0)),"(unmapped)")))))</f>
        <v/>
      </c>
    </row>
    <row r="4764" spans="11:11" x14ac:dyDescent="0.3">
      <c r="K4764" t="str">
        <f>IF($D4764="","",IFERROR(INDEX(Mapping!$H$3:$H$32,MATCH($B4764,Mapping!$G$3:$G$32,0)),IF(LEFT($F4764,3)="P2P",IFERROR(INDEX(Mapping!$E$3:$E$6,MATCH($G4764,Mapping!$D$3:$D$6,0)),IFERROR(INDEX(Mapping!$B$3:$B$13,MATCH($J4764,Mapping!$A$3:$A$13,0)),"(unmapped)")),IFERROR(INDEX(Mapping!$B$17:$B$22,MATCH($F4764,Mapping!$A$17:$A$22,0)),$F4764)&amp;" "&amp;IF($G4764="Banking","Banking",IFERROR(INDEX(Mapping!$E$17:$E$28,MATCH($J4764,Mapping!$D$17:$D$28,0)),"(unmapped)")))))</f>
        <v/>
      </c>
    </row>
    <row r="4765" spans="11:11" x14ac:dyDescent="0.3">
      <c r="K4765" t="str">
        <f>IF($D4765="","",IFERROR(INDEX(Mapping!$H$3:$H$32,MATCH($B4765,Mapping!$G$3:$G$32,0)),IF(LEFT($F4765,3)="P2P",IFERROR(INDEX(Mapping!$E$3:$E$6,MATCH($G4765,Mapping!$D$3:$D$6,0)),IFERROR(INDEX(Mapping!$B$3:$B$13,MATCH($J4765,Mapping!$A$3:$A$13,0)),"(unmapped)")),IFERROR(INDEX(Mapping!$B$17:$B$22,MATCH($F4765,Mapping!$A$17:$A$22,0)),$F4765)&amp;" "&amp;IF($G4765="Banking","Banking",IFERROR(INDEX(Mapping!$E$17:$E$28,MATCH($J4765,Mapping!$D$17:$D$28,0)),"(unmapped)")))))</f>
        <v/>
      </c>
    </row>
    <row r="4766" spans="11:11" x14ac:dyDescent="0.3">
      <c r="K4766" t="str">
        <f>IF($D4766="","",IFERROR(INDEX(Mapping!$H$3:$H$32,MATCH($B4766,Mapping!$G$3:$G$32,0)),IF(LEFT($F4766,3)="P2P",IFERROR(INDEX(Mapping!$E$3:$E$6,MATCH($G4766,Mapping!$D$3:$D$6,0)),IFERROR(INDEX(Mapping!$B$3:$B$13,MATCH($J4766,Mapping!$A$3:$A$13,0)),"(unmapped)")),IFERROR(INDEX(Mapping!$B$17:$B$22,MATCH($F4766,Mapping!$A$17:$A$22,0)),$F4766)&amp;" "&amp;IF($G4766="Banking","Banking",IFERROR(INDEX(Mapping!$E$17:$E$28,MATCH($J4766,Mapping!$D$17:$D$28,0)),"(unmapped)")))))</f>
        <v/>
      </c>
    </row>
    <row r="4767" spans="11:11" x14ac:dyDescent="0.3">
      <c r="K4767" t="str">
        <f>IF($D4767="","",IFERROR(INDEX(Mapping!$H$3:$H$32,MATCH($B4767,Mapping!$G$3:$G$32,0)),IF(LEFT($F4767,3)="P2P",IFERROR(INDEX(Mapping!$E$3:$E$6,MATCH($G4767,Mapping!$D$3:$D$6,0)),IFERROR(INDEX(Mapping!$B$3:$B$13,MATCH($J4767,Mapping!$A$3:$A$13,0)),"(unmapped)")),IFERROR(INDEX(Mapping!$B$17:$B$22,MATCH($F4767,Mapping!$A$17:$A$22,0)),$F4767)&amp;" "&amp;IF($G4767="Banking","Banking",IFERROR(INDEX(Mapping!$E$17:$E$28,MATCH($J4767,Mapping!$D$17:$D$28,0)),"(unmapped)")))))</f>
        <v/>
      </c>
    </row>
    <row r="4768" spans="11:11" x14ac:dyDescent="0.3">
      <c r="K4768" t="str">
        <f>IF($D4768="","",IFERROR(INDEX(Mapping!$H$3:$H$32,MATCH($B4768,Mapping!$G$3:$G$32,0)),IF(LEFT($F4768,3)="P2P",IFERROR(INDEX(Mapping!$E$3:$E$6,MATCH($G4768,Mapping!$D$3:$D$6,0)),IFERROR(INDEX(Mapping!$B$3:$B$13,MATCH($J4768,Mapping!$A$3:$A$13,0)),"(unmapped)")),IFERROR(INDEX(Mapping!$B$17:$B$22,MATCH($F4768,Mapping!$A$17:$A$22,0)),$F4768)&amp;" "&amp;IF($G4768="Banking","Banking",IFERROR(INDEX(Mapping!$E$17:$E$28,MATCH($J4768,Mapping!$D$17:$D$28,0)),"(unmapped)")))))</f>
        <v/>
      </c>
    </row>
    <row r="4769" spans="11:11" x14ac:dyDescent="0.3">
      <c r="K4769" t="str">
        <f>IF($D4769="","",IFERROR(INDEX(Mapping!$H$3:$H$32,MATCH($B4769,Mapping!$G$3:$G$32,0)),IF(LEFT($F4769,3)="P2P",IFERROR(INDEX(Mapping!$E$3:$E$6,MATCH($G4769,Mapping!$D$3:$D$6,0)),IFERROR(INDEX(Mapping!$B$3:$B$13,MATCH($J4769,Mapping!$A$3:$A$13,0)),"(unmapped)")),IFERROR(INDEX(Mapping!$B$17:$B$22,MATCH($F4769,Mapping!$A$17:$A$22,0)),$F4769)&amp;" "&amp;IF($G4769="Banking","Banking",IFERROR(INDEX(Mapping!$E$17:$E$28,MATCH($J4769,Mapping!$D$17:$D$28,0)),"(unmapped)")))))</f>
        <v/>
      </c>
    </row>
    <row r="4770" spans="11:11" x14ac:dyDescent="0.3">
      <c r="K4770" t="str">
        <f>IF($D4770="","",IFERROR(INDEX(Mapping!$H$3:$H$32,MATCH($B4770,Mapping!$G$3:$G$32,0)),IF(LEFT($F4770,3)="P2P",IFERROR(INDEX(Mapping!$E$3:$E$6,MATCH($G4770,Mapping!$D$3:$D$6,0)),IFERROR(INDEX(Mapping!$B$3:$B$13,MATCH($J4770,Mapping!$A$3:$A$13,0)),"(unmapped)")),IFERROR(INDEX(Mapping!$B$17:$B$22,MATCH($F4770,Mapping!$A$17:$A$22,0)),$F4770)&amp;" "&amp;IF($G4770="Banking","Banking",IFERROR(INDEX(Mapping!$E$17:$E$28,MATCH($J4770,Mapping!$D$17:$D$28,0)),"(unmapped)")))))</f>
        <v/>
      </c>
    </row>
    <row r="4771" spans="11:11" x14ac:dyDescent="0.3">
      <c r="K4771" t="str">
        <f>IF($D4771="","",IFERROR(INDEX(Mapping!$H$3:$H$32,MATCH($B4771,Mapping!$G$3:$G$32,0)),IF(LEFT($F4771,3)="P2P",IFERROR(INDEX(Mapping!$E$3:$E$6,MATCH($G4771,Mapping!$D$3:$D$6,0)),IFERROR(INDEX(Mapping!$B$3:$B$13,MATCH($J4771,Mapping!$A$3:$A$13,0)),"(unmapped)")),IFERROR(INDEX(Mapping!$B$17:$B$22,MATCH($F4771,Mapping!$A$17:$A$22,0)),$F4771)&amp;" "&amp;IF($G4771="Banking","Banking",IFERROR(INDEX(Mapping!$E$17:$E$28,MATCH($J4771,Mapping!$D$17:$D$28,0)),"(unmapped)")))))</f>
        <v/>
      </c>
    </row>
    <row r="4772" spans="11:11" x14ac:dyDescent="0.3">
      <c r="K4772" t="str">
        <f>IF($D4772="","",IFERROR(INDEX(Mapping!$H$3:$H$32,MATCH($B4772,Mapping!$G$3:$G$32,0)),IF(LEFT($F4772,3)="P2P",IFERROR(INDEX(Mapping!$E$3:$E$6,MATCH($G4772,Mapping!$D$3:$D$6,0)),IFERROR(INDEX(Mapping!$B$3:$B$13,MATCH($J4772,Mapping!$A$3:$A$13,0)),"(unmapped)")),IFERROR(INDEX(Mapping!$B$17:$B$22,MATCH($F4772,Mapping!$A$17:$A$22,0)),$F4772)&amp;" "&amp;IF($G4772="Banking","Banking",IFERROR(INDEX(Mapping!$E$17:$E$28,MATCH($J4772,Mapping!$D$17:$D$28,0)),"(unmapped)")))))</f>
        <v/>
      </c>
    </row>
    <row r="4773" spans="11:11" x14ac:dyDescent="0.3">
      <c r="K4773" t="str">
        <f>IF($D4773="","",IFERROR(INDEX(Mapping!$H$3:$H$32,MATCH($B4773,Mapping!$G$3:$G$32,0)),IF(LEFT($F4773,3)="P2P",IFERROR(INDEX(Mapping!$E$3:$E$6,MATCH($G4773,Mapping!$D$3:$D$6,0)),IFERROR(INDEX(Mapping!$B$3:$B$13,MATCH($J4773,Mapping!$A$3:$A$13,0)),"(unmapped)")),IFERROR(INDEX(Mapping!$B$17:$B$22,MATCH($F4773,Mapping!$A$17:$A$22,0)),$F4773)&amp;" "&amp;IF($G4773="Banking","Banking",IFERROR(INDEX(Mapping!$E$17:$E$28,MATCH($J4773,Mapping!$D$17:$D$28,0)),"(unmapped)")))))</f>
        <v/>
      </c>
    </row>
    <row r="4774" spans="11:11" x14ac:dyDescent="0.3">
      <c r="K4774" t="str">
        <f>IF($D4774="","",IFERROR(INDEX(Mapping!$H$3:$H$32,MATCH($B4774,Mapping!$G$3:$G$32,0)),IF(LEFT($F4774,3)="P2P",IFERROR(INDEX(Mapping!$E$3:$E$6,MATCH($G4774,Mapping!$D$3:$D$6,0)),IFERROR(INDEX(Mapping!$B$3:$B$13,MATCH($J4774,Mapping!$A$3:$A$13,0)),"(unmapped)")),IFERROR(INDEX(Mapping!$B$17:$B$22,MATCH($F4774,Mapping!$A$17:$A$22,0)),$F4774)&amp;" "&amp;IF($G4774="Banking","Banking",IFERROR(INDEX(Mapping!$E$17:$E$28,MATCH($J4774,Mapping!$D$17:$D$28,0)),"(unmapped)")))))</f>
        <v/>
      </c>
    </row>
    <row r="4775" spans="11:11" x14ac:dyDescent="0.3">
      <c r="K4775" t="str">
        <f>IF($D4775="","",IFERROR(INDEX(Mapping!$H$3:$H$32,MATCH($B4775,Mapping!$G$3:$G$32,0)),IF(LEFT($F4775,3)="P2P",IFERROR(INDEX(Mapping!$E$3:$E$6,MATCH($G4775,Mapping!$D$3:$D$6,0)),IFERROR(INDEX(Mapping!$B$3:$B$13,MATCH($J4775,Mapping!$A$3:$A$13,0)),"(unmapped)")),IFERROR(INDEX(Mapping!$B$17:$B$22,MATCH($F4775,Mapping!$A$17:$A$22,0)),$F4775)&amp;" "&amp;IF($G4775="Banking","Banking",IFERROR(INDEX(Mapping!$E$17:$E$28,MATCH($J4775,Mapping!$D$17:$D$28,0)),"(unmapped)")))))</f>
        <v/>
      </c>
    </row>
    <row r="4776" spans="11:11" x14ac:dyDescent="0.3">
      <c r="K4776" t="str">
        <f>IF($D4776="","",IFERROR(INDEX(Mapping!$H$3:$H$32,MATCH($B4776,Mapping!$G$3:$G$32,0)),IF(LEFT($F4776,3)="P2P",IFERROR(INDEX(Mapping!$E$3:$E$6,MATCH($G4776,Mapping!$D$3:$D$6,0)),IFERROR(INDEX(Mapping!$B$3:$B$13,MATCH($J4776,Mapping!$A$3:$A$13,0)),"(unmapped)")),IFERROR(INDEX(Mapping!$B$17:$B$22,MATCH($F4776,Mapping!$A$17:$A$22,0)),$F4776)&amp;" "&amp;IF($G4776="Banking","Banking",IFERROR(INDEX(Mapping!$E$17:$E$28,MATCH($J4776,Mapping!$D$17:$D$28,0)),"(unmapped)")))))</f>
        <v/>
      </c>
    </row>
    <row r="4777" spans="11:11" x14ac:dyDescent="0.3">
      <c r="K4777" t="str">
        <f>IF($D4777="","",IFERROR(INDEX(Mapping!$H$3:$H$32,MATCH($B4777,Mapping!$G$3:$G$32,0)),IF(LEFT($F4777,3)="P2P",IFERROR(INDEX(Mapping!$E$3:$E$6,MATCH($G4777,Mapping!$D$3:$D$6,0)),IFERROR(INDEX(Mapping!$B$3:$B$13,MATCH($J4777,Mapping!$A$3:$A$13,0)),"(unmapped)")),IFERROR(INDEX(Mapping!$B$17:$B$22,MATCH($F4777,Mapping!$A$17:$A$22,0)),$F4777)&amp;" "&amp;IF($G4777="Banking","Banking",IFERROR(INDEX(Mapping!$E$17:$E$28,MATCH($J4777,Mapping!$D$17:$D$28,0)),"(unmapped)")))))</f>
        <v/>
      </c>
    </row>
    <row r="4778" spans="11:11" x14ac:dyDescent="0.3">
      <c r="K4778" t="str">
        <f>IF($D4778="","",IFERROR(INDEX(Mapping!$H$3:$H$32,MATCH($B4778,Mapping!$G$3:$G$32,0)),IF(LEFT($F4778,3)="P2P",IFERROR(INDEX(Mapping!$E$3:$E$6,MATCH($G4778,Mapping!$D$3:$D$6,0)),IFERROR(INDEX(Mapping!$B$3:$B$13,MATCH($J4778,Mapping!$A$3:$A$13,0)),"(unmapped)")),IFERROR(INDEX(Mapping!$B$17:$B$22,MATCH($F4778,Mapping!$A$17:$A$22,0)),$F4778)&amp;" "&amp;IF($G4778="Banking","Banking",IFERROR(INDEX(Mapping!$E$17:$E$28,MATCH($J4778,Mapping!$D$17:$D$28,0)),"(unmapped)")))))</f>
        <v/>
      </c>
    </row>
    <row r="4779" spans="11:11" x14ac:dyDescent="0.3">
      <c r="K4779" t="str">
        <f>IF($D4779="","",IFERROR(INDEX(Mapping!$H$3:$H$32,MATCH($B4779,Mapping!$G$3:$G$32,0)),IF(LEFT($F4779,3)="P2P",IFERROR(INDEX(Mapping!$E$3:$E$6,MATCH($G4779,Mapping!$D$3:$D$6,0)),IFERROR(INDEX(Mapping!$B$3:$B$13,MATCH($J4779,Mapping!$A$3:$A$13,0)),"(unmapped)")),IFERROR(INDEX(Mapping!$B$17:$B$22,MATCH($F4779,Mapping!$A$17:$A$22,0)),$F4779)&amp;" "&amp;IF($G4779="Banking","Banking",IFERROR(INDEX(Mapping!$E$17:$E$28,MATCH($J4779,Mapping!$D$17:$D$28,0)),"(unmapped)")))))</f>
        <v/>
      </c>
    </row>
    <row r="4780" spans="11:11" x14ac:dyDescent="0.3">
      <c r="K4780" t="str">
        <f>IF($D4780="","",IFERROR(INDEX(Mapping!$H$3:$H$32,MATCH($B4780,Mapping!$G$3:$G$32,0)),IF(LEFT($F4780,3)="P2P",IFERROR(INDEX(Mapping!$E$3:$E$6,MATCH($G4780,Mapping!$D$3:$D$6,0)),IFERROR(INDEX(Mapping!$B$3:$B$13,MATCH($J4780,Mapping!$A$3:$A$13,0)),"(unmapped)")),IFERROR(INDEX(Mapping!$B$17:$B$22,MATCH($F4780,Mapping!$A$17:$A$22,0)),$F4780)&amp;" "&amp;IF($G4780="Banking","Banking",IFERROR(INDEX(Mapping!$E$17:$E$28,MATCH($J4780,Mapping!$D$17:$D$28,0)),"(unmapped)")))))</f>
        <v/>
      </c>
    </row>
    <row r="4781" spans="11:11" x14ac:dyDescent="0.3">
      <c r="K4781" t="str">
        <f>IF($D4781="","",IFERROR(INDEX(Mapping!$H$3:$H$32,MATCH($B4781,Mapping!$G$3:$G$32,0)),IF(LEFT($F4781,3)="P2P",IFERROR(INDEX(Mapping!$E$3:$E$6,MATCH($G4781,Mapping!$D$3:$D$6,0)),IFERROR(INDEX(Mapping!$B$3:$B$13,MATCH($J4781,Mapping!$A$3:$A$13,0)),"(unmapped)")),IFERROR(INDEX(Mapping!$B$17:$B$22,MATCH($F4781,Mapping!$A$17:$A$22,0)),$F4781)&amp;" "&amp;IF($G4781="Banking","Banking",IFERROR(INDEX(Mapping!$E$17:$E$28,MATCH($J4781,Mapping!$D$17:$D$28,0)),"(unmapped)")))))</f>
        <v/>
      </c>
    </row>
    <row r="4782" spans="11:11" x14ac:dyDescent="0.3">
      <c r="K4782" t="str">
        <f>IF($D4782="","",IFERROR(INDEX(Mapping!$H$3:$H$32,MATCH($B4782,Mapping!$G$3:$G$32,0)),IF(LEFT($F4782,3)="P2P",IFERROR(INDEX(Mapping!$E$3:$E$6,MATCH($G4782,Mapping!$D$3:$D$6,0)),IFERROR(INDEX(Mapping!$B$3:$B$13,MATCH($J4782,Mapping!$A$3:$A$13,0)),"(unmapped)")),IFERROR(INDEX(Mapping!$B$17:$B$22,MATCH($F4782,Mapping!$A$17:$A$22,0)),$F4782)&amp;" "&amp;IF($G4782="Banking","Banking",IFERROR(INDEX(Mapping!$E$17:$E$28,MATCH($J4782,Mapping!$D$17:$D$28,0)),"(unmapped)")))))</f>
        <v/>
      </c>
    </row>
    <row r="4783" spans="11:11" x14ac:dyDescent="0.3">
      <c r="K4783" t="str">
        <f>IF($D4783="","",IFERROR(INDEX(Mapping!$H$3:$H$32,MATCH($B4783,Mapping!$G$3:$G$32,0)),IF(LEFT($F4783,3)="P2P",IFERROR(INDEX(Mapping!$E$3:$E$6,MATCH($G4783,Mapping!$D$3:$D$6,0)),IFERROR(INDEX(Mapping!$B$3:$B$13,MATCH($J4783,Mapping!$A$3:$A$13,0)),"(unmapped)")),IFERROR(INDEX(Mapping!$B$17:$B$22,MATCH($F4783,Mapping!$A$17:$A$22,0)),$F4783)&amp;" "&amp;IF($G4783="Banking","Banking",IFERROR(INDEX(Mapping!$E$17:$E$28,MATCH($J4783,Mapping!$D$17:$D$28,0)),"(unmapped)")))))</f>
        <v/>
      </c>
    </row>
    <row r="4784" spans="11:11" x14ac:dyDescent="0.3">
      <c r="K4784" t="str">
        <f>IF($D4784="","",IFERROR(INDEX(Mapping!$H$3:$H$32,MATCH($B4784,Mapping!$G$3:$G$32,0)),IF(LEFT($F4784,3)="P2P",IFERROR(INDEX(Mapping!$E$3:$E$6,MATCH($G4784,Mapping!$D$3:$D$6,0)),IFERROR(INDEX(Mapping!$B$3:$B$13,MATCH($J4784,Mapping!$A$3:$A$13,0)),"(unmapped)")),IFERROR(INDEX(Mapping!$B$17:$B$22,MATCH($F4784,Mapping!$A$17:$A$22,0)),$F4784)&amp;" "&amp;IF($G4784="Banking","Banking",IFERROR(INDEX(Mapping!$E$17:$E$28,MATCH($J4784,Mapping!$D$17:$D$28,0)),"(unmapped)")))))</f>
        <v/>
      </c>
    </row>
    <row r="4785" spans="11:11" x14ac:dyDescent="0.3">
      <c r="K4785" t="str">
        <f>IF($D4785="","",IFERROR(INDEX(Mapping!$H$3:$H$32,MATCH($B4785,Mapping!$G$3:$G$32,0)),IF(LEFT($F4785,3)="P2P",IFERROR(INDEX(Mapping!$E$3:$E$6,MATCH($G4785,Mapping!$D$3:$D$6,0)),IFERROR(INDEX(Mapping!$B$3:$B$13,MATCH($J4785,Mapping!$A$3:$A$13,0)),"(unmapped)")),IFERROR(INDEX(Mapping!$B$17:$B$22,MATCH($F4785,Mapping!$A$17:$A$22,0)),$F4785)&amp;" "&amp;IF($G4785="Banking","Banking",IFERROR(INDEX(Mapping!$E$17:$E$28,MATCH($J4785,Mapping!$D$17:$D$28,0)),"(unmapped)")))))</f>
        <v/>
      </c>
    </row>
    <row r="4786" spans="11:11" x14ac:dyDescent="0.3">
      <c r="K4786" t="str">
        <f>IF($D4786="","",IFERROR(INDEX(Mapping!$H$3:$H$32,MATCH($B4786,Mapping!$G$3:$G$32,0)),IF(LEFT($F4786,3)="P2P",IFERROR(INDEX(Mapping!$E$3:$E$6,MATCH($G4786,Mapping!$D$3:$D$6,0)),IFERROR(INDEX(Mapping!$B$3:$B$13,MATCH($J4786,Mapping!$A$3:$A$13,0)),"(unmapped)")),IFERROR(INDEX(Mapping!$B$17:$B$22,MATCH($F4786,Mapping!$A$17:$A$22,0)),$F4786)&amp;" "&amp;IF($G4786="Banking","Banking",IFERROR(INDEX(Mapping!$E$17:$E$28,MATCH($J4786,Mapping!$D$17:$D$28,0)),"(unmapped)")))))</f>
        <v/>
      </c>
    </row>
    <row r="4787" spans="11:11" x14ac:dyDescent="0.3">
      <c r="K4787" t="str">
        <f>IF($D4787="","",IFERROR(INDEX(Mapping!$H$3:$H$32,MATCH($B4787,Mapping!$G$3:$G$32,0)),IF(LEFT($F4787,3)="P2P",IFERROR(INDEX(Mapping!$E$3:$E$6,MATCH($G4787,Mapping!$D$3:$D$6,0)),IFERROR(INDEX(Mapping!$B$3:$B$13,MATCH($J4787,Mapping!$A$3:$A$13,0)),"(unmapped)")),IFERROR(INDEX(Mapping!$B$17:$B$22,MATCH($F4787,Mapping!$A$17:$A$22,0)),$F4787)&amp;" "&amp;IF($G4787="Banking","Banking",IFERROR(INDEX(Mapping!$E$17:$E$28,MATCH($J4787,Mapping!$D$17:$D$28,0)),"(unmapped)")))))</f>
        <v/>
      </c>
    </row>
    <row r="4788" spans="11:11" x14ac:dyDescent="0.3">
      <c r="K4788" t="str">
        <f>IF($D4788="","",IFERROR(INDEX(Mapping!$H$3:$H$32,MATCH($B4788,Mapping!$G$3:$G$32,0)),IF(LEFT($F4788,3)="P2P",IFERROR(INDEX(Mapping!$E$3:$E$6,MATCH($G4788,Mapping!$D$3:$D$6,0)),IFERROR(INDEX(Mapping!$B$3:$B$13,MATCH($J4788,Mapping!$A$3:$A$13,0)),"(unmapped)")),IFERROR(INDEX(Mapping!$B$17:$B$22,MATCH($F4788,Mapping!$A$17:$A$22,0)),$F4788)&amp;" "&amp;IF($G4788="Banking","Banking",IFERROR(INDEX(Mapping!$E$17:$E$28,MATCH($J4788,Mapping!$D$17:$D$28,0)),"(unmapped)")))))</f>
        <v/>
      </c>
    </row>
    <row r="4789" spans="11:11" x14ac:dyDescent="0.3">
      <c r="K4789" t="str">
        <f>IF($D4789="","",IFERROR(INDEX(Mapping!$H$3:$H$32,MATCH($B4789,Mapping!$G$3:$G$32,0)),IF(LEFT($F4789,3)="P2P",IFERROR(INDEX(Mapping!$E$3:$E$6,MATCH($G4789,Mapping!$D$3:$D$6,0)),IFERROR(INDEX(Mapping!$B$3:$B$13,MATCH($J4789,Mapping!$A$3:$A$13,0)),"(unmapped)")),IFERROR(INDEX(Mapping!$B$17:$B$22,MATCH($F4789,Mapping!$A$17:$A$22,0)),$F4789)&amp;" "&amp;IF($G4789="Banking","Banking",IFERROR(INDEX(Mapping!$E$17:$E$28,MATCH($J4789,Mapping!$D$17:$D$28,0)),"(unmapped)")))))</f>
        <v/>
      </c>
    </row>
    <row r="4790" spans="11:11" x14ac:dyDescent="0.3">
      <c r="K4790" t="str">
        <f>IF($D4790="","",IFERROR(INDEX(Mapping!$H$3:$H$32,MATCH($B4790,Mapping!$G$3:$G$32,0)),IF(LEFT($F4790,3)="P2P",IFERROR(INDEX(Mapping!$E$3:$E$6,MATCH($G4790,Mapping!$D$3:$D$6,0)),IFERROR(INDEX(Mapping!$B$3:$B$13,MATCH($J4790,Mapping!$A$3:$A$13,0)),"(unmapped)")),IFERROR(INDEX(Mapping!$B$17:$B$22,MATCH($F4790,Mapping!$A$17:$A$22,0)),$F4790)&amp;" "&amp;IF($G4790="Banking","Banking",IFERROR(INDEX(Mapping!$E$17:$E$28,MATCH($J4790,Mapping!$D$17:$D$28,0)),"(unmapped)")))))</f>
        <v/>
      </c>
    </row>
    <row r="4791" spans="11:11" x14ac:dyDescent="0.3">
      <c r="K4791" t="str">
        <f>IF($D4791="","",IFERROR(INDEX(Mapping!$H$3:$H$32,MATCH($B4791,Mapping!$G$3:$G$32,0)),IF(LEFT($F4791,3)="P2P",IFERROR(INDEX(Mapping!$E$3:$E$6,MATCH($G4791,Mapping!$D$3:$D$6,0)),IFERROR(INDEX(Mapping!$B$3:$B$13,MATCH($J4791,Mapping!$A$3:$A$13,0)),"(unmapped)")),IFERROR(INDEX(Mapping!$B$17:$B$22,MATCH($F4791,Mapping!$A$17:$A$22,0)),$F4791)&amp;" "&amp;IF($G4791="Banking","Banking",IFERROR(INDEX(Mapping!$E$17:$E$28,MATCH($J4791,Mapping!$D$17:$D$28,0)),"(unmapped)")))))</f>
        <v/>
      </c>
    </row>
    <row r="4792" spans="11:11" x14ac:dyDescent="0.3">
      <c r="K4792" t="str">
        <f>IF($D4792="","",IFERROR(INDEX(Mapping!$H$3:$H$32,MATCH($B4792,Mapping!$G$3:$G$32,0)),IF(LEFT($F4792,3)="P2P",IFERROR(INDEX(Mapping!$E$3:$E$6,MATCH($G4792,Mapping!$D$3:$D$6,0)),IFERROR(INDEX(Mapping!$B$3:$B$13,MATCH($J4792,Mapping!$A$3:$A$13,0)),"(unmapped)")),IFERROR(INDEX(Mapping!$B$17:$B$22,MATCH($F4792,Mapping!$A$17:$A$22,0)),$F4792)&amp;" "&amp;IF($G4792="Banking","Banking",IFERROR(INDEX(Mapping!$E$17:$E$28,MATCH($J4792,Mapping!$D$17:$D$28,0)),"(unmapped)")))))</f>
        <v/>
      </c>
    </row>
    <row r="4793" spans="11:11" x14ac:dyDescent="0.3">
      <c r="K4793" t="str">
        <f>IF($D4793="","",IFERROR(INDEX(Mapping!$H$3:$H$32,MATCH($B4793,Mapping!$G$3:$G$32,0)),IF(LEFT($F4793,3)="P2P",IFERROR(INDEX(Mapping!$E$3:$E$6,MATCH($G4793,Mapping!$D$3:$D$6,0)),IFERROR(INDEX(Mapping!$B$3:$B$13,MATCH($J4793,Mapping!$A$3:$A$13,0)),"(unmapped)")),IFERROR(INDEX(Mapping!$B$17:$B$22,MATCH($F4793,Mapping!$A$17:$A$22,0)),$F4793)&amp;" "&amp;IF($G4793="Banking","Banking",IFERROR(INDEX(Mapping!$E$17:$E$28,MATCH($J4793,Mapping!$D$17:$D$28,0)),"(unmapped)")))))</f>
        <v/>
      </c>
    </row>
    <row r="4794" spans="11:11" x14ac:dyDescent="0.3">
      <c r="K4794" t="str">
        <f>IF($D4794="","",IFERROR(INDEX(Mapping!$H$3:$H$32,MATCH($B4794,Mapping!$G$3:$G$32,0)),IF(LEFT($F4794,3)="P2P",IFERROR(INDEX(Mapping!$E$3:$E$6,MATCH($G4794,Mapping!$D$3:$D$6,0)),IFERROR(INDEX(Mapping!$B$3:$B$13,MATCH($J4794,Mapping!$A$3:$A$13,0)),"(unmapped)")),IFERROR(INDEX(Mapping!$B$17:$B$22,MATCH($F4794,Mapping!$A$17:$A$22,0)),$F4794)&amp;" "&amp;IF($G4794="Banking","Banking",IFERROR(INDEX(Mapping!$E$17:$E$28,MATCH($J4794,Mapping!$D$17:$D$28,0)),"(unmapped)")))))</f>
        <v/>
      </c>
    </row>
    <row r="4795" spans="11:11" x14ac:dyDescent="0.3">
      <c r="K4795" t="str">
        <f>IF($D4795="","",IFERROR(INDEX(Mapping!$H$3:$H$32,MATCH($B4795,Mapping!$G$3:$G$32,0)),IF(LEFT($F4795,3)="P2P",IFERROR(INDEX(Mapping!$E$3:$E$6,MATCH($G4795,Mapping!$D$3:$D$6,0)),IFERROR(INDEX(Mapping!$B$3:$B$13,MATCH($J4795,Mapping!$A$3:$A$13,0)),"(unmapped)")),IFERROR(INDEX(Mapping!$B$17:$B$22,MATCH($F4795,Mapping!$A$17:$A$22,0)),$F4795)&amp;" "&amp;IF($G4795="Banking","Banking",IFERROR(INDEX(Mapping!$E$17:$E$28,MATCH($J4795,Mapping!$D$17:$D$28,0)),"(unmapped)")))))</f>
        <v/>
      </c>
    </row>
    <row r="4796" spans="11:11" x14ac:dyDescent="0.3">
      <c r="K4796" t="str">
        <f>IF($D4796="","",IFERROR(INDEX(Mapping!$H$3:$H$32,MATCH($B4796,Mapping!$G$3:$G$32,0)),IF(LEFT($F4796,3)="P2P",IFERROR(INDEX(Mapping!$E$3:$E$6,MATCH($G4796,Mapping!$D$3:$D$6,0)),IFERROR(INDEX(Mapping!$B$3:$B$13,MATCH($J4796,Mapping!$A$3:$A$13,0)),"(unmapped)")),IFERROR(INDEX(Mapping!$B$17:$B$22,MATCH($F4796,Mapping!$A$17:$A$22,0)),$F4796)&amp;" "&amp;IF($G4796="Banking","Banking",IFERROR(INDEX(Mapping!$E$17:$E$28,MATCH($J4796,Mapping!$D$17:$D$28,0)),"(unmapped)")))))</f>
        <v/>
      </c>
    </row>
    <row r="4797" spans="11:11" x14ac:dyDescent="0.3">
      <c r="K4797" t="str">
        <f>IF($D4797="","",IFERROR(INDEX(Mapping!$H$3:$H$32,MATCH($B4797,Mapping!$G$3:$G$32,0)),IF(LEFT($F4797,3)="P2P",IFERROR(INDEX(Mapping!$E$3:$E$6,MATCH($G4797,Mapping!$D$3:$D$6,0)),IFERROR(INDEX(Mapping!$B$3:$B$13,MATCH($J4797,Mapping!$A$3:$A$13,0)),"(unmapped)")),IFERROR(INDEX(Mapping!$B$17:$B$22,MATCH($F4797,Mapping!$A$17:$A$22,0)),$F4797)&amp;" "&amp;IF($G4797="Banking","Banking",IFERROR(INDEX(Mapping!$E$17:$E$28,MATCH($J4797,Mapping!$D$17:$D$28,0)),"(unmapped)")))))</f>
        <v/>
      </c>
    </row>
    <row r="4798" spans="11:11" x14ac:dyDescent="0.3">
      <c r="K4798" t="str">
        <f>IF($D4798="","",IFERROR(INDEX(Mapping!$H$3:$H$32,MATCH($B4798,Mapping!$G$3:$G$32,0)),IF(LEFT($F4798,3)="P2P",IFERROR(INDEX(Mapping!$E$3:$E$6,MATCH($G4798,Mapping!$D$3:$D$6,0)),IFERROR(INDEX(Mapping!$B$3:$B$13,MATCH($J4798,Mapping!$A$3:$A$13,0)),"(unmapped)")),IFERROR(INDEX(Mapping!$B$17:$B$22,MATCH($F4798,Mapping!$A$17:$A$22,0)),$F4798)&amp;" "&amp;IF($G4798="Banking","Banking",IFERROR(INDEX(Mapping!$E$17:$E$28,MATCH($J4798,Mapping!$D$17:$D$28,0)),"(unmapped)")))))</f>
        <v/>
      </c>
    </row>
    <row r="4799" spans="11:11" x14ac:dyDescent="0.3">
      <c r="K4799" t="str">
        <f>IF($D4799="","",IFERROR(INDEX(Mapping!$H$3:$H$32,MATCH($B4799,Mapping!$G$3:$G$32,0)),IF(LEFT($F4799,3)="P2P",IFERROR(INDEX(Mapping!$E$3:$E$6,MATCH($G4799,Mapping!$D$3:$D$6,0)),IFERROR(INDEX(Mapping!$B$3:$B$13,MATCH($J4799,Mapping!$A$3:$A$13,0)),"(unmapped)")),IFERROR(INDEX(Mapping!$B$17:$B$22,MATCH($F4799,Mapping!$A$17:$A$22,0)),$F4799)&amp;" "&amp;IF($G4799="Banking","Banking",IFERROR(INDEX(Mapping!$E$17:$E$28,MATCH($J4799,Mapping!$D$17:$D$28,0)),"(unmapped)")))))</f>
        <v/>
      </c>
    </row>
    <row r="4800" spans="11:11" x14ac:dyDescent="0.3">
      <c r="K4800" t="str">
        <f>IF($D4800="","",IFERROR(INDEX(Mapping!$H$3:$H$32,MATCH($B4800,Mapping!$G$3:$G$32,0)),IF(LEFT($F4800,3)="P2P",IFERROR(INDEX(Mapping!$E$3:$E$6,MATCH($G4800,Mapping!$D$3:$D$6,0)),IFERROR(INDEX(Mapping!$B$3:$B$13,MATCH($J4800,Mapping!$A$3:$A$13,0)),"(unmapped)")),IFERROR(INDEX(Mapping!$B$17:$B$22,MATCH($F4800,Mapping!$A$17:$A$22,0)),$F4800)&amp;" "&amp;IF($G4800="Banking","Banking",IFERROR(INDEX(Mapping!$E$17:$E$28,MATCH($J4800,Mapping!$D$17:$D$28,0)),"(unmapped)")))))</f>
        <v/>
      </c>
    </row>
    <row r="4801" spans="11:11" x14ac:dyDescent="0.3">
      <c r="K4801" t="str">
        <f>IF($D4801="","",IFERROR(INDEX(Mapping!$H$3:$H$32,MATCH($B4801,Mapping!$G$3:$G$32,0)),IF(LEFT($F4801,3)="P2P",IFERROR(INDEX(Mapping!$E$3:$E$6,MATCH($G4801,Mapping!$D$3:$D$6,0)),IFERROR(INDEX(Mapping!$B$3:$B$13,MATCH($J4801,Mapping!$A$3:$A$13,0)),"(unmapped)")),IFERROR(INDEX(Mapping!$B$17:$B$22,MATCH($F4801,Mapping!$A$17:$A$22,0)),$F4801)&amp;" "&amp;IF($G4801="Banking","Banking",IFERROR(INDEX(Mapping!$E$17:$E$28,MATCH($J4801,Mapping!$D$17:$D$28,0)),"(unmapped)")))))</f>
        <v/>
      </c>
    </row>
    <row r="4802" spans="11:11" x14ac:dyDescent="0.3">
      <c r="K4802" t="str">
        <f>IF($D4802="","",IFERROR(INDEX(Mapping!$H$3:$H$32,MATCH($B4802,Mapping!$G$3:$G$32,0)),IF(LEFT($F4802,3)="P2P",IFERROR(INDEX(Mapping!$E$3:$E$6,MATCH($G4802,Mapping!$D$3:$D$6,0)),IFERROR(INDEX(Mapping!$B$3:$B$13,MATCH($J4802,Mapping!$A$3:$A$13,0)),"(unmapped)")),IFERROR(INDEX(Mapping!$B$17:$B$22,MATCH($F4802,Mapping!$A$17:$A$22,0)),$F4802)&amp;" "&amp;IF($G4802="Banking","Banking",IFERROR(INDEX(Mapping!$E$17:$E$28,MATCH($J4802,Mapping!$D$17:$D$28,0)),"(unmapped)")))))</f>
        <v/>
      </c>
    </row>
    <row r="4803" spans="11:11" x14ac:dyDescent="0.3">
      <c r="K4803" t="str">
        <f>IF($D4803="","",IFERROR(INDEX(Mapping!$H$3:$H$32,MATCH($B4803,Mapping!$G$3:$G$32,0)),IF(LEFT($F4803,3)="P2P",IFERROR(INDEX(Mapping!$E$3:$E$6,MATCH($G4803,Mapping!$D$3:$D$6,0)),IFERROR(INDEX(Mapping!$B$3:$B$13,MATCH($J4803,Mapping!$A$3:$A$13,0)),"(unmapped)")),IFERROR(INDEX(Mapping!$B$17:$B$22,MATCH($F4803,Mapping!$A$17:$A$22,0)),$F4803)&amp;" "&amp;IF($G4803="Banking","Banking",IFERROR(INDEX(Mapping!$E$17:$E$28,MATCH($J4803,Mapping!$D$17:$D$28,0)),"(unmapped)")))))</f>
        <v/>
      </c>
    </row>
    <row r="4804" spans="11:11" x14ac:dyDescent="0.3">
      <c r="K4804" t="str">
        <f>IF($D4804="","",IFERROR(INDEX(Mapping!$H$3:$H$32,MATCH($B4804,Mapping!$G$3:$G$32,0)),IF(LEFT($F4804,3)="P2P",IFERROR(INDEX(Mapping!$E$3:$E$6,MATCH($G4804,Mapping!$D$3:$D$6,0)),IFERROR(INDEX(Mapping!$B$3:$B$13,MATCH($J4804,Mapping!$A$3:$A$13,0)),"(unmapped)")),IFERROR(INDEX(Mapping!$B$17:$B$22,MATCH($F4804,Mapping!$A$17:$A$22,0)),$F4804)&amp;" "&amp;IF($G4804="Banking","Banking",IFERROR(INDEX(Mapping!$E$17:$E$28,MATCH($J4804,Mapping!$D$17:$D$28,0)),"(unmapped)")))))</f>
        <v/>
      </c>
    </row>
    <row r="4805" spans="11:11" x14ac:dyDescent="0.3">
      <c r="K4805" t="str">
        <f>IF($D4805="","",IFERROR(INDEX(Mapping!$H$3:$H$32,MATCH($B4805,Mapping!$G$3:$G$32,0)),IF(LEFT($F4805,3)="P2P",IFERROR(INDEX(Mapping!$E$3:$E$6,MATCH($G4805,Mapping!$D$3:$D$6,0)),IFERROR(INDEX(Mapping!$B$3:$B$13,MATCH($J4805,Mapping!$A$3:$A$13,0)),"(unmapped)")),IFERROR(INDEX(Mapping!$B$17:$B$22,MATCH($F4805,Mapping!$A$17:$A$22,0)),$F4805)&amp;" "&amp;IF($G4805="Banking","Banking",IFERROR(INDEX(Mapping!$E$17:$E$28,MATCH($J4805,Mapping!$D$17:$D$28,0)),"(unmapped)")))))</f>
        <v/>
      </c>
    </row>
    <row r="4806" spans="11:11" x14ac:dyDescent="0.3">
      <c r="K4806" t="str">
        <f>IF($D4806="","",IFERROR(INDEX(Mapping!$H$3:$H$32,MATCH($B4806,Mapping!$G$3:$G$32,0)),IF(LEFT($F4806,3)="P2P",IFERROR(INDEX(Mapping!$E$3:$E$6,MATCH($G4806,Mapping!$D$3:$D$6,0)),IFERROR(INDEX(Mapping!$B$3:$B$13,MATCH($J4806,Mapping!$A$3:$A$13,0)),"(unmapped)")),IFERROR(INDEX(Mapping!$B$17:$B$22,MATCH($F4806,Mapping!$A$17:$A$22,0)),$F4806)&amp;" "&amp;IF($G4806="Banking","Banking",IFERROR(INDEX(Mapping!$E$17:$E$28,MATCH($J4806,Mapping!$D$17:$D$28,0)),"(unmapped)")))))</f>
        <v/>
      </c>
    </row>
    <row r="4807" spans="11:11" x14ac:dyDescent="0.3">
      <c r="K4807" t="str">
        <f>IF($D4807="","",IFERROR(INDEX(Mapping!$H$3:$H$32,MATCH($B4807,Mapping!$G$3:$G$32,0)),IF(LEFT($F4807,3)="P2P",IFERROR(INDEX(Mapping!$E$3:$E$6,MATCH($G4807,Mapping!$D$3:$D$6,0)),IFERROR(INDEX(Mapping!$B$3:$B$13,MATCH($J4807,Mapping!$A$3:$A$13,0)),"(unmapped)")),IFERROR(INDEX(Mapping!$B$17:$B$22,MATCH($F4807,Mapping!$A$17:$A$22,0)),$F4807)&amp;" "&amp;IF($G4807="Banking","Banking",IFERROR(INDEX(Mapping!$E$17:$E$28,MATCH($J4807,Mapping!$D$17:$D$28,0)),"(unmapped)")))))</f>
        <v/>
      </c>
    </row>
    <row r="4808" spans="11:11" x14ac:dyDescent="0.3">
      <c r="K4808" t="str">
        <f>IF($D4808="","",IFERROR(INDEX(Mapping!$H$3:$H$32,MATCH($B4808,Mapping!$G$3:$G$32,0)),IF(LEFT($F4808,3)="P2P",IFERROR(INDEX(Mapping!$E$3:$E$6,MATCH($G4808,Mapping!$D$3:$D$6,0)),IFERROR(INDEX(Mapping!$B$3:$B$13,MATCH($J4808,Mapping!$A$3:$A$13,0)),"(unmapped)")),IFERROR(INDEX(Mapping!$B$17:$B$22,MATCH($F4808,Mapping!$A$17:$A$22,0)),$F4808)&amp;" "&amp;IF($G4808="Banking","Banking",IFERROR(INDEX(Mapping!$E$17:$E$28,MATCH($J4808,Mapping!$D$17:$D$28,0)),"(unmapped)")))))</f>
        <v/>
      </c>
    </row>
    <row r="4809" spans="11:11" x14ac:dyDescent="0.3">
      <c r="K4809" t="str">
        <f>IF($D4809="","",IFERROR(INDEX(Mapping!$H$3:$H$32,MATCH($B4809,Mapping!$G$3:$G$32,0)),IF(LEFT($F4809,3)="P2P",IFERROR(INDEX(Mapping!$E$3:$E$6,MATCH($G4809,Mapping!$D$3:$D$6,0)),IFERROR(INDEX(Mapping!$B$3:$B$13,MATCH($J4809,Mapping!$A$3:$A$13,0)),"(unmapped)")),IFERROR(INDEX(Mapping!$B$17:$B$22,MATCH($F4809,Mapping!$A$17:$A$22,0)),$F4809)&amp;" "&amp;IF($G4809="Banking","Banking",IFERROR(INDEX(Mapping!$E$17:$E$28,MATCH($J4809,Mapping!$D$17:$D$28,0)),"(unmapped)")))))</f>
        <v/>
      </c>
    </row>
    <row r="4810" spans="11:11" x14ac:dyDescent="0.3">
      <c r="K4810" t="str">
        <f>IF($D4810="","",IFERROR(INDEX(Mapping!$H$3:$H$32,MATCH($B4810,Mapping!$G$3:$G$32,0)),IF(LEFT($F4810,3)="P2P",IFERROR(INDEX(Mapping!$E$3:$E$6,MATCH($G4810,Mapping!$D$3:$D$6,0)),IFERROR(INDEX(Mapping!$B$3:$B$13,MATCH($J4810,Mapping!$A$3:$A$13,0)),"(unmapped)")),IFERROR(INDEX(Mapping!$B$17:$B$22,MATCH($F4810,Mapping!$A$17:$A$22,0)),$F4810)&amp;" "&amp;IF($G4810="Banking","Banking",IFERROR(INDEX(Mapping!$E$17:$E$28,MATCH($J4810,Mapping!$D$17:$D$28,0)),"(unmapped)")))))</f>
        <v/>
      </c>
    </row>
    <row r="4811" spans="11:11" x14ac:dyDescent="0.3">
      <c r="K4811" t="str">
        <f>IF($D4811="","",IFERROR(INDEX(Mapping!$H$3:$H$32,MATCH($B4811,Mapping!$G$3:$G$32,0)),IF(LEFT($F4811,3)="P2P",IFERROR(INDEX(Mapping!$E$3:$E$6,MATCH($G4811,Mapping!$D$3:$D$6,0)),IFERROR(INDEX(Mapping!$B$3:$B$13,MATCH($J4811,Mapping!$A$3:$A$13,0)),"(unmapped)")),IFERROR(INDEX(Mapping!$B$17:$B$22,MATCH($F4811,Mapping!$A$17:$A$22,0)),$F4811)&amp;" "&amp;IF($G4811="Banking","Banking",IFERROR(INDEX(Mapping!$E$17:$E$28,MATCH($J4811,Mapping!$D$17:$D$28,0)),"(unmapped)")))))</f>
        <v/>
      </c>
    </row>
    <row r="4812" spans="11:11" x14ac:dyDescent="0.3">
      <c r="K4812" t="str">
        <f>IF($D4812="","",IFERROR(INDEX(Mapping!$H$3:$H$32,MATCH($B4812,Mapping!$G$3:$G$32,0)),IF(LEFT($F4812,3)="P2P",IFERROR(INDEX(Mapping!$E$3:$E$6,MATCH($G4812,Mapping!$D$3:$D$6,0)),IFERROR(INDEX(Mapping!$B$3:$B$13,MATCH($J4812,Mapping!$A$3:$A$13,0)),"(unmapped)")),IFERROR(INDEX(Mapping!$B$17:$B$22,MATCH($F4812,Mapping!$A$17:$A$22,0)),$F4812)&amp;" "&amp;IF($G4812="Banking","Banking",IFERROR(INDEX(Mapping!$E$17:$E$28,MATCH($J4812,Mapping!$D$17:$D$28,0)),"(unmapped)")))))</f>
        <v/>
      </c>
    </row>
    <row r="4813" spans="11:11" x14ac:dyDescent="0.3">
      <c r="K4813" t="str">
        <f>IF($D4813="","",IFERROR(INDEX(Mapping!$H$3:$H$32,MATCH($B4813,Mapping!$G$3:$G$32,0)),IF(LEFT($F4813,3)="P2P",IFERROR(INDEX(Mapping!$E$3:$E$6,MATCH($G4813,Mapping!$D$3:$D$6,0)),IFERROR(INDEX(Mapping!$B$3:$B$13,MATCH($J4813,Mapping!$A$3:$A$13,0)),"(unmapped)")),IFERROR(INDEX(Mapping!$B$17:$B$22,MATCH($F4813,Mapping!$A$17:$A$22,0)),$F4813)&amp;" "&amp;IF($G4813="Banking","Banking",IFERROR(INDEX(Mapping!$E$17:$E$28,MATCH($J4813,Mapping!$D$17:$D$28,0)),"(unmapped)")))))</f>
        <v/>
      </c>
    </row>
    <row r="4814" spans="11:11" x14ac:dyDescent="0.3">
      <c r="K4814" t="str">
        <f>IF($D4814="","",IFERROR(INDEX(Mapping!$H$3:$H$32,MATCH($B4814,Mapping!$G$3:$G$32,0)),IF(LEFT($F4814,3)="P2P",IFERROR(INDEX(Mapping!$E$3:$E$6,MATCH($G4814,Mapping!$D$3:$D$6,0)),IFERROR(INDEX(Mapping!$B$3:$B$13,MATCH($J4814,Mapping!$A$3:$A$13,0)),"(unmapped)")),IFERROR(INDEX(Mapping!$B$17:$B$22,MATCH($F4814,Mapping!$A$17:$A$22,0)),$F4814)&amp;" "&amp;IF($G4814="Banking","Banking",IFERROR(INDEX(Mapping!$E$17:$E$28,MATCH($J4814,Mapping!$D$17:$D$28,0)),"(unmapped)")))))</f>
        <v/>
      </c>
    </row>
    <row r="4815" spans="11:11" x14ac:dyDescent="0.3">
      <c r="K4815" t="str">
        <f>IF($D4815="","",IFERROR(INDEX(Mapping!$H$3:$H$32,MATCH($B4815,Mapping!$G$3:$G$32,0)),IF(LEFT($F4815,3)="P2P",IFERROR(INDEX(Mapping!$E$3:$E$6,MATCH($G4815,Mapping!$D$3:$D$6,0)),IFERROR(INDEX(Mapping!$B$3:$B$13,MATCH($J4815,Mapping!$A$3:$A$13,0)),"(unmapped)")),IFERROR(INDEX(Mapping!$B$17:$B$22,MATCH($F4815,Mapping!$A$17:$A$22,0)),$F4815)&amp;" "&amp;IF($G4815="Banking","Banking",IFERROR(INDEX(Mapping!$E$17:$E$28,MATCH($J4815,Mapping!$D$17:$D$28,0)),"(unmapped)")))))</f>
        <v/>
      </c>
    </row>
    <row r="4816" spans="11:11" x14ac:dyDescent="0.3">
      <c r="K4816" t="str">
        <f>IF($D4816="","",IFERROR(INDEX(Mapping!$H$3:$H$32,MATCH($B4816,Mapping!$G$3:$G$32,0)),IF(LEFT($F4816,3)="P2P",IFERROR(INDEX(Mapping!$E$3:$E$6,MATCH($G4816,Mapping!$D$3:$D$6,0)),IFERROR(INDEX(Mapping!$B$3:$B$13,MATCH($J4816,Mapping!$A$3:$A$13,0)),"(unmapped)")),IFERROR(INDEX(Mapping!$B$17:$B$22,MATCH($F4816,Mapping!$A$17:$A$22,0)),$F4816)&amp;" "&amp;IF($G4816="Banking","Banking",IFERROR(INDEX(Mapping!$E$17:$E$28,MATCH($J4816,Mapping!$D$17:$D$28,0)),"(unmapped)")))))</f>
        <v/>
      </c>
    </row>
    <row r="4817" spans="11:11" x14ac:dyDescent="0.3">
      <c r="K4817" t="str">
        <f>IF($D4817="","",IFERROR(INDEX(Mapping!$H$3:$H$32,MATCH($B4817,Mapping!$G$3:$G$32,0)),IF(LEFT($F4817,3)="P2P",IFERROR(INDEX(Mapping!$E$3:$E$6,MATCH($G4817,Mapping!$D$3:$D$6,0)),IFERROR(INDEX(Mapping!$B$3:$B$13,MATCH($J4817,Mapping!$A$3:$A$13,0)),"(unmapped)")),IFERROR(INDEX(Mapping!$B$17:$B$22,MATCH($F4817,Mapping!$A$17:$A$22,0)),$F4817)&amp;" "&amp;IF($G4817="Banking","Banking",IFERROR(INDEX(Mapping!$E$17:$E$28,MATCH($J4817,Mapping!$D$17:$D$28,0)),"(unmapped)")))))</f>
        <v/>
      </c>
    </row>
    <row r="4818" spans="11:11" x14ac:dyDescent="0.3">
      <c r="K4818" t="str">
        <f>IF($D4818="","",IFERROR(INDEX(Mapping!$H$3:$H$32,MATCH($B4818,Mapping!$G$3:$G$32,0)),IF(LEFT($F4818,3)="P2P",IFERROR(INDEX(Mapping!$E$3:$E$6,MATCH($G4818,Mapping!$D$3:$D$6,0)),IFERROR(INDEX(Mapping!$B$3:$B$13,MATCH($J4818,Mapping!$A$3:$A$13,0)),"(unmapped)")),IFERROR(INDEX(Mapping!$B$17:$B$22,MATCH($F4818,Mapping!$A$17:$A$22,0)),$F4818)&amp;" "&amp;IF($G4818="Banking","Banking",IFERROR(INDEX(Mapping!$E$17:$E$28,MATCH($J4818,Mapping!$D$17:$D$28,0)),"(unmapped)")))))</f>
        <v/>
      </c>
    </row>
    <row r="4819" spans="11:11" x14ac:dyDescent="0.3">
      <c r="K4819" t="str">
        <f>IF($D4819="","",IFERROR(INDEX(Mapping!$H$3:$H$32,MATCH($B4819,Mapping!$G$3:$G$32,0)),IF(LEFT($F4819,3)="P2P",IFERROR(INDEX(Mapping!$E$3:$E$6,MATCH($G4819,Mapping!$D$3:$D$6,0)),IFERROR(INDEX(Mapping!$B$3:$B$13,MATCH($J4819,Mapping!$A$3:$A$13,0)),"(unmapped)")),IFERROR(INDEX(Mapping!$B$17:$B$22,MATCH($F4819,Mapping!$A$17:$A$22,0)),$F4819)&amp;" "&amp;IF($G4819="Banking","Banking",IFERROR(INDEX(Mapping!$E$17:$E$28,MATCH($J4819,Mapping!$D$17:$D$28,0)),"(unmapped)")))))</f>
        <v/>
      </c>
    </row>
    <row r="4820" spans="11:11" x14ac:dyDescent="0.3">
      <c r="K4820" t="str">
        <f>IF($D4820="","",IFERROR(INDEX(Mapping!$H$3:$H$32,MATCH($B4820,Mapping!$G$3:$G$32,0)),IF(LEFT($F4820,3)="P2P",IFERROR(INDEX(Mapping!$E$3:$E$6,MATCH($G4820,Mapping!$D$3:$D$6,0)),IFERROR(INDEX(Mapping!$B$3:$B$13,MATCH($J4820,Mapping!$A$3:$A$13,0)),"(unmapped)")),IFERROR(INDEX(Mapping!$B$17:$B$22,MATCH($F4820,Mapping!$A$17:$A$22,0)),$F4820)&amp;" "&amp;IF($G4820="Banking","Banking",IFERROR(INDEX(Mapping!$E$17:$E$28,MATCH($J4820,Mapping!$D$17:$D$28,0)),"(unmapped)")))))</f>
        <v/>
      </c>
    </row>
    <row r="4821" spans="11:11" x14ac:dyDescent="0.3">
      <c r="K4821" t="str">
        <f>IF($D4821="","",IFERROR(INDEX(Mapping!$H$3:$H$32,MATCH($B4821,Mapping!$G$3:$G$32,0)),IF(LEFT($F4821,3)="P2P",IFERROR(INDEX(Mapping!$E$3:$E$6,MATCH($G4821,Mapping!$D$3:$D$6,0)),IFERROR(INDEX(Mapping!$B$3:$B$13,MATCH($J4821,Mapping!$A$3:$A$13,0)),"(unmapped)")),IFERROR(INDEX(Mapping!$B$17:$B$22,MATCH($F4821,Mapping!$A$17:$A$22,0)),$F4821)&amp;" "&amp;IF($G4821="Banking","Banking",IFERROR(INDEX(Mapping!$E$17:$E$28,MATCH($J4821,Mapping!$D$17:$D$28,0)),"(unmapped)")))))</f>
        <v/>
      </c>
    </row>
    <row r="4822" spans="11:11" x14ac:dyDescent="0.3">
      <c r="K4822" t="str">
        <f>IF($D4822="","",IFERROR(INDEX(Mapping!$H$3:$H$32,MATCH($B4822,Mapping!$G$3:$G$32,0)),IF(LEFT($F4822,3)="P2P",IFERROR(INDEX(Mapping!$E$3:$E$6,MATCH($G4822,Mapping!$D$3:$D$6,0)),IFERROR(INDEX(Mapping!$B$3:$B$13,MATCH($J4822,Mapping!$A$3:$A$13,0)),"(unmapped)")),IFERROR(INDEX(Mapping!$B$17:$B$22,MATCH($F4822,Mapping!$A$17:$A$22,0)),$F4822)&amp;" "&amp;IF($G4822="Banking","Banking",IFERROR(INDEX(Mapping!$E$17:$E$28,MATCH($J4822,Mapping!$D$17:$D$28,0)),"(unmapped)")))))</f>
        <v/>
      </c>
    </row>
    <row r="4823" spans="11:11" x14ac:dyDescent="0.3">
      <c r="K4823" t="str">
        <f>IF($D4823="","",IFERROR(INDEX(Mapping!$H$3:$H$32,MATCH($B4823,Mapping!$G$3:$G$32,0)),IF(LEFT($F4823,3)="P2P",IFERROR(INDEX(Mapping!$E$3:$E$6,MATCH($G4823,Mapping!$D$3:$D$6,0)),IFERROR(INDEX(Mapping!$B$3:$B$13,MATCH($J4823,Mapping!$A$3:$A$13,0)),"(unmapped)")),IFERROR(INDEX(Mapping!$B$17:$B$22,MATCH($F4823,Mapping!$A$17:$A$22,0)),$F4823)&amp;" "&amp;IF($G4823="Banking","Banking",IFERROR(INDEX(Mapping!$E$17:$E$28,MATCH($J4823,Mapping!$D$17:$D$28,0)),"(unmapped)")))))</f>
        <v/>
      </c>
    </row>
    <row r="4824" spans="11:11" x14ac:dyDescent="0.3">
      <c r="K4824" t="str">
        <f>IF($D4824="","",IFERROR(INDEX(Mapping!$H$3:$H$32,MATCH($B4824,Mapping!$G$3:$G$32,0)),IF(LEFT($F4824,3)="P2P",IFERROR(INDEX(Mapping!$E$3:$E$6,MATCH($G4824,Mapping!$D$3:$D$6,0)),IFERROR(INDEX(Mapping!$B$3:$B$13,MATCH($J4824,Mapping!$A$3:$A$13,0)),"(unmapped)")),IFERROR(INDEX(Mapping!$B$17:$B$22,MATCH($F4824,Mapping!$A$17:$A$22,0)),$F4824)&amp;" "&amp;IF($G4824="Banking","Banking",IFERROR(INDEX(Mapping!$E$17:$E$28,MATCH($J4824,Mapping!$D$17:$D$28,0)),"(unmapped)")))))</f>
        <v/>
      </c>
    </row>
    <row r="4825" spans="11:11" x14ac:dyDescent="0.3">
      <c r="K4825" t="str">
        <f>IF($D4825="","",IFERROR(INDEX(Mapping!$H$3:$H$32,MATCH($B4825,Mapping!$G$3:$G$32,0)),IF(LEFT($F4825,3)="P2P",IFERROR(INDEX(Mapping!$E$3:$E$6,MATCH($G4825,Mapping!$D$3:$D$6,0)),IFERROR(INDEX(Mapping!$B$3:$B$13,MATCH($J4825,Mapping!$A$3:$A$13,0)),"(unmapped)")),IFERROR(INDEX(Mapping!$B$17:$B$22,MATCH($F4825,Mapping!$A$17:$A$22,0)),$F4825)&amp;" "&amp;IF($G4825="Banking","Banking",IFERROR(INDEX(Mapping!$E$17:$E$28,MATCH($J4825,Mapping!$D$17:$D$28,0)),"(unmapped)")))))</f>
        <v/>
      </c>
    </row>
    <row r="4826" spans="11:11" x14ac:dyDescent="0.3">
      <c r="K4826" t="str">
        <f>IF($D4826="","",IFERROR(INDEX(Mapping!$H$3:$H$32,MATCH($B4826,Mapping!$G$3:$G$32,0)),IF(LEFT($F4826,3)="P2P",IFERROR(INDEX(Mapping!$E$3:$E$6,MATCH($G4826,Mapping!$D$3:$D$6,0)),IFERROR(INDEX(Mapping!$B$3:$B$13,MATCH($J4826,Mapping!$A$3:$A$13,0)),"(unmapped)")),IFERROR(INDEX(Mapping!$B$17:$B$22,MATCH($F4826,Mapping!$A$17:$A$22,0)),$F4826)&amp;" "&amp;IF($G4826="Banking","Banking",IFERROR(INDEX(Mapping!$E$17:$E$28,MATCH($J4826,Mapping!$D$17:$D$28,0)),"(unmapped)")))))</f>
        <v/>
      </c>
    </row>
    <row r="4827" spans="11:11" x14ac:dyDescent="0.3">
      <c r="K4827" t="str">
        <f>IF($D4827="","",IFERROR(INDEX(Mapping!$H$3:$H$32,MATCH($B4827,Mapping!$G$3:$G$32,0)),IF(LEFT($F4827,3)="P2P",IFERROR(INDEX(Mapping!$E$3:$E$6,MATCH($G4827,Mapping!$D$3:$D$6,0)),IFERROR(INDEX(Mapping!$B$3:$B$13,MATCH($J4827,Mapping!$A$3:$A$13,0)),"(unmapped)")),IFERROR(INDEX(Mapping!$B$17:$B$22,MATCH($F4827,Mapping!$A$17:$A$22,0)),$F4827)&amp;" "&amp;IF($G4827="Banking","Banking",IFERROR(INDEX(Mapping!$E$17:$E$28,MATCH($J4827,Mapping!$D$17:$D$28,0)),"(unmapped)")))))</f>
        <v/>
      </c>
    </row>
    <row r="4828" spans="11:11" x14ac:dyDescent="0.3">
      <c r="K4828" t="str">
        <f>IF($D4828="","",IFERROR(INDEX(Mapping!$H$3:$H$32,MATCH($B4828,Mapping!$G$3:$G$32,0)),IF(LEFT($F4828,3)="P2P",IFERROR(INDEX(Mapping!$E$3:$E$6,MATCH($G4828,Mapping!$D$3:$D$6,0)),IFERROR(INDEX(Mapping!$B$3:$B$13,MATCH($J4828,Mapping!$A$3:$A$13,0)),"(unmapped)")),IFERROR(INDEX(Mapping!$B$17:$B$22,MATCH($F4828,Mapping!$A$17:$A$22,0)),$F4828)&amp;" "&amp;IF($G4828="Banking","Banking",IFERROR(INDEX(Mapping!$E$17:$E$28,MATCH($J4828,Mapping!$D$17:$D$28,0)),"(unmapped)")))))</f>
        <v/>
      </c>
    </row>
    <row r="4829" spans="11:11" x14ac:dyDescent="0.3">
      <c r="K4829" t="str">
        <f>IF($D4829="","",IFERROR(INDEX(Mapping!$H$3:$H$32,MATCH($B4829,Mapping!$G$3:$G$32,0)),IF(LEFT($F4829,3)="P2P",IFERROR(INDEX(Mapping!$E$3:$E$6,MATCH($G4829,Mapping!$D$3:$D$6,0)),IFERROR(INDEX(Mapping!$B$3:$B$13,MATCH($J4829,Mapping!$A$3:$A$13,0)),"(unmapped)")),IFERROR(INDEX(Mapping!$B$17:$B$22,MATCH($F4829,Mapping!$A$17:$A$22,0)),$F4829)&amp;" "&amp;IF($G4829="Banking","Banking",IFERROR(INDEX(Mapping!$E$17:$E$28,MATCH($J4829,Mapping!$D$17:$D$28,0)),"(unmapped)")))))</f>
        <v/>
      </c>
    </row>
    <row r="4830" spans="11:11" x14ac:dyDescent="0.3">
      <c r="K4830" t="str">
        <f>IF($D4830="","",IFERROR(INDEX(Mapping!$H$3:$H$32,MATCH($B4830,Mapping!$G$3:$G$32,0)),IF(LEFT($F4830,3)="P2P",IFERROR(INDEX(Mapping!$E$3:$E$6,MATCH($G4830,Mapping!$D$3:$D$6,0)),IFERROR(INDEX(Mapping!$B$3:$B$13,MATCH($J4830,Mapping!$A$3:$A$13,0)),"(unmapped)")),IFERROR(INDEX(Mapping!$B$17:$B$22,MATCH($F4830,Mapping!$A$17:$A$22,0)),$F4830)&amp;" "&amp;IF($G4830="Banking","Banking",IFERROR(INDEX(Mapping!$E$17:$E$28,MATCH($J4830,Mapping!$D$17:$D$28,0)),"(unmapped)")))))</f>
        <v/>
      </c>
    </row>
    <row r="4831" spans="11:11" x14ac:dyDescent="0.3">
      <c r="K4831" t="str">
        <f>IF($D4831="","",IFERROR(INDEX(Mapping!$H$3:$H$32,MATCH($B4831,Mapping!$G$3:$G$32,0)),IF(LEFT($F4831,3)="P2P",IFERROR(INDEX(Mapping!$E$3:$E$6,MATCH($G4831,Mapping!$D$3:$D$6,0)),IFERROR(INDEX(Mapping!$B$3:$B$13,MATCH($J4831,Mapping!$A$3:$A$13,0)),"(unmapped)")),IFERROR(INDEX(Mapping!$B$17:$B$22,MATCH($F4831,Mapping!$A$17:$A$22,0)),$F4831)&amp;" "&amp;IF($G4831="Banking","Banking",IFERROR(INDEX(Mapping!$E$17:$E$28,MATCH($J4831,Mapping!$D$17:$D$28,0)),"(unmapped)")))))</f>
        <v/>
      </c>
    </row>
    <row r="4832" spans="11:11" x14ac:dyDescent="0.3">
      <c r="K4832" t="str">
        <f>IF($D4832="","",IFERROR(INDEX(Mapping!$H$3:$H$32,MATCH($B4832,Mapping!$G$3:$G$32,0)),IF(LEFT($F4832,3)="P2P",IFERROR(INDEX(Mapping!$E$3:$E$6,MATCH($G4832,Mapping!$D$3:$D$6,0)),IFERROR(INDEX(Mapping!$B$3:$B$13,MATCH($J4832,Mapping!$A$3:$A$13,0)),"(unmapped)")),IFERROR(INDEX(Mapping!$B$17:$B$22,MATCH($F4832,Mapping!$A$17:$A$22,0)),$F4832)&amp;" "&amp;IF($G4832="Banking","Banking",IFERROR(INDEX(Mapping!$E$17:$E$28,MATCH($J4832,Mapping!$D$17:$D$28,0)),"(unmapped)")))))</f>
        <v/>
      </c>
    </row>
    <row r="4833" spans="11:11" x14ac:dyDescent="0.3">
      <c r="K4833" t="str">
        <f>IF($D4833="","",IFERROR(INDEX(Mapping!$H$3:$H$32,MATCH($B4833,Mapping!$G$3:$G$32,0)),IF(LEFT($F4833,3)="P2P",IFERROR(INDEX(Mapping!$E$3:$E$6,MATCH($G4833,Mapping!$D$3:$D$6,0)),IFERROR(INDEX(Mapping!$B$3:$B$13,MATCH($J4833,Mapping!$A$3:$A$13,0)),"(unmapped)")),IFERROR(INDEX(Mapping!$B$17:$B$22,MATCH($F4833,Mapping!$A$17:$A$22,0)),$F4833)&amp;" "&amp;IF($G4833="Banking","Banking",IFERROR(INDEX(Mapping!$E$17:$E$28,MATCH($J4833,Mapping!$D$17:$D$28,0)),"(unmapped)")))))</f>
        <v/>
      </c>
    </row>
    <row r="4834" spans="11:11" x14ac:dyDescent="0.3">
      <c r="K4834" t="str">
        <f>IF($D4834="","",IFERROR(INDEX(Mapping!$H$3:$H$32,MATCH($B4834,Mapping!$G$3:$G$32,0)),IF(LEFT($F4834,3)="P2P",IFERROR(INDEX(Mapping!$E$3:$E$6,MATCH($G4834,Mapping!$D$3:$D$6,0)),IFERROR(INDEX(Mapping!$B$3:$B$13,MATCH($J4834,Mapping!$A$3:$A$13,0)),"(unmapped)")),IFERROR(INDEX(Mapping!$B$17:$B$22,MATCH($F4834,Mapping!$A$17:$A$22,0)),$F4834)&amp;" "&amp;IF($G4834="Banking","Banking",IFERROR(INDEX(Mapping!$E$17:$E$28,MATCH($J4834,Mapping!$D$17:$D$28,0)),"(unmapped)")))))</f>
        <v/>
      </c>
    </row>
    <row r="4835" spans="11:11" x14ac:dyDescent="0.3">
      <c r="K4835" t="str">
        <f>IF($D4835="","",IFERROR(INDEX(Mapping!$H$3:$H$32,MATCH($B4835,Mapping!$G$3:$G$32,0)),IF(LEFT($F4835,3)="P2P",IFERROR(INDEX(Mapping!$E$3:$E$6,MATCH($G4835,Mapping!$D$3:$D$6,0)),IFERROR(INDEX(Mapping!$B$3:$B$13,MATCH($J4835,Mapping!$A$3:$A$13,0)),"(unmapped)")),IFERROR(INDEX(Mapping!$B$17:$B$22,MATCH($F4835,Mapping!$A$17:$A$22,0)),$F4835)&amp;" "&amp;IF($G4835="Banking","Banking",IFERROR(INDEX(Mapping!$E$17:$E$28,MATCH($J4835,Mapping!$D$17:$D$28,0)),"(unmapped)")))))</f>
        <v/>
      </c>
    </row>
    <row r="4836" spans="11:11" x14ac:dyDescent="0.3">
      <c r="K4836" t="str">
        <f>IF($D4836="","",IFERROR(INDEX(Mapping!$H$3:$H$32,MATCH($B4836,Mapping!$G$3:$G$32,0)),IF(LEFT($F4836,3)="P2P",IFERROR(INDEX(Mapping!$E$3:$E$6,MATCH($G4836,Mapping!$D$3:$D$6,0)),IFERROR(INDEX(Mapping!$B$3:$B$13,MATCH($J4836,Mapping!$A$3:$A$13,0)),"(unmapped)")),IFERROR(INDEX(Mapping!$B$17:$B$22,MATCH($F4836,Mapping!$A$17:$A$22,0)),$F4836)&amp;" "&amp;IF($G4836="Banking","Banking",IFERROR(INDEX(Mapping!$E$17:$E$28,MATCH($J4836,Mapping!$D$17:$D$28,0)),"(unmapped)")))))</f>
        <v/>
      </c>
    </row>
    <row r="4837" spans="11:11" x14ac:dyDescent="0.3">
      <c r="K4837" t="str">
        <f>IF($D4837="","",IFERROR(INDEX(Mapping!$H$3:$H$32,MATCH($B4837,Mapping!$G$3:$G$32,0)),IF(LEFT($F4837,3)="P2P",IFERROR(INDEX(Mapping!$E$3:$E$6,MATCH($G4837,Mapping!$D$3:$D$6,0)),IFERROR(INDEX(Mapping!$B$3:$B$13,MATCH($J4837,Mapping!$A$3:$A$13,0)),"(unmapped)")),IFERROR(INDEX(Mapping!$B$17:$B$22,MATCH($F4837,Mapping!$A$17:$A$22,0)),$F4837)&amp;" "&amp;IF($G4837="Banking","Banking",IFERROR(INDEX(Mapping!$E$17:$E$28,MATCH($J4837,Mapping!$D$17:$D$28,0)),"(unmapped)")))))</f>
        <v/>
      </c>
    </row>
    <row r="4838" spans="11:11" x14ac:dyDescent="0.3">
      <c r="K4838" t="str">
        <f>IF($D4838="","",IFERROR(INDEX(Mapping!$H$3:$H$32,MATCH($B4838,Mapping!$G$3:$G$32,0)),IF(LEFT($F4838,3)="P2P",IFERROR(INDEX(Mapping!$E$3:$E$6,MATCH($G4838,Mapping!$D$3:$D$6,0)),IFERROR(INDEX(Mapping!$B$3:$B$13,MATCH($J4838,Mapping!$A$3:$A$13,0)),"(unmapped)")),IFERROR(INDEX(Mapping!$B$17:$B$22,MATCH($F4838,Mapping!$A$17:$A$22,0)),$F4838)&amp;" "&amp;IF($G4838="Banking","Banking",IFERROR(INDEX(Mapping!$E$17:$E$28,MATCH($J4838,Mapping!$D$17:$D$28,0)),"(unmapped)")))))</f>
        <v/>
      </c>
    </row>
    <row r="4839" spans="11:11" x14ac:dyDescent="0.3">
      <c r="K4839" t="str">
        <f>IF($D4839="","",IFERROR(INDEX(Mapping!$H$3:$H$32,MATCH($B4839,Mapping!$G$3:$G$32,0)),IF(LEFT($F4839,3)="P2P",IFERROR(INDEX(Mapping!$E$3:$E$6,MATCH($G4839,Mapping!$D$3:$D$6,0)),IFERROR(INDEX(Mapping!$B$3:$B$13,MATCH($J4839,Mapping!$A$3:$A$13,0)),"(unmapped)")),IFERROR(INDEX(Mapping!$B$17:$B$22,MATCH($F4839,Mapping!$A$17:$A$22,0)),$F4839)&amp;" "&amp;IF($G4839="Banking","Banking",IFERROR(INDEX(Mapping!$E$17:$E$28,MATCH($J4839,Mapping!$D$17:$D$28,0)),"(unmapped)")))))</f>
        <v/>
      </c>
    </row>
    <row r="4840" spans="11:11" x14ac:dyDescent="0.3">
      <c r="K4840" t="str">
        <f>IF($D4840="","",IFERROR(INDEX(Mapping!$H$3:$H$32,MATCH($B4840,Mapping!$G$3:$G$32,0)),IF(LEFT($F4840,3)="P2P",IFERROR(INDEX(Mapping!$E$3:$E$6,MATCH($G4840,Mapping!$D$3:$D$6,0)),IFERROR(INDEX(Mapping!$B$3:$B$13,MATCH($J4840,Mapping!$A$3:$A$13,0)),"(unmapped)")),IFERROR(INDEX(Mapping!$B$17:$B$22,MATCH($F4840,Mapping!$A$17:$A$22,0)),$F4840)&amp;" "&amp;IF($G4840="Banking","Banking",IFERROR(INDEX(Mapping!$E$17:$E$28,MATCH($J4840,Mapping!$D$17:$D$28,0)),"(unmapped)")))))</f>
        <v/>
      </c>
    </row>
    <row r="4841" spans="11:11" x14ac:dyDescent="0.3">
      <c r="K4841" t="str">
        <f>IF($D4841="","",IFERROR(INDEX(Mapping!$H$3:$H$32,MATCH($B4841,Mapping!$G$3:$G$32,0)),IF(LEFT($F4841,3)="P2P",IFERROR(INDEX(Mapping!$E$3:$E$6,MATCH($G4841,Mapping!$D$3:$D$6,0)),IFERROR(INDEX(Mapping!$B$3:$B$13,MATCH($J4841,Mapping!$A$3:$A$13,0)),"(unmapped)")),IFERROR(INDEX(Mapping!$B$17:$B$22,MATCH($F4841,Mapping!$A$17:$A$22,0)),$F4841)&amp;" "&amp;IF($G4841="Banking","Banking",IFERROR(INDEX(Mapping!$E$17:$E$28,MATCH($J4841,Mapping!$D$17:$D$28,0)),"(unmapped)")))))</f>
        <v/>
      </c>
    </row>
    <row r="4842" spans="11:11" x14ac:dyDescent="0.3">
      <c r="K4842" t="str">
        <f>IF($D4842="","",IFERROR(INDEX(Mapping!$H$3:$H$32,MATCH($B4842,Mapping!$G$3:$G$32,0)),IF(LEFT($F4842,3)="P2P",IFERROR(INDEX(Mapping!$E$3:$E$6,MATCH($G4842,Mapping!$D$3:$D$6,0)),IFERROR(INDEX(Mapping!$B$3:$B$13,MATCH($J4842,Mapping!$A$3:$A$13,0)),"(unmapped)")),IFERROR(INDEX(Mapping!$B$17:$B$22,MATCH($F4842,Mapping!$A$17:$A$22,0)),$F4842)&amp;" "&amp;IF($G4842="Banking","Banking",IFERROR(INDEX(Mapping!$E$17:$E$28,MATCH($J4842,Mapping!$D$17:$D$28,0)),"(unmapped)")))))</f>
        <v/>
      </c>
    </row>
    <row r="4843" spans="11:11" x14ac:dyDescent="0.3">
      <c r="K4843" t="str">
        <f>IF($D4843="","",IFERROR(INDEX(Mapping!$H$3:$H$32,MATCH($B4843,Mapping!$G$3:$G$32,0)),IF(LEFT($F4843,3)="P2P",IFERROR(INDEX(Mapping!$E$3:$E$6,MATCH($G4843,Mapping!$D$3:$D$6,0)),IFERROR(INDEX(Mapping!$B$3:$B$13,MATCH($J4843,Mapping!$A$3:$A$13,0)),"(unmapped)")),IFERROR(INDEX(Mapping!$B$17:$B$22,MATCH($F4843,Mapping!$A$17:$A$22,0)),$F4843)&amp;" "&amp;IF($G4843="Banking","Banking",IFERROR(INDEX(Mapping!$E$17:$E$28,MATCH($J4843,Mapping!$D$17:$D$28,0)),"(unmapped)")))))</f>
        <v/>
      </c>
    </row>
    <row r="4844" spans="11:11" x14ac:dyDescent="0.3">
      <c r="K4844" t="str">
        <f>IF($D4844="","",IFERROR(INDEX(Mapping!$H$3:$H$32,MATCH($B4844,Mapping!$G$3:$G$32,0)),IF(LEFT($F4844,3)="P2P",IFERROR(INDEX(Mapping!$E$3:$E$6,MATCH($G4844,Mapping!$D$3:$D$6,0)),IFERROR(INDEX(Mapping!$B$3:$B$13,MATCH($J4844,Mapping!$A$3:$A$13,0)),"(unmapped)")),IFERROR(INDEX(Mapping!$B$17:$B$22,MATCH($F4844,Mapping!$A$17:$A$22,0)),$F4844)&amp;" "&amp;IF($G4844="Banking","Banking",IFERROR(INDEX(Mapping!$E$17:$E$28,MATCH($J4844,Mapping!$D$17:$D$28,0)),"(unmapped)")))))</f>
        <v/>
      </c>
    </row>
    <row r="4845" spans="11:11" x14ac:dyDescent="0.3">
      <c r="K4845" t="str">
        <f>IF($D4845="","",IFERROR(INDEX(Mapping!$H$3:$H$32,MATCH($B4845,Mapping!$G$3:$G$32,0)),IF(LEFT($F4845,3)="P2P",IFERROR(INDEX(Mapping!$E$3:$E$6,MATCH($G4845,Mapping!$D$3:$D$6,0)),IFERROR(INDEX(Mapping!$B$3:$B$13,MATCH($J4845,Mapping!$A$3:$A$13,0)),"(unmapped)")),IFERROR(INDEX(Mapping!$B$17:$B$22,MATCH($F4845,Mapping!$A$17:$A$22,0)),$F4845)&amp;" "&amp;IF($G4845="Banking","Banking",IFERROR(INDEX(Mapping!$E$17:$E$28,MATCH($J4845,Mapping!$D$17:$D$28,0)),"(unmapped)")))))</f>
        <v/>
      </c>
    </row>
    <row r="4846" spans="11:11" x14ac:dyDescent="0.3">
      <c r="K4846" t="str">
        <f>IF($D4846="","",IFERROR(INDEX(Mapping!$H$3:$H$32,MATCH($B4846,Mapping!$G$3:$G$32,0)),IF(LEFT($F4846,3)="P2P",IFERROR(INDEX(Mapping!$E$3:$E$6,MATCH($G4846,Mapping!$D$3:$D$6,0)),IFERROR(INDEX(Mapping!$B$3:$B$13,MATCH($J4846,Mapping!$A$3:$A$13,0)),"(unmapped)")),IFERROR(INDEX(Mapping!$B$17:$B$22,MATCH($F4846,Mapping!$A$17:$A$22,0)),$F4846)&amp;" "&amp;IF($G4846="Banking","Banking",IFERROR(INDEX(Mapping!$E$17:$E$28,MATCH($J4846,Mapping!$D$17:$D$28,0)),"(unmapped)")))))</f>
        <v/>
      </c>
    </row>
    <row r="4847" spans="11:11" x14ac:dyDescent="0.3">
      <c r="K4847" t="str">
        <f>IF($D4847="","",IFERROR(INDEX(Mapping!$H$3:$H$32,MATCH($B4847,Mapping!$G$3:$G$32,0)),IF(LEFT($F4847,3)="P2P",IFERROR(INDEX(Mapping!$E$3:$E$6,MATCH($G4847,Mapping!$D$3:$D$6,0)),IFERROR(INDEX(Mapping!$B$3:$B$13,MATCH($J4847,Mapping!$A$3:$A$13,0)),"(unmapped)")),IFERROR(INDEX(Mapping!$B$17:$B$22,MATCH($F4847,Mapping!$A$17:$A$22,0)),$F4847)&amp;" "&amp;IF($G4847="Banking","Banking",IFERROR(INDEX(Mapping!$E$17:$E$28,MATCH($J4847,Mapping!$D$17:$D$28,0)),"(unmapped)")))))</f>
        <v/>
      </c>
    </row>
    <row r="4848" spans="11:11" x14ac:dyDescent="0.3">
      <c r="K4848" t="str">
        <f>IF($D4848="","",IFERROR(INDEX(Mapping!$H$3:$H$32,MATCH($B4848,Mapping!$G$3:$G$32,0)),IF(LEFT($F4848,3)="P2P",IFERROR(INDEX(Mapping!$E$3:$E$6,MATCH($G4848,Mapping!$D$3:$D$6,0)),IFERROR(INDEX(Mapping!$B$3:$B$13,MATCH($J4848,Mapping!$A$3:$A$13,0)),"(unmapped)")),IFERROR(INDEX(Mapping!$B$17:$B$22,MATCH($F4848,Mapping!$A$17:$A$22,0)),$F4848)&amp;" "&amp;IF($G4848="Banking","Banking",IFERROR(INDEX(Mapping!$E$17:$E$28,MATCH($J4848,Mapping!$D$17:$D$28,0)),"(unmapped)")))))</f>
        <v/>
      </c>
    </row>
    <row r="4849" spans="11:11" x14ac:dyDescent="0.3">
      <c r="K4849" t="str">
        <f>IF($D4849="","",IFERROR(INDEX(Mapping!$H$3:$H$32,MATCH($B4849,Mapping!$G$3:$G$32,0)),IF(LEFT($F4849,3)="P2P",IFERROR(INDEX(Mapping!$E$3:$E$6,MATCH($G4849,Mapping!$D$3:$D$6,0)),IFERROR(INDEX(Mapping!$B$3:$B$13,MATCH($J4849,Mapping!$A$3:$A$13,0)),"(unmapped)")),IFERROR(INDEX(Mapping!$B$17:$B$22,MATCH($F4849,Mapping!$A$17:$A$22,0)),$F4849)&amp;" "&amp;IF($G4849="Banking","Banking",IFERROR(INDEX(Mapping!$E$17:$E$28,MATCH($J4849,Mapping!$D$17:$D$28,0)),"(unmapped)")))))</f>
        <v/>
      </c>
    </row>
    <row r="4850" spans="11:11" x14ac:dyDescent="0.3">
      <c r="K4850" t="str">
        <f>IF($D4850="","",IFERROR(INDEX(Mapping!$H$3:$H$32,MATCH($B4850,Mapping!$G$3:$G$32,0)),IF(LEFT($F4850,3)="P2P",IFERROR(INDEX(Mapping!$E$3:$E$6,MATCH($G4850,Mapping!$D$3:$D$6,0)),IFERROR(INDEX(Mapping!$B$3:$B$13,MATCH($J4850,Mapping!$A$3:$A$13,0)),"(unmapped)")),IFERROR(INDEX(Mapping!$B$17:$B$22,MATCH($F4850,Mapping!$A$17:$A$22,0)),$F4850)&amp;" "&amp;IF($G4850="Banking","Banking",IFERROR(INDEX(Mapping!$E$17:$E$28,MATCH($J4850,Mapping!$D$17:$D$28,0)),"(unmapped)")))))</f>
        <v/>
      </c>
    </row>
    <row r="4851" spans="11:11" x14ac:dyDescent="0.3">
      <c r="K4851" t="str">
        <f>IF($D4851="","",IFERROR(INDEX(Mapping!$H$3:$H$32,MATCH($B4851,Mapping!$G$3:$G$32,0)),IF(LEFT($F4851,3)="P2P",IFERROR(INDEX(Mapping!$E$3:$E$6,MATCH($G4851,Mapping!$D$3:$D$6,0)),IFERROR(INDEX(Mapping!$B$3:$B$13,MATCH($J4851,Mapping!$A$3:$A$13,0)),"(unmapped)")),IFERROR(INDEX(Mapping!$B$17:$B$22,MATCH($F4851,Mapping!$A$17:$A$22,0)),$F4851)&amp;" "&amp;IF($G4851="Banking","Banking",IFERROR(INDEX(Mapping!$E$17:$E$28,MATCH($J4851,Mapping!$D$17:$D$28,0)),"(unmapped)")))))</f>
        <v/>
      </c>
    </row>
    <row r="4852" spans="11:11" x14ac:dyDescent="0.3">
      <c r="K4852" t="str">
        <f>IF($D4852="","",IFERROR(INDEX(Mapping!$H$3:$H$32,MATCH($B4852,Mapping!$G$3:$G$32,0)),IF(LEFT($F4852,3)="P2P",IFERROR(INDEX(Mapping!$E$3:$E$6,MATCH($G4852,Mapping!$D$3:$D$6,0)),IFERROR(INDEX(Mapping!$B$3:$B$13,MATCH($J4852,Mapping!$A$3:$A$13,0)),"(unmapped)")),IFERROR(INDEX(Mapping!$B$17:$B$22,MATCH($F4852,Mapping!$A$17:$A$22,0)),$F4852)&amp;" "&amp;IF($G4852="Banking","Banking",IFERROR(INDEX(Mapping!$E$17:$E$28,MATCH($J4852,Mapping!$D$17:$D$28,0)),"(unmapped)")))))</f>
        <v/>
      </c>
    </row>
    <row r="4853" spans="11:11" x14ac:dyDescent="0.3">
      <c r="K4853" t="str">
        <f>IF($D4853="","",IFERROR(INDEX(Mapping!$H$3:$H$32,MATCH($B4853,Mapping!$G$3:$G$32,0)),IF(LEFT($F4853,3)="P2P",IFERROR(INDEX(Mapping!$E$3:$E$6,MATCH($G4853,Mapping!$D$3:$D$6,0)),IFERROR(INDEX(Mapping!$B$3:$B$13,MATCH($J4853,Mapping!$A$3:$A$13,0)),"(unmapped)")),IFERROR(INDEX(Mapping!$B$17:$B$22,MATCH($F4853,Mapping!$A$17:$A$22,0)),$F4853)&amp;" "&amp;IF($G4853="Banking","Banking",IFERROR(INDEX(Mapping!$E$17:$E$28,MATCH($J4853,Mapping!$D$17:$D$28,0)),"(unmapped)")))))</f>
        <v/>
      </c>
    </row>
    <row r="4854" spans="11:11" x14ac:dyDescent="0.3">
      <c r="K4854" t="str">
        <f>IF($D4854="","",IFERROR(INDEX(Mapping!$H$3:$H$32,MATCH($B4854,Mapping!$G$3:$G$32,0)),IF(LEFT($F4854,3)="P2P",IFERROR(INDEX(Mapping!$E$3:$E$6,MATCH($G4854,Mapping!$D$3:$D$6,0)),IFERROR(INDEX(Mapping!$B$3:$B$13,MATCH($J4854,Mapping!$A$3:$A$13,0)),"(unmapped)")),IFERROR(INDEX(Mapping!$B$17:$B$22,MATCH($F4854,Mapping!$A$17:$A$22,0)),$F4854)&amp;" "&amp;IF($G4854="Banking","Banking",IFERROR(INDEX(Mapping!$E$17:$E$28,MATCH($J4854,Mapping!$D$17:$D$28,0)),"(unmapped)")))))</f>
        <v/>
      </c>
    </row>
    <row r="4855" spans="11:11" x14ac:dyDescent="0.3">
      <c r="K4855" t="str">
        <f>IF($D4855="","",IFERROR(INDEX(Mapping!$H$3:$H$32,MATCH($B4855,Mapping!$G$3:$G$32,0)),IF(LEFT($F4855,3)="P2P",IFERROR(INDEX(Mapping!$E$3:$E$6,MATCH($G4855,Mapping!$D$3:$D$6,0)),IFERROR(INDEX(Mapping!$B$3:$B$13,MATCH($J4855,Mapping!$A$3:$A$13,0)),"(unmapped)")),IFERROR(INDEX(Mapping!$B$17:$B$22,MATCH($F4855,Mapping!$A$17:$A$22,0)),$F4855)&amp;" "&amp;IF($G4855="Banking","Banking",IFERROR(INDEX(Mapping!$E$17:$E$28,MATCH($J4855,Mapping!$D$17:$D$28,0)),"(unmapped)")))))</f>
        <v/>
      </c>
    </row>
    <row r="4856" spans="11:11" x14ac:dyDescent="0.3">
      <c r="K4856" t="str">
        <f>IF($D4856="","",IFERROR(INDEX(Mapping!$H$3:$H$32,MATCH($B4856,Mapping!$G$3:$G$32,0)),IF(LEFT($F4856,3)="P2P",IFERROR(INDEX(Mapping!$E$3:$E$6,MATCH($G4856,Mapping!$D$3:$D$6,0)),IFERROR(INDEX(Mapping!$B$3:$B$13,MATCH($J4856,Mapping!$A$3:$A$13,0)),"(unmapped)")),IFERROR(INDEX(Mapping!$B$17:$B$22,MATCH($F4856,Mapping!$A$17:$A$22,0)),$F4856)&amp;" "&amp;IF($G4856="Banking","Banking",IFERROR(INDEX(Mapping!$E$17:$E$28,MATCH($J4856,Mapping!$D$17:$D$28,0)),"(unmapped)")))))</f>
        <v/>
      </c>
    </row>
    <row r="4857" spans="11:11" x14ac:dyDescent="0.3">
      <c r="K4857" t="str">
        <f>IF($D4857="","",IFERROR(INDEX(Mapping!$H$3:$H$32,MATCH($B4857,Mapping!$G$3:$G$32,0)),IF(LEFT($F4857,3)="P2P",IFERROR(INDEX(Mapping!$E$3:$E$6,MATCH($G4857,Mapping!$D$3:$D$6,0)),IFERROR(INDEX(Mapping!$B$3:$B$13,MATCH($J4857,Mapping!$A$3:$A$13,0)),"(unmapped)")),IFERROR(INDEX(Mapping!$B$17:$B$22,MATCH($F4857,Mapping!$A$17:$A$22,0)),$F4857)&amp;" "&amp;IF($G4857="Banking","Banking",IFERROR(INDEX(Mapping!$E$17:$E$28,MATCH($J4857,Mapping!$D$17:$D$28,0)),"(unmapped)")))))</f>
        <v/>
      </c>
    </row>
    <row r="4858" spans="11:11" x14ac:dyDescent="0.3">
      <c r="K4858" t="str">
        <f>IF($D4858="","",IFERROR(INDEX(Mapping!$H$3:$H$32,MATCH($B4858,Mapping!$G$3:$G$32,0)),IF(LEFT($F4858,3)="P2P",IFERROR(INDEX(Mapping!$E$3:$E$6,MATCH($G4858,Mapping!$D$3:$D$6,0)),IFERROR(INDEX(Mapping!$B$3:$B$13,MATCH($J4858,Mapping!$A$3:$A$13,0)),"(unmapped)")),IFERROR(INDEX(Mapping!$B$17:$B$22,MATCH($F4858,Mapping!$A$17:$A$22,0)),$F4858)&amp;" "&amp;IF($G4858="Banking","Banking",IFERROR(INDEX(Mapping!$E$17:$E$28,MATCH($J4858,Mapping!$D$17:$D$28,0)),"(unmapped)")))))</f>
        <v/>
      </c>
    </row>
    <row r="4859" spans="11:11" x14ac:dyDescent="0.3">
      <c r="K4859" t="str">
        <f>IF($D4859="","",IFERROR(INDEX(Mapping!$H$3:$H$32,MATCH($B4859,Mapping!$G$3:$G$32,0)),IF(LEFT($F4859,3)="P2P",IFERROR(INDEX(Mapping!$E$3:$E$6,MATCH($G4859,Mapping!$D$3:$D$6,0)),IFERROR(INDEX(Mapping!$B$3:$B$13,MATCH($J4859,Mapping!$A$3:$A$13,0)),"(unmapped)")),IFERROR(INDEX(Mapping!$B$17:$B$22,MATCH($F4859,Mapping!$A$17:$A$22,0)),$F4859)&amp;" "&amp;IF($G4859="Banking","Banking",IFERROR(INDEX(Mapping!$E$17:$E$28,MATCH($J4859,Mapping!$D$17:$D$28,0)),"(unmapped)")))))</f>
        <v/>
      </c>
    </row>
    <row r="4860" spans="11:11" x14ac:dyDescent="0.3">
      <c r="K4860" t="str">
        <f>IF($D4860="","",IFERROR(INDEX(Mapping!$H$3:$H$32,MATCH($B4860,Mapping!$G$3:$G$32,0)),IF(LEFT($F4860,3)="P2P",IFERROR(INDEX(Mapping!$E$3:$E$6,MATCH($G4860,Mapping!$D$3:$D$6,0)),IFERROR(INDEX(Mapping!$B$3:$B$13,MATCH($J4860,Mapping!$A$3:$A$13,0)),"(unmapped)")),IFERROR(INDEX(Mapping!$B$17:$B$22,MATCH($F4860,Mapping!$A$17:$A$22,0)),$F4860)&amp;" "&amp;IF($G4860="Banking","Banking",IFERROR(INDEX(Mapping!$E$17:$E$28,MATCH($J4860,Mapping!$D$17:$D$28,0)),"(unmapped)")))))</f>
        <v/>
      </c>
    </row>
    <row r="4861" spans="11:11" x14ac:dyDescent="0.3">
      <c r="K4861" t="str">
        <f>IF($D4861="","",IFERROR(INDEX(Mapping!$H$3:$H$32,MATCH($B4861,Mapping!$G$3:$G$32,0)),IF(LEFT($F4861,3)="P2P",IFERROR(INDEX(Mapping!$E$3:$E$6,MATCH($G4861,Mapping!$D$3:$D$6,0)),IFERROR(INDEX(Mapping!$B$3:$B$13,MATCH($J4861,Mapping!$A$3:$A$13,0)),"(unmapped)")),IFERROR(INDEX(Mapping!$B$17:$B$22,MATCH($F4861,Mapping!$A$17:$A$22,0)),$F4861)&amp;" "&amp;IF($G4861="Banking","Banking",IFERROR(INDEX(Mapping!$E$17:$E$28,MATCH($J4861,Mapping!$D$17:$D$28,0)),"(unmapped)")))))</f>
        <v/>
      </c>
    </row>
    <row r="4862" spans="11:11" x14ac:dyDescent="0.3">
      <c r="K4862" t="str">
        <f>IF($D4862="","",IFERROR(INDEX(Mapping!$H$3:$H$32,MATCH($B4862,Mapping!$G$3:$G$32,0)),IF(LEFT($F4862,3)="P2P",IFERROR(INDEX(Mapping!$E$3:$E$6,MATCH($G4862,Mapping!$D$3:$D$6,0)),IFERROR(INDEX(Mapping!$B$3:$B$13,MATCH($J4862,Mapping!$A$3:$A$13,0)),"(unmapped)")),IFERROR(INDEX(Mapping!$B$17:$B$22,MATCH($F4862,Mapping!$A$17:$A$22,0)),$F4862)&amp;" "&amp;IF($G4862="Banking","Banking",IFERROR(INDEX(Mapping!$E$17:$E$28,MATCH($J4862,Mapping!$D$17:$D$28,0)),"(unmapped)")))))</f>
        <v/>
      </c>
    </row>
    <row r="4863" spans="11:11" x14ac:dyDescent="0.3">
      <c r="K4863" t="str">
        <f>IF($D4863="","",IFERROR(INDEX(Mapping!$H$3:$H$32,MATCH($B4863,Mapping!$G$3:$G$32,0)),IF(LEFT($F4863,3)="P2P",IFERROR(INDEX(Mapping!$E$3:$E$6,MATCH($G4863,Mapping!$D$3:$D$6,0)),IFERROR(INDEX(Mapping!$B$3:$B$13,MATCH($J4863,Mapping!$A$3:$A$13,0)),"(unmapped)")),IFERROR(INDEX(Mapping!$B$17:$B$22,MATCH($F4863,Mapping!$A$17:$A$22,0)),$F4863)&amp;" "&amp;IF($G4863="Banking","Banking",IFERROR(INDEX(Mapping!$E$17:$E$28,MATCH($J4863,Mapping!$D$17:$D$28,0)),"(unmapped)")))))</f>
        <v/>
      </c>
    </row>
    <row r="4864" spans="11:11" x14ac:dyDescent="0.3">
      <c r="K4864" t="str">
        <f>IF($D4864="","",IFERROR(INDEX(Mapping!$H$3:$H$32,MATCH($B4864,Mapping!$G$3:$G$32,0)),IF(LEFT($F4864,3)="P2P",IFERROR(INDEX(Mapping!$E$3:$E$6,MATCH($G4864,Mapping!$D$3:$D$6,0)),IFERROR(INDEX(Mapping!$B$3:$B$13,MATCH($J4864,Mapping!$A$3:$A$13,0)),"(unmapped)")),IFERROR(INDEX(Mapping!$B$17:$B$22,MATCH($F4864,Mapping!$A$17:$A$22,0)),$F4864)&amp;" "&amp;IF($G4864="Banking","Banking",IFERROR(INDEX(Mapping!$E$17:$E$28,MATCH($J4864,Mapping!$D$17:$D$28,0)),"(unmapped)")))))</f>
        <v/>
      </c>
    </row>
    <row r="4865" spans="11:11" x14ac:dyDescent="0.3">
      <c r="K4865" t="str">
        <f>IF($D4865="","",IFERROR(INDEX(Mapping!$H$3:$H$32,MATCH($B4865,Mapping!$G$3:$G$32,0)),IF(LEFT($F4865,3)="P2P",IFERROR(INDEX(Mapping!$E$3:$E$6,MATCH($G4865,Mapping!$D$3:$D$6,0)),IFERROR(INDEX(Mapping!$B$3:$B$13,MATCH($J4865,Mapping!$A$3:$A$13,0)),"(unmapped)")),IFERROR(INDEX(Mapping!$B$17:$B$22,MATCH($F4865,Mapping!$A$17:$A$22,0)),$F4865)&amp;" "&amp;IF($G4865="Banking","Banking",IFERROR(INDEX(Mapping!$E$17:$E$28,MATCH($J4865,Mapping!$D$17:$D$28,0)),"(unmapped)")))))</f>
        <v/>
      </c>
    </row>
    <row r="4866" spans="11:11" x14ac:dyDescent="0.3">
      <c r="K4866" t="str">
        <f>IF($D4866="","",IFERROR(INDEX(Mapping!$H$3:$H$32,MATCH($B4866,Mapping!$G$3:$G$32,0)),IF(LEFT($F4866,3)="P2P",IFERROR(INDEX(Mapping!$E$3:$E$6,MATCH($G4866,Mapping!$D$3:$D$6,0)),IFERROR(INDEX(Mapping!$B$3:$B$13,MATCH($J4866,Mapping!$A$3:$A$13,0)),"(unmapped)")),IFERROR(INDEX(Mapping!$B$17:$B$22,MATCH($F4866,Mapping!$A$17:$A$22,0)),$F4866)&amp;" "&amp;IF($G4866="Banking","Banking",IFERROR(INDEX(Mapping!$E$17:$E$28,MATCH($J4866,Mapping!$D$17:$D$28,0)),"(unmapped)")))))</f>
        <v/>
      </c>
    </row>
    <row r="4867" spans="11:11" x14ac:dyDescent="0.3">
      <c r="K4867" t="str">
        <f>IF($D4867="","",IFERROR(INDEX(Mapping!$H$3:$H$32,MATCH($B4867,Mapping!$G$3:$G$32,0)),IF(LEFT($F4867,3)="P2P",IFERROR(INDEX(Mapping!$E$3:$E$6,MATCH($G4867,Mapping!$D$3:$D$6,0)),IFERROR(INDEX(Mapping!$B$3:$B$13,MATCH($J4867,Mapping!$A$3:$A$13,0)),"(unmapped)")),IFERROR(INDEX(Mapping!$B$17:$B$22,MATCH($F4867,Mapping!$A$17:$A$22,0)),$F4867)&amp;" "&amp;IF($G4867="Banking","Banking",IFERROR(INDEX(Mapping!$E$17:$E$28,MATCH($J4867,Mapping!$D$17:$D$28,0)),"(unmapped)")))))</f>
        <v/>
      </c>
    </row>
    <row r="4868" spans="11:11" x14ac:dyDescent="0.3">
      <c r="K4868" t="str">
        <f>IF($D4868="","",IFERROR(INDEX(Mapping!$H$3:$H$32,MATCH($B4868,Mapping!$G$3:$G$32,0)),IF(LEFT($F4868,3)="P2P",IFERROR(INDEX(Mapping!$E$3:$E$6,MATCH($G4868,Mapping!$D$3:$D$6,0)),IFERROR(INDEX(Mapping!$B$3:$B$13,MATCH($J4868,Mapping!$A$3:$A$13,0)),"(unmapped)")),IFERROR(INDEX(Mapping!$B$17:$B$22,MATCH($F4868,Mapping!$A$17:$A$22,0)),$F4868)&amp;" "&amp;IF($G4868="Banking","Banking",IFERROR(INDEX(Mapping!$E$17:$E$28,MATCH($J4868,Mapping!$D$17:$D$28,0)),"(unmapped)")))))</f>
        <v/>
      </c>
    </row>
    <row r="4869" spans="11:11" x14ac:dyDescent="0.3">
      <c r="K4869" t="str">
        <f>IF($D4869="","",IFERROR(INDEX(Mapping!$H$3:$H$32,MATCH($B4869,Mapping!$G$3:$G$32,0)),IF(LEFT($F4869,3)="P2P",IFERROR(INDEX(Mapping!$E$3:$E$6,MATCH($G4869,Mapping!$D$3:$D$6,0)),IFERROR(INDEX(Mapping!$B$3:$B$13,MATCH($J4869,Mapping!$A$3:$A$13,0)),"(unmapped)")),IFERROR(INDEX(Mapping!$B$17:$B$22,MATCH($F4869,Mapping!$A$17:$A$22,0)),$F4869)&amp;" "&amp;IF($G4869="Banking","Banking",IFERROR(INDEX(Mapping!$E$17:$E$28,MATCH($J4869,Mapping!$D$17:$D$28,0)),"(unmapped)")))))</f>
        <v/>
      </c>
    </row>
    <row r="4870" spans="11:11" x14ac:dyDescent="0.3">
      <c r="K4870" t="str">
        <f>IF($D4870="","",IFERROR(INDEX(Mapping!$H$3:$H$32,MATCH($B4870,Mapping!$G$3:$G$32,0)),IF(LEFT($F4870,3)="P2P",IFERROR(INDEX(Mapping!$E$3:$E$6,MATCH($G4870,Mapping!$D$3:$D$6,0)),IFERROR(INDEX(Mapping!$B$3:$B$13,MATCH($J4870,Mapping!$A$3:$A$13,0)),"(unmapped)")),IFERROR(INDEX(Mapping!$B$17:$B$22,MATCH($F4870,Mapping!$A$17:$A$22,0)),$F4870)&amp;" "&amp;IF($G4870="Banking","Banking",IFERROR(INDEX(Mapping!$E$17:$E$28,MATCH($J4870,Mapping!$D$17:$D$28,0)),"(unmapped)")))))</f>
        <v/>
      </c>
    </row>
    <row r="4871" spans="11:11" x14ac:dyDescent="0.3">
      <c r="K4871" t="str">
        <f>IF($D4871="","",IFERROR(INDEX(Mapping!$H$3:$H$32,MATCH($B4871,Mapping!$G$3:$G$32,0)),IF(LEFT($F4871,3)="P2P",IFERROR(INDEX(Mapping!$E$3:$E$6,MATCH($G4871,Mapping!$D$3:$D$6,0)),IFERROR(INDEX(Mapping!$B$3:$B$13,MATCH($J4871,Mapping!$A$3:$A$13,0)),"(unmapped)")),IFERROR(INDEX(Mapping!$B$17:$B$22,MATCH($F4871,Mapping!$A$17:$A$22,0)),$F4871)&amp;" "&amp;IF($G4871="Banking","Banking",IFERROR(INDEX(Mapping!$E$17:$E$28,MATCH($J4871,Mapping!$D$17:$D$28,0)),"(unmapped)")))))</f>
        <v/>
      </c>
    </row>
    <row r="4872" spans="11:11" x14ac:dyDescent="0.3">
      <c r="K4872" t="str">
        <f>IF($D4872="","",IFERROR(INDEX(Mapping!$H$3:$H$32,MATCH($B4872,Mapping!$G$3:$G$32,0)),IF(LEFT($F4872,3)="P2P",IFERROR(INDEX(Mapping!$E$3:$E$6,MATCH($G4872,Mapping!$D$3:$D$6,0)),IFERROR(INDEX(Mapping!$B$3:$B$13,MATCH($J4872,Mapping!$A$3:$A$13,0)),"(unmapped)")),IFERROR(INDEX(Mapping!$B$17:$B$22,MATCH($F4872,Mapping!$A$17:$A$22,0)),$F4872)&amp;" "&amp;IF($G4872="Banking","Banking",IFERROR(INDEX(Mapping!$E$17:$E$28,MATCH($J4872,Mapping!$D$17:$D$28,0)),"(unmapped)")))))</f>
        <v/>
      </c>
    </row>
    <row r="4873" spans="11:11" x14ac:dyDescent="0.3">
      <c r="K4873" t="str">
        <f>IF($D4873="","",IFERROR(INDEX(Mapping!$H$3:$H$32,MATCH($B4873,Mapping!$G$3:$G$32,0)),IF(LEFT($F4873,3)="P2P",IFERROR(INDEX(Mapping!$E$3:$E$6,MATCH($G4873,Mapping!$D$3:$D$6,0)),IFERROR(INDEX(Mapping!$B$3:$B$13,MATCH($J4873,Mapping!$A$3:$A$13,0)),"(unmapped)")),IFERROR(INDEX(Mapping!$B$17:$B$22,MATCH($F4873,Mapping!$A$17:$A$22,0)),$F4873)&amp;" "&amp;IF($G4873="Banking","Banking",IFERROR(INDEX(Mapping!$E$17:$E$28,MATCH($J4873,Mapping!$D$17:$D$28,0)),"(unmapped)")))))</f>
        <v/>
      </c>
    </row>
    <row r="4874" spans="11:11" x14ac:dyDescent="0.3">
      <c r="K4874" t="str">
        <f>IF($D4874="","",IFERROR(INDEX(Mapping!$H$3:$H$32,MATCH($B4874,Mapping!$G$3:$G$32,0)),IF(LEFT($F4874,3)="P2P",IFERROR(INDEX(Mapping!$E$3:$E$6,MATCH($G4874,Mapping!$D$3:$D$6,0)),IFERROR(INDEX(Mapping!$B$3:$B$13,MATCH($J4874,Mapping!$A$3:$A$13,0)),"(unmapped)")),IFERROR(INDEX(Mapping!$B$17:$B$22,MATCH($F4874,Mapping!$A$17:$A$22,0)),$F4874)&amp;" "&amp;IF($G4874="Banking","Banking",IFERROR(INDEX(Mapping!$E$17:$E$28,MATCH($J4874,Mapping!$D$17:$D$28,0)),"(unmapped)")))))</f>
        <v/>
      </c>
    </row>
    <row r="4875" spans="11:11" x14ac:dyDescent="0.3">
      <c r="K4875" t="str">
        <f>IF($D4875="","",IFERROR(INDEX(Mapping!$H$3:$H$32,MATCH($B4875,Mapping!$G$3:$G$32,0)),IF(LEFT($F4875,3)="P2P",IFERROR(INDEX(Mapping!$E$3:$E$6,MATCH($G4875,Mapping!$D$3:$D$6,0)),IFERROR(INDEX(Mapping!$B$3:$B$13,MATCH($J4875,Mapping!$A$3:$A$13,0)),"(unmapped)")),IFERROR(INDEX(Mapping!$B$17:$B$22,MATCH($F4875,Mapping!$A$17:$A$22,0)),$F4875)&amp;" "&amp;IF($G4875="Banking","Banking",IFERROR(INDEX(Mapping!$E$17:$E$28,MATCH($J4875,Mapping!$D$17:$D$28,0)),"(unmapped)")))))</f>
        <v/>
      </c>
    </row>
    <row r="4876" spans="11:11" x14ac:dyDescent="0.3">
      <c r="K4876" t="str">
        <f>IF($D4876="","",IFERROR(INDEX(Mapping!$H$3:$H$32,MATCH($B4876,Mapping!$G$3:$G$32,0)),IF(LEFT($F4876,3)="P2P",IFERROR(INDEX(Mapping!$E$3:$E$6,MATCH($G4876,Mapping!$D$3:$D$6,0)),IFERROR(INDEX(Mapping!$B$3:$B$13,MATCH($J4876,Mapping!$A$3:$A$13,0)),"(unmapped)")),IFERROR(INDEX(Mapping!$B$17:$B$22,MATCH($F4876,Mapping!$A$17:$A$22,0)),$F4876)&amp;" "&amp;IF($G4876="Banking","Banking",IFERROR(INDEX(Mapping!$E$17:$E$28,MATCH($J4876,Mapping!$D$17:$D$28,0)),"(unmapped)")))))</f>
        <v/>
      </c>
    </row>
    <row r="4877" spans="11:11" x14ac:dyDescent="0.3">
      <c r="K4877" t="str">
        <f>IF($D4877="","",IFERROR(INDEX(Mapping!$H$3:$H$32,MATCH($B4877,Mapping!$G$3:$G$32,0)),IF(LEFT($F4877,3)="P2P",IFERROR(INDEX(Mapping!$E$3:$E$6,MATCH($G4877,Mapping!$D$3:$D$6,0)),IFERROR(INDEX(Mapping!$B$3:$B$13,MATCH($J4877,Mapping!$A$3:$A$13,0)),"(unmapped)")),IFERROR(INDEX(Mapping!$B$17:$B$22,MATCH($F4877,Mapping!$A$17:$A$22,0)),$F4877)&amp;" "&amp;IF($G4877="Banking","Banking",IFERROR(INDEX(Mapping!$E$17:$E$28,MATCH($J4877,Mapping!$D$17:$D$28,0)),"(unmapped)")))))</f>
        <v/>
      </c>
    </row>
    <row r="4878" spans="11:11" x14ac:dyDescent="0.3">
      <c r="K4878" t="str">
        <f>IF($D4878="","",IFERROR(INDEX(Mapping!$H$3:$H$32,MATCH($B4878,Mapping!$G$3:$G$32,0)),IF(LEFT($F4878,3)="P2P",IFERROR(INDEX(Mapping!$E$3:$E$6,MATCH($G4878,Mapping!$D$3:$D$6,0)),IFERROR(INDEX(Mapping!$B$3:$B$13,MATCH($J4878,Mapping!$A$3:$A$13,0)),"(unmapped)")),IFERROR(INDEX(Mapping!$B$17:$B$22,MATCH($F4878,Mapping!$A$17:$A$22,0)),$F4878)&amp;" "&amp;IF($G4878="Banking","Banking",IFERROR(INDEX(Mapping!$E$17:$E$28,MATCH($J4878,Mapping!$D$17:$D$28,0)),"(unmapped)")))))</f>
        <v/>
      </c>
    </row>
    <row r="4879" spans="11:11" x14ac:dyDescent="0.3">
      <c r="K4879" t="str">
        <f>IF($D4879="","",IFERROR(INDEX(Mapping!$H$3:$H$32,MATCH($B4879,Mapping!$G$3:$G$32,0)),IF(LEFT($F4879,3)="P2P",IFERROR(INDEX(Mapping!$E$3:$E$6,MATCH($G4879,Mapping!$D$3:$D$6,0)),IFERROR(INDEX(Mapping!$B$3:$B$13,MATCH($J4879,Mapping!$A$3:$A$13,0)),"(unmapped)")),IFERROR(INDEX(Mapping!$B$17:$B$22,MATCH($F4879,Mapping!$A$17:$A$22,0)),$F4879)&amp;" "&amp;IF($G4879="Banking","Banking",IFERROR(INDEX(Mapping!$E$17:$E$28,MATCH($J4879,Mapping!$D$17:$D$28,0)),"(unmapped)")))))</f>
        <v/>
      </c>
    </row>
    <row r="4880" spans="11:11" x14ac:dyDescent="0.3">
      <c r="K4880" t="str">
        <f>IF($D4880="","",IFERROR(INDEX(Mapping!$H$3:$H$32,MATCH($B4880,Mapping!$G$3:$G$32,0)),IF(LEFT($F4880,3)="P2P",IFERROR(INDEX(Mapping!$E$3:$E$6,MATCH($G4880,Mapping!$D$3:$D$6,0)),IFERROR(INDEX(Mapping!$B$3:$B$13,MATCH($J4880,Mapping!$A$3:$A$13,0)),"(unmapped)")),IFERROR(INDEX(Mapping!$B$17:$B$22,MATCH($F4880,Mapping!$A$17:$A$22,0)),$F4880)&amp;" "&amp;IF($G4880="Banking","Banking",IFERROR(INDEX(Mapping!$E$17:$E$28,MATCH($J4880,Mapping!$D$17:$D$28,0)),"(unmapped)")))))</f>
        <v/>
      </c>
    </row>
    <row r="4881" spans="11:11" x14ac:dyDescent="0.3">
      <c r="K4881" t="str">
        <f>IF($D4881="","",IFERROR(INDEX(Mapping!$H$3:$H$32,MATCH($B4881,Mapping!$G$3:$G$32,0)),IF(LEFT($F4881,3)="P2P",IFERROR(INDEX(Mapping!$E$3:$E$6,MATCH($G4881,Mapping!$D$3:$D$6,0)),IFERROR(INDEX(Mapping!$B$3:$B$13,MATCH($J4881,Mapping!$A$3:$A$13,0)),"(unmapped)")),IFERROR(INDEX(Mapping!$B$17:$B$22,MATCH($F4881,Mapping!$A$17:$A$22,0)),$F4881)&amp;" "&amp;IF($G4881="Banking","Banking",IFERROR(INDEX(Mapping!$E$17:$E$28,MATCH($J4881,Mapping!$D$17:$D$28,0)),"(unmapped)")))))</f>
        <v/>
      </c>
    </row>
    <row r="4882" spans="11:11" x14ac:dyDescent="0.3">
      <c r="K4882" t="str">
        <f>IF($D4882="","",IFERROR(INDEX(Mapping!$H$3:$H$32,MATCH($B4882,Mapping!$G$3:$G$32,0)),IF(LEFT($F4882,3)="P2P",IFERROR(INDEX(Mapping!$E$3:$E$6,MATCH($G4882,Mapping!$D$3:$D$6,0)),IFERROR(INDEX(Mapping!$B$3:$B$13,MATCH($J4882,Mapping!$A$3:$A$13,0)),"(unmapped)")),IFERROR(INDEX(Mapping!$B$17:$B$22,MATCH($F4882,Mapping!$A$17:$A$22,0)),$F4882)&amp;" "&amp;IF($G4882="Banking","Banking",IFERROR(INDEX(Mapping!$E$17:$E$28,MATCH($J4882,Mapping!$D$17:$D$28,0)),"(unmapped)")))))</f>
        <v/>
      </c>
    </row>
    <row r="4883" spans="11:11" x14ac:dyDescent="0.3">
      <c r="K4883" t="str">
        <f>IF($D4883="","",IFERROR(INDEX(Mapping!$H$3:$H$32,MATCH($B4883,Mapping!$G$3:$G$32,0)),IF(LEFT($F4883,3)="P2P",IFERROR(INDEX(Mapping!$E$3:$E$6,MATCH($G4883,Mapping!$D$3:$D$6,0)),IFERROR(INDEX(Mapping!$B$3:$B$13,MATCH($J4883,Mapping!$A$3:$A$13,0)),"(unmapped)")),IFERROR(INDEX(Mapping!$B$17:$B$22,MATCH($F4883,Mapping!$A$17:$A$22,0)),$F4883)&amp;" "&amp;IF($G4883="Banking","Banking",IFERROR(INDEX(Mapping!$E$17:$E$28,MATCH($J4883,Mapping!$D$17:$D$28,0)),"(unmapped)")))))</f>
        <v/>
      </c>
    </row>
    <row r="4884" spans="11:11" x14ac:dyDescent="0.3">
      <c r="K4884" t="str">
        <f>IF($D4884="","",IFERROR(INDEX(Mapping!$H$3:$H$32,MATCH($B4884,Mapping!$G$3:$G$32,0)),IF(LEFT($F4884,3)="P2P",IFERROR(INDEX(Mapping!$E$3:$E$6,MATCH($G4884,Mapping!$D$3:$D$6,0)),IFERROR(INDEX(Mapping!$B$3:$B$13,MATCH($J4884,Mapping!$A$3:$A$13,0)),"(unmapped)")),IFERROR(INDEX(Mapping!$B$17:$B$22,MATCH($F4884,Mapping!$A$17:$A$22,0)),$F4884)&amp;" "&amp;IF($G4884="Banking","Banking",IFERROR(INDEX(Mapping!$E$17:$E$28,MATCH($J4884,Mapping!$D$17:$D$28,0)),"(unmapped)")))))</f>
        <v/>
      </c>
    </row>
    <row r="4885" spans="11:11" x14ac:dyDescent="0.3">
      <c r="K4885" t="str">
        <f>IF($D4885="","",IFERROR(INDEX(Mapping!$H$3:$H$32,MATCH($B4885,Mapping!$G$3:$G$32,0)),IF(LEFT($F4885,3)="P2P",IFERROR(INDEX(Mapping!$E$3:$E$6,MATCH($G4885,Mapping!$D$3:$D$6,0)),IFERROR(INDEX(Mapping!$B$3:$B$13,MATCH($J4885,Mapping!$A$3:$A$13,0)),"(unmapped)")),IFERROR(INDEX(Mapping!$B$17:$B$22,MATCH($F4885,Mapping!$A$17:$A$22,0)),$F4885)&amp;" "&amp;IF($G4885="Banking","Banking",IFERROR(INDEX(Mapping!$E$17:$E$28,MATCH($J4885,Mapping!$D$17:$D$28,0)),"(unmapped)")))))</f>
        <v/>
      </c>
    </row>
    <row r="4886" spans="11:11" x14ac:dyDescent="0.3">
      <c r="K4886" t="str">
        <f>IF($D4886="","",IFERROR(INDEX(Mapping!$H$3:$H$32,MATCH($B4886,Mapping!$G$3:$G$32,0)),IF(LEFT($F4886,3)="P2P",IFERROR(INDEX(Mapping!$E$3:$E$6,MATCH($G4886,Mapping!$D$3:$D$6,0)),IFERROR(INDEX(Mapping!$B$3:$B$13,MATCH($J4886,Mapping!$A$3:$A$13,0)),"(unmapped)")),IFERROR(INDEX(Mapping!$B$17:$B$22,MATCH($F4886,Mapping!$A$17:$A$22,0)),$F4886)&amp;" "&amp;IF($G4886="Banking","Banking",IFERROR(INDEX(Mapping!$E$17:$E$28,MATCH($J4886,Mapping!$D$17:$D$28,0)),"(unmapped)")))))</f>
        <v/>
      </c>
    </row>
    <row r="4887" spans="11:11" x14ac:dyDescent="0.3">
      <c r="K4887" t="str">
        <f>IF($D4887="","",IFERROR(INDEX(Mapping!$H$3:$H$32,MATCH($B4887,Mapping!$G$3:$G$32,0)),IF(LEFT($F4887,3)="P2P",IFERROR(INDEX(Mapping!$E$3:$E$6,MATCH($G4887,Mapping!$D$3:$D$6,0)),IFERROR(INDEX(Mapping!$B$3:$B$13,MATCH($J4887,Mapping!$A$3:$A$13,0)),"(unmapped)")),IFERROR(INDEX(Mapping!$B$17:$B$22,MATCH($F4887,Mapping!$A$17:$A$22,0)),$F4887)&amp;" "&amp;IF($G4887="Banking","Banking",IFERROR(INDEX(Mapping!$E$17:$E$28,MATCH($J4887,Mapping!$D$17:$D$28,0)),"(unmapped)")))))</f>
        <v/>
      </c>
    </row>
    <row r="4888" spans="11:11" x14ac:dyDescent="0.3">
      <c r="K4888" t="str">
        <f>IF($D4888="","",IFERROR(INDEX(Mapping!$H$3:$H$32,MATCH($B4888,Mapping!$G$3:$G$32,0)),IF(LEFT($F4888,3)="P2P",IFERROR(INDEX(Mapping!$E$3:$E$6,MATCH($G4888,Mapping!$D$3:$D$6,0)),IFERROR(INDEX(Mapping!$B$3:$B$13,MATCH($J4888,Mapping!$A$3:$A$13,0)),"(unmapped)")),IFERROR(INDEX(Mapping!$B$17:$B$22,MATCH($F4888,Mapping!$A$17:$A$22,0)),$F4888)&amp;" "&amp;IF($G4888="Banking","Banking",IFERROR(INDEX(Mapping!$E$17:$E$28,MATCH($J4888,Mapping!$D$17:$D$28,0)),"(unmapped)")))))</f>
        <v/>
      </c>
    </row>
    <row r="4889" spans="11:11" x14ac:dyDescent="0.3">
      <c r="K4889" t="str">
        <f>IF($D4889="","",IFERROR(INDEX(Mapping!$H$3:$H$32,MATCH($B4889,Mapping!$G$3:$G$32,0)),IF(LEFT($F4889,3)="P2P",IFERROR(INDEX(Mapping!$E$3:$E$6,MATCH($G4889,Mapping!$D$3:$D$6,0)),IFERROR(INDEX(Mapping!$B$3:$B$13,MATCH($J4889,Mapping!$A$3:$A$13,0)),"(unmapped)")),IFERROR(INDEX(Mapping!$B$17:$B$22,MATCH($F4889,Mapping!$A$17:$A$22,0)),$F4889)&amp;" "&amp;IF($G4889="Banking","Banking",IFERROR(INDEX(Mapping!$E$17:$E$28,MATCH($J4889,Mapping!$D$17:$D$28,0)),"(unmapped)")))))</f>
        <v/>
      </c>
    </row>
    <row r="4890" spans="11:11" x14ac:dyDescent="0.3">
      <c r="K4890" t="str">
        <f>IF($D4890="","",IFERROR(INDEX(Mapping!$H$3:$H$32,MATCH($B4890,Mapping!$G$3:$G$32,0)),IF(LEFT($F4890,3)="P2P",IFERROR(INDEX(Mapping!$E$3:$E$6,MATCH($G4890,Mapping!$D$3:$D$6,0)),IFERROR(INDEX(Mapping!$B$3:$B$13,MATCH($J4890,Mapping!$A$3:$A$13,0)),"(unmapped)")),IFERROR(INDEX(Mapping!$B$17:$B$22,MATCH($F4890,Mapping!$A$17:$A$22,0)),$F4890)&amp;" "&amp;IF($G4890="Banking","Banking",IFERROR(INDEX(Mapping!$E$17:$E$28,MATCH($J4890,Mapping!$D$17:$D$28,0)),"(unmapped)")))))</f>
        <v/>
      </c>
    </row>
    <row r="4891" spans="11:11" x14ac:dyDescent="0.3">
      <c r="K4891" t="str">
        <f>IF($D4891="","",IFERROR(INDEX(Mapping!$H$3:$H$32,MATCH($B4891,Mapping!$G$3:$G$32,0)),IF(LEFT($F4891,3)="P2P",IFERROR(INDEX(Mapping!$E$3:$E$6,MATCH($G4891,Mapping!$D$3:$D$6,0)),IFERROR(INDEX(Mapping!$B$3:$B$13,MATCH($J4891,Mapping!$A$3:$A$13,0)),"(unmapped)")),IFERROR(INDEX(Mapping!$B$17:$B$22,MATCH($F4891,Mapping!$A$17:$A$22,0)),$F4891)&amp;" "&amp;IF($G4891="Banking","Banking",IFERROR(INDEX(Mapping!$E$17:$E$28,MATCH($J4891,Mapping!$D$17:$D$28,0)),"(unmapped)")))))</f>
        <v/>
      </c>
    </row>
    <row r="4892" spans="11:11" x14ac:dyDescent="0.3">
      <c r="K4892" t="str">
        <f>IF($D4892="","",IFERROR(INDEX(Mapping!$H$3:$H$32,MATCH($B4892,Mapping!$G$3:$G$32,0)),IF(LEFT($F4892,3)="P2P",IFERROR(INDEX(Mapping!$E$3:$E$6,MATCH($G4892,Mapping!$D$3:$D$6,0)),IFERROR(INDEX(Mapping!$B$3:$B$13,MATCH($J4892,Mapping!$A$3:$A$13,0)),"(unmapped)")),IFERROR(INDEX(Mapping!$B$17:$B$22,MATCH($F4892,Mapping!$A$17:$A$22,0)),$F4892)&amp;" "&amp;IF($G4892="Banking","Banking",IFERROR(INDEX(Mapping!$E$17:$E$28,MATCH($J4892,Mapping!$D$17:$D$28,0)),"(unmapped)")))))</f>
        <v/>
      </c>
    </row>
    <row r="4893" spans="11:11" x14ac:dyDescent="0.3">
      <c r="K4893" t="str">
        <f>IF($D4893="","",IFERROR(INDEX(Mapping!$H$3:$H$32,MATCH($B4893,Mapping!$G$3:$G$32,0)),IF(LEFT($F4893,3)="P2P",IFERROR(INDEX(Mapping!$E$3:$E$6,MATCH($G4893,Mapping!$D$3:$D$6,0)),IFERROR(INDEX(Mapping!$B$3:$B$13,MATCH($J4893,Mapping!$A$3:$A$13,0)),"(unmapped)")),IFERROR(INDEX(Mapping!$B$17:$B$22,MATCH($F4893,Mapping!$A$17:$A$22,0)),$F4893)&amp;" "&amp;IF($G4893="Banking","Banking",IFERROR(INDEX(Mapping!$E$17:$E$28,MATCH($J4893,Mapping!$D$17:$D$28,0)),"(unmapped)")))))</f>
        <v/>
      </c>
    </row>
    <row r="4894" spans="11:11" x14ac:dyDescent="0.3">
      <c r="K4894" t="str">
        <f>IF($D4894="","",IFERROR(INDEX(Mapping!$H$3:$H$32,MATCH($B4894,Mapping!$G$3:$G$32,0)),IF(LEFT($F4894,3)="P2P",IFERROR(INDEX(Mapping!$E$3:$E$6,MATCH($G4894,Mapping!$D$3:$D$6,0)),IFERROR(INDEX(Mapping!$B$3:$B$13,MATCH($J4894,Mapping!$A$3:$A$13,0)),"(unmapped)")),IFERROR(INDEX(Mapping!$B$17:$B$22,MATCH($F4894,Mapping!$A$17:$A$22,0)),$F4894)&amp;" "&amp;IF($G4894="Banking","Banking",IFERROR(INDEX(Mapping!$E$17:$E$28,MATCH($J4894,Mapping!$D$17:$D$28,0)),"(unmapped)")))))</f>
        <v/>
      </c>
    </row>
    <row r="4895" spans="11:11" x14ac:dyDescent="0.3">
      <c r="K4895" t="str">
        <f>IF($D4895="","",IFERROR(INDEX(Mapping!$H$3:$H$32,MATCH($B4895,Mapping!$G$3:$G$32,0)),IF(LEFT($F4895,3)="P2P",IFERROR(INDEX(Mapping!$E$3:$E$6,MATCH($G4895,Mapping!$D$3:$D$6,0)),IFERROR(INDEX(Mapping!$B$3:$B$13,MATCH($J4895,Mapping!$A$3:$A$13,0)),"(unmapped)")),IFERROR(INDEX(Mapping!$B$17:$B$22,MATCH($F4895,Mapping!$A$17:$A$22,0)),$F4895)&amp;" "&amp;IF($G4895="Banking","Banking",IFERROR(INDEX(Mapping!$E$17:$E$28,MATCH($J4895,Mapping!$D$17:$D$28,0)),"(unmapped)")))))</f>
        <v/>
      </c>
    </row>
    <row r="4896" spans="11:11" x14ac:dyDescent="0.3">
      <c r="K4896" t="str">
        <f>IF($D4896="","",IFERROR(INDEX(Mapping!$H$3:$H$32,MATCH($B4896,Mapping!$G$3:$G$32,0)),IF(LEFT($F4896,3)="P2P",IFERROR(INDEX(Mapping!$E$3:$E$6,MATCH($G4896,Mapping!$D$3:$D$6,0)),IFERROR(INDEX(Mapping!$B$3:$B$13,MATCH($J4896,Mapping!$A$3:$A$13,0)),"(unmapped)")),IFERROR(INDEX(Mapping!$B$17:$B$22,MATCH($F4896,Mapping!$A$17:$A$22,0)),$F4896)&amp;" "&amp;IF($G4896="Banking","Banking",IFERROR(INDEX(Mapping!$E$17:$E$28,MATCH($J4896,Mapping!$D$17:$D$28,0)),"(unmapped)")))))</f>
        <v/>
      </c>
    </row>
    <row r="4897" spans="11:11" x14ac:dyDescent="0.3">
      <c r="K4897" t="str">
        <f>IF($D4897="","",IFERROR(INDEX(Mapping!$H$3:$H$32,MATCH($B4897,Mapping!$G$3:$G$32,0)),IF(LEFT($F4897,3)="P2P",IFERROR(INDEX(Mapping!$E$3:$E$6,MATCH($G4897,Mapping!$D$3:$D$6,0)),IFERROR(INDEX(Mapping!$B$3:$B$13,MATCH($J4897,Mapping!$A$3:$A$13,0)),"(unmapped)")),IFERROR(INDEX(Mapping!$B$17:$B$22,MATCH($F4897,Mapping!$A$17:$A$22,0)),$F4897)&amp;" "&amp;IF($G4897="Banking","Banking",IFERROR(INDEX(Mapping!$E$17:$E$28,MATCH($J4897,Mapping!$D$17:$D$28,0)),"(unmapped)")))))</f>
        <v/>
      </c>
    </row>
    <row r="4898" spans="11:11" x14ac:dyDescent="0.3">
      <c r="K4898" t="str">
        <f>IF($D4898="","",IFERROR(INDEX(Mapping!$H$3:$H$32,MATCH($B4898,Mapping!$G$3:$G$32,0)),IF(LEFT($F4898,3)="P2P",IFERROR(INDEX(Mapping!$E$3:$E$6,MATCH($G4898,Mapping!$D$3:$D$6,0)),IFERROR(INDEX(Mapping!$B$3:$B$13,MATCH($J4898,Mapping!$A$3:$A$13,0)),"(unmapped)")),IFERROR(INDEX(Mapping!$B$17:$B$22,MATCH($F4898,Mapping!$A$17:$A$22,0)),$F4898)&amp;" "&amp;IF($G4898="Banking","Banking",IFERROR(INDEX(Mapping!$E$17:$E$28,MATCH($J4898,Mapping!$D$17:$D$28,0)),"(unmapped)")))))</f>
        <v/>
      </c>
    </row>
    <row r="4899" spans="11:11" x14ac:dyDescent="0.3">
      <c r="K4899" t="str">
        <f>IF($D4899="","",IFERROR(INDEX(Mapping!$H$3:$H$32,MATCH($B4899,Mapping!$G$3:$G$32,0)),IF(LEFT($F4899,3)="P2P",IFERROR(INDEX(Mapping!$E$3:$E$6,MATCH($G4899,Mapping!$D$3:$D$6,0)),IFERROR(INDEX(Mapping!$B$3:$B$13,MATCH($J4899,Mapping!$A$3:$A$13,0)),"(unmapped)")),IFERROR(INDEX(Mapping!$B$17:$B$22,MATCH($F4899,Mapping!$A$17:$A$22,0)),$F4899)&amp;" "&amp;IF($G4899="Banking","Banking",IFERROR(INDEX(Mapping!$E$17:$E$28,MATCH($J4899,Mapping!$D$17:$D$28,0)),"(unmapped)")))))</f>
        <v/>
      </c>
    </row>
    <row r="4900" spans="11:11" x14ac:dyDescent="0.3">
      <c r="K4900" t="str">
        <f>IF($D4900="","",IFERROR(INDEX(Mapping!$H$3:$H$32,MATCH($B4900,Mapping!$G$3:$G$32,0)),IF(LEFT($F4900,3)="P2P",IFERROR(INDEX(Mapping!$E$3:$E$6,MATCH($G4900,Mapping!$D$3:$D$6,0)),IFERROR(INDEX(Mapping!$B$3:$B$13,MATCH($J4900,Mapping!$A$3:$A$13,0)),"(unmapped)")),IFERROR(INDEX(Mapping!$B$17:$B$22,MATCH($F4900,Mapping!$A$17:$A$22,0)),$F4900)&amp;" "&amp;IF($G4900="Banking","Banking",IFERROR(INDEX(Mapping!$E$17:$E$28,MATCH($J4900,Mapping!$D$17:$D$28,0)),"(unmapped)")))))</f>
        <v/>
      </c>
    </row>
    <row r="4901" spans="11:11" x14ac:dyDescent="0.3">
      <c r="K4901" t="str">
        <f>IF($D4901="","",IFERROR(INDEX(Mapping!$H$3:$H$32,MATCH($B4901,Mapping!$G$3:$G$32,0)),IF(LEFT($F4901,3)="P2P",IFERROR(INDEX(Mapping!$E$3:$E$6,MATCH($G4901,Mapping!$D$3:$D$6,0)),IFERROR(INDEX(Mapping!$B$3:$B$13,MATCH($J4901,Mapping!$A$3:$A$13,0)),"(unmapped)")),IFERROR(INDEX(Mapping!$B$17:$B$22,MATCH($F4901,Mapping!$A$17:$A$22,0)),$F4901)&amp;" "&amp;IF($G4901="Banking","Banking",IFERROR(INDEX(Mapping!$E$17:$E$28,MATCH($J4901,Mapping!$D$17:$D$28,0)),"(unmapped)")))))</f>
        <v/>
      </c>
    </row>
    <row r="4902" spans="11:11" x14ac:dyDescent="0.3">
      <c r="K4902" t="str">
        <f>IF($D4902="","",IFERROR(INDEX(Mapping!$H$3:$H$32,MATCH($B4902,Mapping!$G$3:$G$32,0)),IF(LEFT($F4902,3)="P2P",IFERROR(INDEX(Mapping!$E$3:$E$6,MATCH($G4902,Mapping!$D$3:$D$6,0)),IFERROR(INDEX(Mapping!$B$3:$B$13,MATCH($J4902,Mapping!$A$3:$A$13,0)),"(unmapped)")),IFERROR(INDEX(Mapping!$B$17:$B$22,MATCH($F4902,Mapping!$A$17:$A$22,0)),$F4902)&amp;" "&amp;IF($G4902="Banking","Banking",IFERROR(INDEX(Mapping!$E$17:$E$28,MATCH($J4902,Mapping!$D$17:$D$28,0)),"(unmapped)")))))</f>
        <v/>
      </c>
    </row>
    <row r="4903" spans="11:11" x14ac:dyDescent="0.3">
      <c r="K4903" t="str">
        <f>IF($D4903="","",IFERROR(INDEX(Mapping!$H$3:$H$32,MATCH($B4903,Mapping!$G$3:$G$32,0)),IF(LEFT($F4903,3)="P2P",IFERROR(INDEX(Mapping!$E$3:$E$6,MATCH($G4903,Mapping!$D$3:$D$6,0)),IFERROR(INDEX(Mapping!$B$3:$B$13,MATCH($J4903,Mapping!$A$3:$A$13,0)),"(unmapped)")),IFERROR(INDEX(Mapping!$B$17:$B$22,MATCH($F4903,Mapping!$A$17:$A$22,0)),$F4903)&amp;" "&amp;IF($G4903="Banking","Banking",IFERROR(INDEX(Mapping!$E$17:$E$28,MATCH($J4903,Mapping!$D$17:$D$28,0)),"(unmapped)")))))</f>
        <v/>
      </c>
    </row>
    <row r="4904" spans="11:11" x14ac:dyDescent="0.3">
      <c r="K4904" t="str">
        <f>IF($D4904="","",IFERROR(INDEX(Mapping!$H$3:$H$32,MATCH($B4904,Mapping!$G$3:$G$32,0)),IF(LEFT($F4904,3)="P2P",IFERROR(INDEX(Mapping!$E$3:$E$6,MATCH($G4904,Mapping!$D$3:$D$6,0)),IFERROR(INDEX(Mapping!$B$3:$B$13,MATCH($J4904,Mapping!$A$3:$A$13,0)),"(unmapped)")),IFERROR(INDEX(Mapping!$B$17:$B$22,MATCH($F4904,Mapping!$A$17:$A$22,0)),$F4904)&amp;" "&amp;IF($G4904="Banking","Banking",IFERROR(INDEX(Mapping!$E$17:$E$28,MATCH($J4904,Mapping!$D$17:$D$28,0)),"(unmapped)")))))</f>
        <v/>
      </c>
    </row>
    <row r="4905" spans="11:11" x14ac:dyDescent="0.3">
      <c r="K4905" t="str">
        <f>IF($D4905="","",IFERROR(INDEX(Mapping!$H$3:$H$32,MATCH($B4905,Mapping!$G$3:$G$32,0)),IF(LEFT($F4905,3)="P2P",IFERROR(INDEX(Mapping!$E$3:$E$6,MATCH($G4905,Mapping!$D$3:$D$6,0)),IFERROR(INDEX(Mapping!$B$3:$B$13,MATCH($J4905,Mapping!$A$3:$A$13,0)),"(unmapped)")),IFERROR(INDEX(Mapping!$B$17:$B$22,MATCH($F4905,Mapping!$A$17:$A$22,0)),$F4905)&amp;" "&amp;IF($G4905="Banking","Banking",IFERROR(INDEX(Mapping!$E$17:$E$28,MATCH($J4905,Mapping!$D$17:$D$28,0)),"(unmapped)")))))</f>
        <v/>
      </c>
    </row>
    <row r="4906" spans="11:11" x14ac:dyDescent="0.3">
      <c r="K4906" t="str">
        <f>IF($D4906="","",IFERROR(INDEX(Mapping!$H$3:$H$32,MATCH($B4906,Mapping!$G$3:$G$32,0)),IF(LEFT($F4906,3)="P2P",IFERROR(INDEX(Mapping!$E$3:$E$6,MATCH($G4906,Mapping!$D$3:$D$6,0)),IFERROR(INDEX(Mapping!$B$3:$B$13,MATCH($J4906,Mapping!$A$3:$A$13,0)),"(unmapped)")),IFERROR(INDEX(Mapping!$B$17:$B$22,MATCH($F4906,Mapping!$A$17:$A$22,0)),$F4906)&amp;" "&amp;IF($G4906="Banking","Banking",IFERROR(INDEX(Mapping!$E$17:$E$28,MATCH($J4906,Mapping!$D$17:$D$28,0)),"(unmapped)")))))</f>
        <v/>
      </c>
    </row>
    <row r="4907" spans="11:11" x14ac:dyDescent="0.3">
      <c r="K4907" t="str">
        <f>IF($D4907="","",IFERROR(INDEX(Mapping!$H$3:$H$32,MATCH($B4907,Mapping!$G$3:$G$32,0)),IF(LEFT($F4907,3)="P2P",IFERROR(INDEX(Mapping!$E$3:$E$6,MATCH($G4907,Mapping!$D$3:$D$6,0)),IFERROR(INDEX(Mapping!$B$3:$B$13,MATCH($J4907,Mapping!$A$3:$A$13,0)),"(unmapped)")),IFERROR(INDEX(Mapping!$B$17:$B$22,MATCH($F4907,Mapping!$A$17:$A$22,0)),$F4907)&amp;" "&amp;IF($G4907="Banking","Banking",IFERROR(INDEX(Mapping!$E$17:$E$28,MATCH($J4907,Mapping!$D$17:$D$28,0)),"(unmapped)")))))</f>
        <v/>
      </c>
    </row>
    <row r="4908" spans="11:11" x14ac:dyDescent="0.3">
      <c r="K4908" t="str">
        <f>IF($D4908="","",IFERROR(INDEX(Mapping!$H$3:$H$32,MATCH($B4908,Mapping!$G$3:$G$32,0)),IF(LEFT($F4908,3)="P2P",IFERROR(INDEX(Mapping!$E$3:$E$6,MATCH($G4908,Mapping!$D$3:$D$6,0)),IFERROR(INDEX(Mapping!$B$3:$B$13,MATCH($J4908,Mapping!$A$3:$A$13,0)),"(unmapped)")),IFERROR(INDEX(Mapping!$B$17:$B$22,MATCH($F4908,Mapping!$A$17:$A$22,0)),$F4908)&amp;" "&amp;IF($G4908="Banking","Banking",IFERROR(INDEX(Mapping!$E$17:$E$28,MATCH($J4908,Mapping!$D$17:$D$28,0)),"(unmapped)")))))</f>
        <v/>
      </c>
    </row>
    <row r="4909" spans="11:11" x14ac:dyDescent="0.3">
      <c r="K4909" t="str">
        <f>IF($D4909="","",IFERROR(INDEX(Mapping!$H$3:$H$32,MATCH($B4909,Mapping!$G$3:$G$32,0)),IF(LEFT($F4909,3)="P2P",IFERROR(INDEX(Mapping!$E$3:$E$6,MATCH($G4909,Mapping!$D$3:$D$6,0)),IFERROR(INDEX(Mapping!$B$3:$B$13,MATCH($J4909,Mapping!$A$3:$A$13,0)),"(unmapped)")),IFERROR(INDEX(Mapping!$B$17:$B$22,MATCH($F4909,Mapping!$A$17:$A$22,0)),$F4909)&amp;" "&amp;IF($G4909="Banking","Banking",IFERROR(INDEX(Mapping!$E$17:$E$28,MATCH($J4909,Mapping!$D$17:$D$28,0)),"(unmapped)")))))</f>
        <v/>
      </c>
    </row>
    <row r="4910" spans="11:11" x14ac:dyDescent="0.3">
      <c r="K4910" t="str">
        <f>IF($D4910="","",IFERROR(INDEX(Mapping!$H$3:$H$32,MATCH($B4910,Mapping!$G$3:$G$32,0)),IF(LEFT($F4910,3)="P2P",IFERROR(INDEX(Mapping!$E$3:$E$6,MATCH($G4910,Mapping!$D$3:$D$6,0)),IFERROR(INDEX(Mapping!$B$3:$B$13,MATCH($J4910,Mapping!$A$3:$A$13,0)),"(unmapped)")),IFERROR(INDEX(Mapping!$B$17:$B$22,MATCH($F4910,Mapping!$A$17:$A$22,0)),$F4910)&amp;" "&amp;IF($G4910="Banking","Banking",IFERROR(INDEX(Mapping!$E$17:$E$28,MATCH($J4910,Mapping!$D$17:$D$28,0)),"(unmapped)")))))</f>
        <v/>
      </c>
    </row>
    <row r="4911" spans="11:11" x14ac:dyDescent="0.3">
      <c r="K4911" t="str">
        <f>IF($D4911="","",IFERROR(INDEX(Mapping!$H$3:$H$32,MATCH($B4911,Mapping!$G$3:$G$32,0)),IF(LEFT($F4911,3)="P2P",IFERROR(INDEX(Mapping!$E$3:$E$6,MATCH($G4911,Mapping!$D$3:$D$6,0)),IFERROR(INDEX(Mapping!$B$3:$B$13,MATCH($J4911,Mapping!$A$3:$A$13,0)),"(unmapped)")),IFERROR(INDEX(Mapping!$B$17:$B$22,MATCH($F4911,Mapping!$A$17:$A$22,0)),$F4911)&amp;" "&amp;IF($G4911="Banking","Banking",IFERROR(INDEX(Mapping!$E$17:$E$28,MATCH($J4911,Mapping!$D$17:$D$28,0)),"(unmapped)")))))</f>
        <v/>
      </c>
    </row>
    <row r="4912" spans="11:11" x14ac:dyDescent="0.3">
      <c r="K4912" t="str">
        <f>IF($D4912="","",IFERROR(INDEX(Mapping!$H$3:$H$32,MATCH($B4912,Mapping!$G$3:$G$32,0)),IF(LEFT($F4912,3)="P2P",IFERROR(INDEX(Mapping!$E$3:$E$6,MATCH($G4912,Mapping!$D$3:$D$6,0)),IFERROR(INDEX(Mapping!$B$3:$B$13,MATCH($J4912,Mapping!$A$3:$A$13,0)),"(unmapped)")),IFERROR(INDEX(Mapping!$B$17:$B$22,MATCH($F4912,Mapping!$A$17:$A$22,0)),$F4912)&amp;" "&amp;IF($G4912="Banking","Banking",IFERROR(INDEX(Mapping!$E$17:$E$28,MATCH($J4912,Mapping!$D$17:$D$28,0)),"(unmapped)")))))</f>
        <v/>
      </c>
    </row>
    <row r="4913" spans="11:11" x14ac:dyDescent="0.3">
      <c r="K4913" t="str">
        <f>IF($D4913="","",IFERROR(INDEX(Mapping!$H$3:$H$32,MATCH($B4913,Mapping!$G$3:$G$32,0)),IF(LEFT($F4913,3)="P2P",IFERROR(INDEX(Mapping!$E$3:$E$6,MATCH($G4913,Mapping!$D$3:$D$6,0)),IFERROR(INDEX(Mapping!$B$3:$B$13,MATCH($J4913,Mapping!$A$3:$A$13,0)),"(unmapped)")),IFERROR(INDEX(Mapping!$B$17:$B$22,MATCH($F4913,Mapping!$A$17:$A$22,0)),$F4913)&amp;" "&amp;IF($G4913="Banking","Banking",IFERROR(INDEX(Mapping!$E$17:$E$28,MATCH($J4913,Mapping!$D$17:$D$28,0)),"(unmapped)")))))</f>
        <v/>
      </c>
    </row>
    <row r="4914" spans="11:11" x14ac:dyDescent="0.3">
      <c r="K4914" t="str">
        <f>IF($D4914="","",IFERROR(INDEX(Mapping!$H$3:$H$32,MATCH($B4914,Mapping!$G$3:$G$32,0)),IF(LEFT($F4914,3)="P2P",IFERROR(INDEX(Mapping!$E$3:$E$6,MATCH($G4914,Mapping!$D$3:$D$6,0)),IFERROR(INDEX(Mapping!$B$3:$B$13,MATCH($J4914,Mapping!$A$3:$A$13,0)),"(unmapped)")),IFERROR(INDEX(Mapping!$B$17:$B$22,MATCH($F4914,Mapping!$A$17:$A$22,0)),$F4914)&amp;" "&amp;IF($G4914="Banking","Banking",IFERROR(INDEX(Mapping!$E$17:$E$28,MATCH($J4914,Mapping!$D$17:$D$28,0)),"(unmapped)")))))</f>
        <v/>
      </c>
    </row>
    <row r="4915" spans="11:11" x14ac:dyDescent="0.3">
      <c r="K4915" t="str">
        <f>IF($D4915="","",IFERROR(INDEX(Mapping!$H$3:$H$32,MATCH($B4915,Mapping!$G$3:$G$32,0)),IF(LEFT($F4915,3)="P2P",IFERROR(INDEX(Mapping!$E$3:$E$6,MATCH($G4915,Mapping!$D$3:$D$6,0)),IFERROR(INDEX(Mapping!$B$3:$B$13,MATCH($J4915,Mapping!$A$3:$A$13,0)),"(unmapped)")),IFERROR(INDEX(Mapping!$B$17:$B$22,MATCH($F4915,Mapping!$A$17:$A$22,0)),$F4915)&amp;" "&amp;IF($G4915="Banking","Banking",IFERROR(INDEX(Mapping!$E$17:$E$28,MATCH($J4915,Mapping!$D$17:$D$28,0)),"(unmapped)")))))</f>
        <v/>
      </c>
    </row>
    <row r="4916" spans="11:11" x14ac:dyDescent="0.3">
      <c r="K4916" t="str">
        <f>IF($D4916="","",IFERROR(INDEX(Mapping!$H$3:$H$32,MATCH($B4916,Mapping!$G$3:$G$32,0)),IF(LEFT($F4916,3)="P2P",IFERROR(INDEX(Mapping!$E$3:$E$6,MATCH($G4916,Mapping!$D$3:$D$6,0)),IFERROR(INDEX(Mapping!$B$3:$B$13,MATCH($J4916,Mapping!$A$3:$A$13,0)),"(unmapped)")),IFERROR(INDEX(Mapping!$B$17:$B$22,MATCH($F4916,Mapping!$A$17:$A$22,0)),$F4916)&amp;" "&amp;IF($G4916="Banking","Banking",IFERROR(INDEX(Mapping!$E$17:$E$28,MATCH($J4916,Mapping!$D$17:$D$28,0)),"(unmapped)")))))</f>
        <v/>
      </c>
    </row>
    <row r="4917" spans="11:11" x14ac:dyDescent="0.3">
      <c r="K4917" t="str">
        <f>IF($D4917="","",IFERROR(INDEX(Mapping!$H$3:$H$32,MATCH($B4917,Mapping!$G$3:$G$32,0)),IF(LEFT($F4917,3)="P2P",IFERROR(INDEX(Mapping!$E$3:$E$6,MATCH($G4917,Mapping!$D$3:$D$6,0)),IFERROR(INDEX(Mapping!$B$3:$B$13,MATCH($J4917,Mapping!$A$3:$A$13,0)),"(unmapped)")),IFERROR(INDEX(Mapping!$B$17:$B$22,MATCH($F4917,Mapping!$A$17:$A$22,0)),$F4917)&amp;" "&amp;IF($G4917="Banking","Banking",IFERROR(INDEX(Mapping!$E$17:$E$28,MATCH($J4917,Mapping!$D$17:$D$28,0)),"(unmapped)")))))</f>
        <v/>
      </c>
    </row>
    <row r="4918" spans="11:11" x14ac:dyDescent="0.3">
      <c r="K4918" t="str">
        <f>IF($D4918="","",IFERROR(INDEX(Mapping!$H$3:$H$32,MATCH($B4918,Mapping!$G$3:$G$32,0)),IF(LEFT($F4918,3)="P2P",IFERROR(INDEX(Mapping!$E$3:$E$6,MATCH($G4918,Mapping!$D$3:$D$6,0)),IFERROR(INDEX(Mapping!$B$3:$B$13,MATCH($J4918,Mapping!$A$3:$A$13,0)),"(unmapped)")),IFERROR(INDEX(Mapping!$B$17:$B$22,MATCH($F4918,Mapping!$A$17:$A$22,0)),$F4918)&amp;" "&amp;IF($G4918="Banking","Banking",IFERROR(INDEX(Mapping!$E$17:$E$28,MATCH($J4918,Mapping!$D$17:$D$28,0)),"(unmapped)")))))</f>
        <v/>
      </c>
    </row>
    <row r="4919" spans="11:11" x14ac:dyDescent="0.3">
      <c r="K4919" t="str">
        <f>IF($D4919="","",IFERROR(INDEX(Mapping!$H$3:$H$32,MATCH($B4919,Mapping!$G$3:$G$32,0)),IF(LEFT($F4919,3)="P2P",IFERROR(INDEX(Mapping!$E$3:$E$6,MATCH($G4919,Mapping!$D$3:$D$6,0)),IFERROR(INDEX(Mapping!$B$3:$B$13,MATCH($J4919,Mapping!$A$3:$A$13,0)),"(unmapped)")),IFERROR(INDEX(Mapping!$B$17:$B$22,MATCH($F4919,Mapping!$A$17:$A$22,0)),$F4919)&amp;" "&amp;IF($G4919="Banking","Banking",IFERROR(INDEX(Mapping!$E$17:$E$28,MATCH($J4919,Mapping!$D$17:$D$28,0)),"(unmapped)")))))</f>
        <v/>
      </c>
    </row>
    <row r="4920" spans="11:11" x14ac:dyDescent="0.3">
      <c r="K4920" t="str">
        <f>IF($D4920="","",IFERROR(INDEX(Mapping!$H$3:$H$32,MATCH($B4920,Mapping!$G$3:$G$32,0)),IF(LEFT($F4920,3)="P2P",IFERROR(INDEX(Mapping!$E$3:$E$6,MATCH($G4920,Mapping!$D$3:$D$6,0)),IFERROR(INDEX(Mapping!$B$3:$B$13,MATCH($J4920,Mapping!$A$3:$A$13,0)),"(unmapped)")),IFERROR(INDEX(Mapping!$B$17:$B$22,MATCH($F4920,Mapping!$A$17:$A$22,0)),$F4920)&amp;" "&amp;IF($G4920="Banking","Banking",IFERROR(INDEX(Mapping!$E$17:$E$28,MATCH($J4920,Mapping!$D$17:$D$28,0)),"(unmapped)")))))</f>
        <v/>
      </c>
    </row>
    <row r="4921" spans="11:11" x14ac:dyDescent="0.3">
      <c r="K4921" t="str">
        <f>IF($D4921="","",IFERROR(INDEX(Mapping!$H$3:$H$32,MATCH($B4921,Mapping!$G$3:$G$32,0)),IF(LEFT($F4921,3)="P2P",IFERROR(INDEX(Mapping!$E$3:$E$6,MATCH($G4921,Mapping!$D$3:$D$6,0)),IFERROR(INDEX(Mapping!$B$3:$B$13,MATCH($J4921,Mapping!$A$3:$A$13,0)),"(unmapped)")),IFERROR(INDEX(Mapping!$B$17:$B$22,MATCH($F4921,Mapping!$A$17:$A$22,0)),$F4921)&amp;" "&amp;IF($G4921="Banking","Banking",IFERROR(INDEX(Mapping!$E$17:$E$28,MATCH($J4921,Mapping!$D$17:$D$28,0)),"(unmapped)")))))</f>
        <v/>
      </c>
    </row>
    <row r="4922" spans="11:11" x14ac:dyDescent="0.3">
      <c r="K4922" t="str">
        <f>IF($D4922="","",IFERROR(INDEX(Mapping!$H$3:$H$32,MATCH($B4922,Mapping!$G$3:$G$32,0)),IF(LEFT($F4922,3)="P2P",IFERROR(INDEX(Mapping!$E$3:$E$6,MATCH($G4922,Mapping!$D$3:$D$6,0)),IFERROR(INDEX(Mapping!$B$3:$B$13,MATCH($J4922,Mapping!$A$3:$A$13,0)),"(unmapped)")),IFERROR(INDEX(Mapping!$B$17:$B$22,MATCH($F4922,Mapping!$A$17:$A$22,0)),$F4922)&amp;" "&amp;IF($G4922="Banking","Banking",IFERROR(INDEX(Mapping!$E$17:$E$28,MATCH($J4922,Mapping!$D$17:$D$28,0)),"(unmapped)")))))</f>
        <v/>
      </c>
    </row>
    <row r="4923" spans="11:11" x14ac:dyDescent="0.3">
      <c r="K4923" t="str">
        <f>IF($D4923="","",IFERROR(INDEX(Mapping!$H$3:$H$32,MATCH($B4923,Mapping!$G$3:$G$32,0)),IF(LEFT($F4923,3)="P2P",IFERROR(INDEX(Mapping!$E$3:$E$6,MATCH($G4923,Mapping!$D$3:$D$6,0)),IFERROR(INDEX(Mapping!$B$3:$B$13,MATCH($J4923,Mapping!$A$3:$A$13,0)),"(unmapped)")),IFERROR(INDEX(Mapping!$B$17:$B$22,MATCH($F4923,Mapping!$A$17:$A$22,0)),$F4923)&amp;" "&amp;IF($G4923="Banking","Banking",IFERROR(INDEX(Mapping!$E$17:$E$28,MATCH($J4923,Mapping!$D$17:$D$28,0)),"(unmapped)")))))</f>
        <v/>
      </c>
    </row>
    <row r="4924" spans="11:11" x14ac:dyDescent="0.3">
      <c r="K4924" t="str">
        <f>IF($D4924="","",IFERROR(INDEX(Mapping!$H$3:$H$32,MATCH($B4924,Mapping!$G$3:$G$32,0)),IF(LEFT($F4924,3)="P2P",IFERROR(INDEX(Mapping!$E$3:$E$6,MATCH($G4924,Mapping!$D$3:$D$6,0)),IFERROR(INDEX(Mapping!$B$3:$B$13,MATCH($J4924,Mapping!$A$3:$A$13,0)),"(unmapped)")),IFERROR(INDEX(Mapping!$B$17:$B$22,MATCH($F4924,Mapping!$A$17:$A$22,0)),$F4924)&amp;" "&amp;IF($G4924="Banking","Banking",IFERROR(INDEX(Mapping!$E$17:$E$28,MATCH($J4924,Mapping!$D$17:$D$28,0)),"(unmapped)")))))</f>
        <v/>
      </c>
    </row>
    <row r="4925" spans="11:11" x14ac:dyDescent="0.3">
      <c r="K4925" t="str">
        <f>IF($D4925="","",IFERROR(INDEX(Mapping!$H$3:$H$32,MATCH($B4925,Mapping!$G$3:$G$32,0)),IF(LEFT($F4925,3)="P2P",IFERROR(INDEX(Mapping!$E$3:$E$6,MATCH($G4925,Mapping!$D$3:$D$6,0)),IFERROR(INDEX(Mapping!$B$3:$B$13,MATCH($J4925,Mapping!$A$3:$A$13,0)),"(unmapped)")),IFERROR(INDEX(Mapping!$B$17:$B$22,MATCH($F4925,Mapping!$A$17:$A$22,0)),$F4925)&amp;" "&amp;IF($G4925="Banking","Banking",IFERROR(INDEX(Mapping!$E$17:$E$28,MATCH($J4925,Mapping!$D$17:$D$28,0)),"(unmapped)")))))</f>
        <v/>
      </c>
    </row>
    <row r="4926" spans="11:11" x14ac:dyDescent="0.3">
      <c r="K4926" t="str">
        <f>IF($D4926="","",IFERROR(INDEX(Mapping!$H$3:$H$32,MATCH($B4926,Mapping!$G$3:$G$32,0)),IF(LEFT($F4926,3)="P2P",IFERROR(INDEX(Mapping!$E$3:$E$6,MATCH($G4926,Mapping!$D$3:$D$6,0)),IFERROR(INDEX(Mapping!$B$3:$B$13,MATCH($J4926,Mapping!$A$3:$A$13,0)),"(unmapped)")),IFERROR(INDEX(Mapping!$B$17:$B$22,MATCH($F4926,Mapping!$A$17:$A$22,0)),$F4926)&amp;" "&amp;IF($G4926="Banking","Banking",IFERROR(INDEX(Mapping!$E$17:$E$28,MATCH($J4926,Mapping!$D$17:$D$28,0)),"(unmapped)")))))</f>
        <v/>
      </c>
    </row>
    <row r="4927" spans="11:11" x14ac:dyDescent="0.3">
      <c r="K4927" t="str">
        <f>IF($D4927="","",IFERROR(INDEX(Mapping!$H$3:$H$32,MATCH($B4927,Mapping!$G$3:$G$32,0)),IF(LEFT($F4927,3)="P2P",IFERROR(INDEX(Mapping!$E$3:$E$6,MATCH($G4927,Mapping!$D$3:$D$6,0)),IFERROR(INDEX(Mapping!$B$3:$B$13,MATCH($J4927,Mapping!$A$3:$A$13,0)),"(unmapped)")),IFERROR(INDEX(Mapping!$B$17:$B$22,MATCH($F4927,Mapping!$A$17:$A$22,0)),$F4927)&amp;" "&amp;IF($G4927="Banking","Banking",IFERROR(INDEX(Mapping!$E$17:$E$28,MATCH($J4927,Mapping!$D$17:$D$28,0)),"(unmapped)")))))</f>
        <v/>
      </c>
    </row>
    <row r="4928" spans="11:11" x14ac:dyDescent="0.3">
      <c r="K4928" t="str">
        <f>IF($D4928="","",IFERROR(INDEX(Mapping!$H$3:$H$32,MATCH($B4928,Mapping!$G$3:$G$32,0)),IF(LEFT($F4928,3)="P2P",IFERROR(INDEX(Mapping!$E$3:$E$6,MATCH($G4928,Mapping!$D$3:$D$6,0)),IFERROR(INDEX(Mapping!$B$3:$B$13,MATCH($J4928,Mapping!$A$3:$A$13,0)),"(unmapped)")),IFERROR(INDEX(Mapping!$B$17:$B$22,MATCH($F4928,Mapping!$A$17:$A$22,0)),$F4928)&amp;" "&amp;IF($G4928="Banking","Banking",IFERROR(INDEX(Mapping!$E$17:$E$28,MATCH($J4928,Mapping!$D$17:$D$28,0)),"(unmapped)")))))</f>
        <v/>
      </c>
    </row>
    <row r="4929" spans="11:11" x14ac:dyDescent="0.3">
      <c r="K4929" t="str">
        <f>IF($D4929="","",IFERROR(INDEX(Mapping!$H$3:$H$32,MATCH($B4929,Mapping!$G$3:$G$32,0)),IF(LEFT($F4929,3)="P2P",IFERROR(INDEX(Mapping!$E$3:$E$6,MATCH($G4929,Mapping!$D$3:$D$6,0)),IFERROR(INDEX(Mapping!$B$3:$B$13,MATCH($J4929,Mapping!$A$3:$A$13,0)),"(unmapped)")),IFERROR(INDEX(Mapping!$B$17:$B$22,MATCH($F4929,Mapping!$A$17:$A$22,0)),$F4929)&amp;" "&amp;IF($G4929="Banking","Banking",IFERROR(INDEX(Mapping!$E$17:$E$28,MATCH($J4929,Mapping!$D$17:$D$28,0)),"(unmapped)")))))</f>
        <v/>
      </c>
    </row>
    <row r="4930" spans="11:11" x14ac:dyDescent="0.3">
      <c r="K4930" t="str">
        <f>IF($D4930="","",IFERROR(INDEX(Mapping!$H$3:$H$32,MATCH($B4930,Mapping!$G$3:$G$32,0)),IF(LEFT($F4930,3)="P2P",IFERROR(INDEX(Mapping!$E$3:$E$6,MATCH($G4930,Mapping!$D$3:$D$6,0)),IFERROR(INDEX(Mapping!$B$3:$B$13,MATCH($J4930,Mapping!$A$3:$A$13,0)),"(unmapped)")),IFERROR(INDEX(Mapping!$B$17:$B$22,MATCH($F4930,Mapping!$A$17:$A$22,0)),$F4930)&amp;" "&amp;IF($G4930="Banking","Banking",IFERROR(INDEX(Mapping!$E$17:$E$28,MATCH($J4930,Mapping!$D$17:$D$28,0)),"(unmapped)")))))</f>
        <v/>
      </c>
    </row>
    <row r="4931" spans="11:11" x14ac:dyDescent="0.3">
      <c r="K4931" t="str">
        <f>IF($D4931="","",IFERROR(INDEX(Mapping!$H$3:$H$32,MATCH($B4931,Mapping!$G$3:$G$32,0)),IF(LEFT($F4931,3)="P2P",IFERROR(INDEX(Mapping!$E$3:$E$6,MATCH($G4931,Mapping!$D$3:$D$6,0)),IFERROR(INDEX(Mapping!$B$3:$B$13,MATCH($J4931,Mapping!$A$3:$A$13,0)),"(unmapped)")),IFERROR(INDEX(Mapping!$B$17:$B$22,MATCH($F4931,Mapping!$A$17:$A$22,0)),$F4931)&amp;" "&amp;IF($G4931="Banking","Banking",IFERROR(INDEX(Mapping!$E$17:$E$28,MATCH($J4931,Mapping!$D$17:$D$28,0)),"(unmapped)")))))</f>
        <v/>
      </c>
    </row>
    <row r="4932" spans="11:11" x14ac:dyDescent="0.3">
      <c r="K4932" t="str">
        <f>IF($D4932="","",IFERROR(INDEX(Mapping!$H$3:$H$32,MATCH($B4932,Mapping!$G$3:$G$32,0)),IF(LEFT($F4932,3)="P2P",IFERROR(INDEX(Mapping!$E$3:$E$6,MATCH($G4932,Mapping!$D$3:$D$6,0)),IFERROR(INDEX(Mapping!$B$3:$B$13,MATCH($J4932,Mapping!$A$3:$A$13,0)),"(unmapped)")),IFERROR(INDEX(Mapping!$B$17:$B$22,MATCH($F4932,Mapping!$A$17:$A$22,0)),$F4932)&amp;" "&amp;IF($G4932="Banking","Banking",IFERROR(INDEX(Mapping!$E$17:$E$28,MATCH($J4932,Mapping!$D$17:$D$28,0)),"(unmapped)")))))</f>
        <v/>
      </c>
    </row>
    <row r="4933" spans="11:11" x14ac:dyDescent="0.3">
      <c r="K4933" t="str">
        <f>IF($D4933="","",IFERROR(INDEX(Mapping!$H$3:$H$32,MATCH($B4933,Mapping!$G$3:$G$32,0)),IF(LEFT($F4933,3)="P2P",IFERROR(INDEX(Mapping!$E$3:$E$6,MATCH($G4933,Mapping!$D$3:$D$6,0)),IFERROR(INDEX(Mapping!$B$3:$B$13,MATCH($J4933,Mapping!$A$3:$A$13,0)),"(unmapped)")),IFERROR(INDEX(Mapping!$B$17:$B$22,MATCH($F4933,Mapping!$A$17:$A$22,0)),$F4933)&amp;" "&amp;IF($G4933="Banking","Banking",IFERROR(INDEX(Mapping!$E$17:$E$28,MATCH($J4933,Mapping!$D$17:$D$28,0)),"(unmapped)")))))</f>
        <v/>
      </c>
    </row>
    <row r="4934" spans="11:11" x14ac:dyDescent="0.3">
      <c r="K4934" t="str">
        <f>IF($D4934="","",IFERROR(INDEX(Mapping!$H$3:$H$32,MATCH($B4934,Mapping!$G$3:$G$32,0)),IF(LEFT($F4934,3)="P2P",IFERROR(INDEX(Mapping!$E$3:$E$6,MATCH($G4934,Mapping!$D$3:$D$6,0)),IFERROR(INDEX(Mapping!$B$3:$B$13,MATCH($J4934,Mapping!$A$3:$A$13,0)),"(unmapped)")),IFERROR(INDEX(Mapping!$B$17:$B$22,MATCH($F4934,Mapping!$A$17:$A$22,0)),$F4934)&amp;" "&amp;IF($G4934="Banking","Banking",IFERROR(INDEX(Mapping!$E$17:$E$28,MATCH($J4934,Mapping!$D$17:$D$28,0)),"(unmapped)")))))</f>
        <v/>
      </c>
    </row>
    <row r="4935" spans="11:11" x14ac:dyDescent="0.3">
      <c r="K4935" t="str">
        <f>IF($D4935="","",IFERROR(INDEX(Mapping!$H$3:$H$32,MATCH($B4935,Mapping!$G$3:$G$32,0)),IF(LEFT($F4935,3)="P2P",IFERROR(INDEX(Mapping!$E$3:$E$6,MATCH($G4935,Mapping!$D$3:$D$6,0)),IFERROR(INDEX(Mapping!$B$3:$B$13,MATCH($J4935,Mapping!$A$3:$A$13,0)),"(unmapped)")),IFERROR(INDEX(Mapping!$B$17:$B$22,MATCH($F4935,Mapping!$A$17:$A$22,0)),$F4935)&amp;" "&amp;IF($G4935="Banking","Banking",IFERROR(INDEX(Mapping!$E$17:$E$28,MATCH($J4935,Mapping!$D$17:$D$28,0)),"(unmapped)")))))</f>
        <v/>
      </c>
    </row>
    <row r="4936" spans="11:11" x14ac:dyDescent="0.3">
      <c r="K4936" t="str">
        <f>IF($D4936="","",IFERROR(INDEX(Mapping!$H$3:$H$32,MATCH($B4936,Mapping!$G$3:$G$32,0)),IF(LEFT($F4936,3)="P2P",IFERROR(INDEX(Mapping!$E$3:$E$6,MATCH($G4936,Mapping!$D$3:$D$6,0)),IFERROR(INDEX(Mapping!$B$3:$B$13,MATCH($J4936,Mapping!$A$3:$A$13,0)),"(unmapped)")),IFERROR(INDEX(Mapping!$B$17:$B$22,MATCH($F4936,Mapping!$A$17:$A$22,0)),$F4936)&amp;" "&amp;IF($G4936="Banking","Banking",IFERROR(INDEX(Mapping!$E$17:$E$28,MATCH($J4936,Mapping!$D$17:$D$28,0)),"(unmapped)")))))</f>
        <v/>
      </c>
    </row>
    <row r="4937" spans="11:11" x14ac:dyDescent="0.3">
      <c r="K4937" t="str">
        <f>IF($D4937="","",IFERROR(INDEX(Mapping!$H$3:$H$32,MATCH($B4937,Mapping!$G$3:$G$32,0)),IF(LEFT($F4937,3)="P2P",IFERROR(INDEX(Mapping!$E$3:$E$6,MATCH($G4937,Mapping!$D$3:$D$6,0)),IFERROR(INDEX(Mapping!$B$3:$B$13,MATCH($J4937,Mapping!$A$3:$A$13,0)),"(unmapped)")),IFERROR(INDEX(Mapping!$B$17:$B$22,MATCH($F4937,Mapping!$A$17:$A$22,0)),$F4937)&amp;" "&amp;IF($G4937="Banking","Banking",IFERROR(INDEX(Mapping!$E$17:$E$28,MATCH($J4937,Mapping!$D$17:$D$28,0)),"(unmapped)")))))</f>
        <v/>
      </c>
    </row>
    <row r="4938" spans="11:11" x14ac:dyDescent="0.3">
      <c r="K4938" t="str">
        <f>IF($D4938="","",IFERROR(INDEX(Mapping!$H$3:$H$32,MATCH($B4938,Mapping!$G$3:$G$32,0)),IF(LEFT($F4938,3)="P2P",IFERROR(INDEX(Mapping!$E$3:$E$6,MATCH($G4938,Mapping!$D$3:$D$6,0)),IFERROR(INDEX(Mapping!$B$3:$B$13,MATCH($J4938,Mapping!$A$3:$A$13,0)),"(unmapped)")),IFERROR(INDEX(Mapping!$B$17:$B$22,MATCH($F4938,Mapping!$A$17:$A$22,0)),$F4938)&amp;" "&amp;IF($G4938="Banking","Banking",IFERROR(INDEX(Mapping!$E$17:$E$28,MATCH($J4938,Mapping!$D$17:$D$28,0)),"(unmapped)")))))</f>
        <v/>
      </c>
    </row>
    <row r="4939" spans="11:11" x14ac:dyDescent="0.3">
      <c r="K4939" t="str">
        <f>IF($D4939="","",IFERROR(INDEX(Mapping!$H$3:$H$32,MATCH($B4939,Mapping!$G$3:$G$32,0)),IF(LEFT($F4939,3)="P2P",IFERROR(INDEX(Mapping!$E$3:$E$6,MATCH($G4939,Mapping!$D$3:$D$6,0)),IFERROR(INDEX(Mapping!$B$3:$B$13,MATCH($J4939,Mapping!$A$3:$A$13,0)),"(unmapped)")),IFERROR(INDEX(Mapping!$B$17:$B$22,MATCH($F4939,Mapping!$A$17:$A$22,0)),$F4939)&amp;" "&amp;IF($G4939="Banking","Banking",IFERROR(INDEX(Mapping!$E$17:$E$28,MATCH($J4939,Mapping!$D$17:$D$28,0)),"(unmapped)")))))</f>
        <v/>
      </c>
    </row>
    <row r="4940" spans="11:11" x14ac:dyDescent="0.3">
      <c r="K4940" t="str">
        <f>IF($D4940="","",IFERROR(INDEX(Mapping!$H$3:$H$32,MATCH($B4940,Mapping!$G$3:$G$32,0)),IF(LEFT($F4940,3)="P2P",IFERROR(INDEX(Mapping!$E$3:$E$6,MATCH($G4940,Mapping!$D$3:$D$6,0)),IFERROR(INDEX(Mapping!$B$3:$B$13,MATCH($J4940,Mapping!$A$3:$A$13,0)),"(unmapped)")),IFERROR(INDEX(Mapping!$B$17:$B$22,MATCH($F4940,Mapping!$A$17:$A$22,0)),$F4940)&amp;" "&amp;IF($G4940="Banking","Banking",IFERROR(INDEX(Mapping!$E$17:$E$28,MATCH($J4940,Mapping!$D$17:$D$28,0)),"(unmapped)")))))</f>
        <v/>
      </c>
    </row>
    <row r="4941" spans="11:11" x14ac:dyDescent="0.3">
      <c r="K4941" t="str">
        <f>IF($D4941="","",IFERROR(INDEX(Mapping!$H$3:$H$32,MATCH($B4941,Mapping!$G$3:$G$32,0)),IF(LEFT($F4941,3)="P2P",IFERROR(INDEX(Mapping!$E$3:$E$6,MATCH($G4941,Mapping!$D$3:$D$6,0)),IFERROR(INDEX(Mapping!$B$3:$B$13,MATCH($J4941,Mapping!$A$3:$A$13,0)),"(unmapped)")),IFERROR(INDEX(Mapping!$B$17:$B$22,MATCH($F4941,Mapping!$A$17:$A$22,0)),$F4941)&amp;" "&amp;IF($G4941="Banking","Banking",IFERROR(INDEX(Mapping!$E$17:$E$28,MATCH($J4941,Mapping!$D$17:$D$28,0)),"(unmapped)")))))</f>
        <v/>
      </c>
    </row>
    <row r="4942" spans="11:11" x14ac:dyDescent="0.3">
      <c r="K4942" t="str">
        <f>IF($D4942="","",IFERROR(INDEX(Mapping!$H$3:$H$32,MATCH($B4942,Mapping!$G$3:$G$32,0)),IF(LEFT($F4942,3)="P2P",IFERROR(INDEX(Mapping!$E$3:$E$6,MATCH($G4942,Mapping!$D$3:$D$6,0)),IFERROR(INDEX(Mapping!$B$3:$B$13,MATCH($J4942,Mapping!$A$3:$A$13,0)),"(unmapped)")),IFERROR(INDEX(Mapping!$B$17:$B$22,MATCH($F4942,Mapping!$A$17:$A$22,0)),$F4942)&amp;" "&amp;IF($G4942="Banking","Banking",IFERROR(INDEX(Mapping!$E$17:$E$28,MATCH($J4942,Mapping!$D$17:$D$28,0)),"(unmapped)")))))</f>
        <v/>
      </c>
    </row>
    <row r="4943" spans="11:11" x14ac:dyDescent="0.3">
      <c r="K4943" t="str">
        <f>IF($D4943="","",IFERROR(INDEX(Mapping!$H$3:$H$32,MATCH($B4943,Mapping!$G$3:$G$32,0)),IF(LEFT($F4943,3)="P2P",IFERROR(INDEX(Mapping!$E$3:$E$6,MATCH($G4943,Mapping!$D$3:$D$6,0)),IFERROR(INDEX(Mapping!$B$3:$B$13,MATCH($J4943,Mapping!$A$3:$A$13,0)),"(unmapped)")),IFERROR(INDEX(Mapping!$B$17:$B$22,MATCH($F4943,Mapping!$A$17:$A$22,0)),$F4943)&amp;" "&amp;IF($G4943="Banking","Banking",IFERROR(INDEX(Mapping!$E$17:$E$28,MATCH($J4943,Mapping!$D$17:$D$28,0)),"(unmapped)")))))</f>
        <v/>
      </c>
    </row>
    <row r="4944" spans="11:11" x14ac:dyDescent="0.3">
      <c r="K4944" t="str">
        <f>IF($D4944="","",IFERROR(INDEX(Mapping!$H$3:$H$32,MATCH($B4944,Mapping!$G$3:$G$32,0)),IF(LEFT($F4944,3)="P2P",IFERROR(INDEX(Mapping!$E$3:$E$6,MATCH($G4944,Mapping!$D$3:$D$6,0)),IFERROR(INDEX(Mapping!$B$3:$B$13,MATCH($J4944,Mapping!$A$3:$A$13,0)),"(unmapped)")),IFERROR(INDEX(Mapping!$B$17:$B$22,MATCH($F4944,Mapping!$A$17:$A$22,0)),$F4944)&amp;" "&amp;IF($G4944="Banking","Banking",IFERROR(INDEX(Mapping!$E$17:$E$28,MATCH($J4944,Mapping!$D$17:$D$28,0)),"(unmapped)")))))</f>
        <v/>
      </c>
    </row>
    <row r="4945" spans="11:11" x14ac:dyDescent="0.3">
      <c r="K4945" t="str">
        <f>IF($D4945="","",IFERROR(INDEX(Mapping!$H$3:$H$32,MATCH($B4945,Mapping!$G$3:$G$32,0)),IF(LEFT($F4945,3)="P2P",IFERROR(INDEX(Mapping!$E$3:$E$6,MATCH($G4945,Mapping!$D$3:$D$6,0)),IFERROR(INDEX(Mapping!$B$3:$B$13,MATCH($J4945,Mapping!$A$3:$A$13,0)),"(unmapped)")),IFERROR(INDEX(Mapping!$B$17:$B$22,MATCH($F4945,Mapping!$A$17:$A$22,0)),$F4945)&amp;" "&amp;IF($G4945="Banking","Banking",IFERROR(INDEX(Mapping!$E$17:$E$28,MATCH($J4945,Mapping!$D$17:$D$28,0)),"(unmapped)")))))</f>
        <v/>
      </c>
    </row>
    <row r="4946" spans="11:11" x14ac:dyDescent="0.3">
      <c r="K4946" t="str">
        <f>IF($D4946="","",IFERROR(INDEX(Mapping!$H$3:$H$32,MATCH($B4946,Mapping!$G$3:$G$32,0)),IF(LEFT($F4946,3)="P2P",IFERROR(INDEX(Mapping!$E$3:$E$6,MATCH($G4946,Mapping!$D$3:$D$6,0)),IFERROR(INDEX(Mapping!$B$3:$B$13,MATCH($J4946,Mapping!$A$3:$A$13,0)),"(unmapped)")),IFERROR(INDEX(Mapping!$B$17:$B$22,MATCH($F4946,Mapping!$A$17:$A$22,0)),$F4946)&amp;" "&amp;IF($G4946="Banking","Banking",IFERROR(INDEX(Mapping!$E$17:$E$28,MATCH($J4946,Mapping!$D$17:$D$28,0)),"(unmapped)")))))</f>
        <v/>
      </c>
    </row>
    <row r="4947" spans="11:11" x14ac:dyDescent="0.3">
      <c r="K4947" t="str">
        <f>IF($D4947="","",IFERROR(INDEX(Mapping!$H$3:$H$32,MATCH($B4947,Mapping!$G$3:$G$32,0)),IF(LEFT($F4947,3)="P2P",IFERROR(INDEX(Mapping!$E$3:$E$6,MATCH($G4947,Mapping!$D$3:$D$6,0)),IFERROR(INDEX(Mapping!$B$3:$B$13,MATCH($J4947,Mapping!$A$3:$A$13,0)),"(unmapped)")),IFERROR(INDEX(Mapping!$B$17:$B$22,MATCH($F4947,Mapping!$A$17:$A$22,0)),$F4947)&amp;" "&amp;IF($G4947="Banking","Banking",IFERROR(INDEX(Mapping!$E$17:$E$28,MATCH($J4947,Mapping!$D$17:$D$28,0)),"(unmapped)")))))</f>
        <v/>
      </c>
    </row>
    <row r="4948" spans="11:11" x14ac:dyDescent="0.3">
      <c r="K4948" t="str">
        <f>IF($D4948="","",IFERROR(INDEX(Mapping!$H$3:$H$32,MATCH($B4948,Mapping!$G$3:$G$32,0)),IF(LEFT($F4948,3)="P2P",IFERROR(INDEX(Mapping!$E$3:$E$6,MATCH($G4948,Mapping!$D$3:$D$6,0)),IFERROR(INDEX(Mapping!$B$3:$B$13,MATCH($J4948,Mapping!$A$3:$A$13,0)),"(unmapped)")),IFERROR(INDEX(Mapping!$B$17:$B$22,MATCH($F4948,Mapping!$A$17:$A$22,0)),$F4948)&amp;" "&amp;IF($G4948="Banking","Banking",IFERROR(INDEX(Mapping!$E$17:$E$28,MATCH($J4948,Mapping!$D$17:$D$28,0)),"(unmapped)")))))</f>
        <v/>
      </c>
    </row>
    <row r="4949" spans="11:11" x14ac:dyDescent="0.3">
      <c r="K4949" t="str">
        <f>IF($D4949="","",IFERROR(INDEX(Mapping!$H$3:$H$32,MATCH($B4949,Mapping!$G$3:$G$32,0)),IF(LEFT($F4949,3)="P2P",IFERROR(INDEX(Mapping!$E$3:$E$6,MATCH($G4949,Mapping!$D$3:$D$6,0)),IFERROR(INDEX(Mapping!$B$3:$B$13,MATCH($J4949,Mapping!$A$3:$A$13,0)),"(unmapped)")),IFERROR(INDEX(Mapping!$B$17:$B$22,MATCH($F4949,Mapping!$A$17:$A$22,0)),$F4949)&amp;" "&amp;IF($G4949="Banking","Banking",IFERROR(INDEX(Mapping!$E$17:$E$28,MATCH($J4949,Mapping!$D$17:$D$28,0)),"(unmapped)")))))</f>
        <v/>
      </c>
    </row>
    <row r="4950" spans="11:11" x14ac:dyDescent="0.3">
      <c r="K4950" t="str">
        <f>IF($D4950="","",IFERROR(INDEX(Mapping!$H$3:$H$32,MATCH($B4950,Mapping!$G$3:$G$32,0)),IF(LEFT($F4950,3)="P2P",IFERROR(INDEX(Mapping!$E$3:$E$6,MATCH($G4950,Mapping!$D$3:$D$6,0)),IFERROR(INDEX(Mapping!$B$3:$B$13,MATCH($J4950,Mapping!$A$3:$A$13,0)),"(unmapped)")),IFERROR(INDEX(Mapping!$B$17:$B$22,MATCH($F4950,Mapping!$A$17:$A$22,0)),$F4950)&amp;" "&amp;IF($G4950="Banking","Banking",IFERROR(INDEX(Mapping!$E$17:$E$28,MATCH($J4950,Mapping!$D$17:$D$28,0)),"(unmapped)")))))</f>
        <v/>
      </c>
    </row>
    <row r="4951" spans="11:11" x14ac:dyDescent="0.3">
      <c r="K4951" t="str">
        <f>IF($D4951="","",IFERROR(INDEX(Mapping!$H$3:$H$32,MATCH($B4951,Mapping!$G$3:$G$32,0)),IF(LEFT($F4951,3)="P2P",IFERROR(INDEX(Mapping!$E$3:$E$6,MATCH($G4951,Mapping!$D$3:$D$6,0)),IFERROR(INDEX(Mapping!$B$3:$B$13,MATCH($J4951,Mapping!$A$3:$A$13,0)),"(unmapped)")),IFERROR(INDEX(Mapping!$B$17:$B$22,MATCH($F4951,Mapping!$A$17:$A$22,0)),$F4951)&amp;" "&amp;IF($G4951="Banking","Banking",IFERROR(INDEX(Mapping!$E$17:$E$28,MATCH($J4951,Mapping!$D$17:$D$28,0)),"(unmapped)")))))</f>
        <v/>
      </c>
    </row>
    <row r="4952" spans="11:11" x14ac:dyDescent="0.3">
      <c r="K4952" t="str">
        <f>IF($D4952="","",IFERROR(INDEX(Mapping!$H$3:$H$32,MATCH($B4952,Mapping!$G$3:$G$32,0)),IF(LEFT($F4952,3)="P2P",IFERROR(INDEX(Mapping!$E$3:$E$6,MATCH($G4952,Mapping!$D$3:$D$6,0)),IFERROR(INDEX(Mapping!$B$3:$B$13,MATCH($J4952,Mapping!$A$3:$A$13,0)),"(unmapped)")),IFERROR(INDEX(Mapping!$B$17:$B$22,MATCH($F4952,Mapping!$A$17:$A$22,0)),$F4952)&amp;" "&amp;IF($G4952="Banking","Banking",IFERROR(INDEX(Mapping!$E$17:$E$28,MATCH($J4952,Mapping!$D$17:$D$28,0)),"(unmapped)")))))</f>
        <v/>
      </c>
    </row>
    <row r="4953" spans="11:11" x14ac:dyDescent="0.3">
      <c r="K4953" t="str">
        <f>IF($D4953="","",IFERROR(INDEX(Mapping!$H$3:$H$32,MATCH($B4953,Mapping!$G$3:$G$32,0)),IF(LEFT($F4953,3)="P2P",IFERROR(INDEX(Mapping!$E$3:$E$6,MATCH($G4953,Mapping!$D$3:$D$6,0)),IFERROR(INDEX(Mapping!$B$3:$B$13,MATCH($J4953,Mapping!$A$3:$A$13,0)),"(unmapped)")),IFERROR(INDEX(Mapping!$B$17:$B$22,MATCH($F4953,Mapping!$A$17:$A$22,0)),$F4953)&amp;" "&amp;IF($G4953="Banking","Banking",IFERROR(INDEX(Mapping!$E$17:$E$28,MATCH($J4953,Mapping!$D$17:$D$28,0)),"(unmapped)")))))</f>
        <v/>
      </c>
    </row>
    <row r="4954" spans="11:11" x14ac:dyDescent="0.3">
      <c r="K4954" t="str">
        <f>IF($D4954="","",IFERROR(INDEX(Mapping!$H$3:$H$32,MATCH($B4954,Mapping!$G$3:$G$32,0)),IF(LEFT($F4954,3)="P2P",IFERROR(INDEX(Mapping!$E$3:$E$6,MATCH($G4954,Mapping!$D$3:$D$6,0)),IFERROR(INDEX(Mapping!$B$3:$B$13,MATCH($J4954,Mapping!$A$3:$A$13,0)),"(unmapped)")),IFERROR(INDEX(Mapping!$B$17:$B$22,MATCH($F4954,Mapping!$A$17:$A$22,0)),$F4954)&amp;" "&amp;IF($G4954="Banking","Banking",IFERROR(INDEX(Mapping!$E$17:$E$28,MATCH($J4954,Mapping!$D$17:$D$28,0)),"(unmapped)")))))</f>
        <v/>
      </c>
    </row>
    <row r="4955" spans="11:11" x14ac:dyDescent="0.3">
      <c r="K4955" t="str">
        <f>IF($D4955="","",IFERROR(INDEX(Mapping!$H$3:$H$32,MATCH($B4955,Mapping!$G$3:$G$32,0)),IF(LEFT($F4955,3)="P2P",IFERROR(INDEX(Mapping!$E$3:$E$6,MATCH($G4955,Mapping!$D$3:$D$6,0)),IFERROR(INDEX(Mapping!$B$3:$B$13,MATCH($J4955,Mapping!$A$3:$A$13,0)),"(unmapped)")),IFERROR(INDEX(Mapping!$B$17:$B$22,MATCH($F4955,Mapping!$A$17:$A$22,0)),$F4955)&amp;" "&amp;IF($G4955="Banking","Banking",IFERROR(INDEX(Mapping!$E$17:$E$28,MATCH($J4955,Mapping!$D$17:$D$28,0)),"(unmapped)")))))</f>
        <v/>
      </c>
    </row>
    <row r="4956" spans="11:11" x14ac:dyDescent="0.3">
      <c r="K4956" t="str">
        <f>IF($D4956="","",IFERROR(INDEX(Mapping!$H$3:$H$32,MATCH($B4956,Mapping!$G$3:$G$32,0)),IF(LEFT($F4956,3)="P2P",IFERROR(INDEX(Mapping!$E$3:$E$6,MATCH($G4956,Mapping!$D$3:$D$6,0)),IFERROR(INDEX(Mapping!$B$3:$B$13,MATCH($J4956,Mapping!$A$3:$A$13,0)),"(unmapped)")),IFERROR(INDEX(Mapping!$B$17:$B$22,MATCH($F4956,Mapping!$A$17:$A$22,0)),$F4956)&amp;" "&amp;IF($G4956="Banking","Banking",IFERROR(INDEX(Mapping!$E$17:$E$28,MATCH($J4956,Mapping!$D$17:$D$28,0)),"(unmapped)")))))</f>
        <v/>
      </c>
    </row>
    <row r="4957" spans="11:11" x14ac:dyDescent="0.3">
      <c r="K4957" t="str">
        <f>IF($D4957="","",IFERROR(INDEX(Mapping!$H$3:$H$32,MATCH($B4957,Mapping!$G$3:$G$32,0)),IF(LEFT($F4957,3)="P2P",IFERROR(INDEX(Mapping!$E$3:$E$6,MATCH($G4957,Mapping!$D$3:$D$6,0)),IFERROR(INDEX(Mapping!$B$3:$B$13,MATCH($J4957,Mapping!$A$3:$A$13,0)),"(unmapped)")),IFERROR(INDEX(Mapping!$B$17:$B$22,MATCH($F4957,Mapping!$A$17:$A$22,0)),$F4957)&amp;" "&amp;IF($G4957="Banking","Banking",IFERROR(INDEX(Mapping!$E$17:$E$28,MATCH($J4957,Mapping!$D$17:$D$28,0)),"(unmapped)")))))</f>
        <v/>
      </c>
    </row>
    <row r="4958" spans="11:11" x14ac:dyDescent="0.3">
      <c r="K4958" t="str">
        <f>IF($D4958="","",IFERROR(INDEX(Mapping!$H$3:$H$32,MATCH($B4958,Mapping!$G$3:$G$32,0)),IF(LEFT($F4958,3)="P2P",IFERROR(INDEX(Mapping!$E$3:$E$6,MATCH($G4958,Mapping!$D$3:$D$6,0)),IFERROR(INDEX(Mapping!$B$3:$B$13,MATCH($J4958,Mapping!$A$3:$A$13,0)),"(unmapped)")),IFERROR(INDEX(Mapping!$B$17:$B$22,MATCH($F4958,Mapping!$A$17:$A$22,0)),$F4958)&amp;" "&amp;IF($G4958="Banking","Banking",IFERROR(INDEX(Mapping!$E$17:$E$28,MATCH($J4958,Mapping!$D$17:$D$28,0)),"(unmapped)")))))</f>
        <v/>
      </c>
    </row>
    <row r="4959" spans="11:11" x14ac:dyDescent="0.3">
      <c r="K4959" t="str">
        <f>IF($D4959="","",IFERROR(INDEX(Mapping!$H$3:$H$32,MATCH($B4959,Mapping!$G$3:$G$32,0)),IF(LEFT($F4959,3)="P2P",IFERROR(INDEX(Mapping!$E$3:$E$6,MATCH($G4959,Mapping!$D$3:$D$6,0)),IFERROR(INDEX(Mapping!$B$3:$B$13,MATCH($J4959,Mapping!$A$3:$A$13,0)),"(unmapped)")),IFERROR(INDEX(Mapping!$B$17:$B$22,MATCH($F4959,Mapping!$A$17:$A$22,0)),$F4959)&amp;" "&amp;IF($G4959="Banking","Banking",IFERROR(INDEX(Mapping!$E$17:$E$28,MATCH($J4959,Mapping!$D$17:$D$28,0)),"(unmapped)")))))</f>
        <v/>
      </c>
    </row>
    <row r="4960" spans="11:11" x14ac:dyDescent="0.3">
      <c r="K4960" t="str">
        <f>IF($D4960="","",IFERROR(INDEX(Mapping!$H$3:$H$32,MATCH($B4960,Mapping!$G$3:$G$32,0)),IF(LEFT($F4960,3)="P2P",IFERROR(INDEX(Mapping!$E$3:$E$6,MATCH($G4960,Mapping!$D$3:$D$6,0)),IFERROR(INDEX(Mapping!$B$3:$B$13,MATCH($J4960,Mapping!$A$3:$A$13,0)),"(unmapped)")),IFERROR(INDEX(Mapping!$B$17:$B$22,MATCH($F4960,Mapping!$A$17:$A$22,0)),$F4960)&amp;" "&amp;IF($G4960="Banking","Banking",IFERROR(INDEX(Mapping!$E$17:$E$28,MATCH($J4960,Mapping!$D$17:$D$28,0)),"(unmapped)")))))</f>
        <v/>
      </c>
    </row>
    <row r="4961" spans="11:11" x14ac:dyDescent="0.3">
      <c r="K4961" t="str">
        <f>IF($D4961="","",IFERROR(INDEX(Mapping!$H$3:$H$32,MATCH($B4961,Mapping!$G$3:$G$32,0)),IF(LEFT($F4961,3)="P2P",IFERROR(INDEX(Mapping!$E$3:$E$6,MATCH($G4961,Mapping!$D$3:$D$6,0)),IFERROR(INDEX(Mapping!$B$3:$B$13,MATCH($J4961,Mapping!$A$3:$A$13,0)),"(unmapped)")),IFERROR(INDEX(Mapping!$B$17:$B$22,MATCH($F4961,Mapping!$A$17:$A$22,0)),$F4961)&amp;" "&amp;IF($G4961="Banking","Banking",IFERROR(INDEX(Mapping!$E$17:$E$28,MATCH($J4961,Mapping!$D$17:$D$28,0)),"(unmapped)")))))</f>
        <v/>
      </c>
    </row>
    <row r="4962" spans="11:11" x14ac:dyDescent="0.3">
      <c r="K4962" t="str">
        <f>IF($D4962="","",IFERROR(INDEX(Mapping!$H$3:$H$32,MATCH($B4962,Mapping!$G$3:$G$32,0)),IF(LEFT($F4962,3)="P2P",IFERROR(INDEX(Mapping!$E$3:$E$6,MATCH($G4962,Mapping!$D$3:$D$6,0)),IFERROR(INDEX(Mapping!$B$3:$B$13,MATCH($J4962,Mapping!$A$3:$A$13,0)),"(unmapped)")),IFERROR(INDEX(Mapping!$B$17:$B$22,MATCH($F4962,Mapping!$A$17:$A$22,0)),$F4962)&amp;" "&amp;IF($G4962="Banking","Banking",IFERROR(INDEX(Mapping!$E$17:$E$28,MATCH($J4962,Mapping!$D$17:$D$28,0)),"(unmapped)")))))</f>
        <v/>
      </c>
    </row>
    <row r="4963" spans="11:11" x14ac:dyDescent="0.3">
      <c r="K4963" t="str">
        <f>IF($D4963="","",IFERROR(INDEX(Mapping!$H$3:$H$32,MATCH($B4963,Mapping!$G$3:$G$32,0)),IF(LEFT($F4963,3)="P2P",IFERROR(INDEX(Mapping!$E$3:$E$6,MATCH($G4963,Mapping!$D$3:$D$6,0)),IFERROR(INDEX(Mapping!$B$3:$B$13,MATCH($J4963,Mapping!$A$3:$A$13,0)),"(unmapped)")),IFERROR(INDEX(Mapping!$B$17:$B$22,MATCH($F4963,Mapping!$A$17:$A$22,0)),$F4963)&amp;" "&amp;IF($G4963="Banking","Banking",IFERROR(INDEX(Mapping!$E$17:$E$28,MATCH($J4963,Mapping!$D$17:$D$28,0)),"(unmapped)")))))</f>
        <v/>
      </c>
    </row>
    <row r="4964" spans="11:11" x14ac:dyDescent="0.3">
      <c r="K4964" t="str">
        <f>IF($D4964="","",IFERROR(INDEX(Mapping!$H$3:$H$32,MATCH($B4964,Mapping!$G$3:$G$32,0)),IF(LEFT($F4964,3)="P2P",IFERROR(INDEX(Mapping!$E$3:$E$6,MATCH($G4964,Mapping!$D$3:$D$6,0)),IFERROR(INDEX(Mapping!$B$3:$B$13,MATCH($J4964,Mapping!$A$3:$A$13,0)),"(unmapped)")),IFERROR(INDEX(Mapping!$B$17:$B$22,MATCH($F4964,Mapping!$A$17:$A$22,0)),$F4964)&amp;" "&amp;IF($G4964="Banking","Banking",IFERROR(INDEX(Mapping!$E$17:$E$28,MATCH($J4964,Mapping!$D$17:$D$28,0)),"(unmapped)")))))</f>
        <v/>
      </c>
    </row>
    <row r="4965" spans="11:11" x14ac:dyDescent="0.3">
      <c r="K4965" t="str">
        <f>IF($D4965="","",IFERROR(INDEX(Mapping!$H$3:$H$32,MATCH($B4965,Mapping!$G$3:$G$32,0)),IF(LEFT($F4965,3)="P2P",IFERROR(INDEX(Mapping!$E$3:$E$6,MATCH($G4965,Mapping!$D$3:$D$6,0)),IFERROR(INDEX(Mapping!$B$3:$B$13,MATCH($J4965,Mapping!$A$3:$A$13,0)),"(unmapped)")),IFERROR(INDEX(Mapping!$B$17:$B$22,MATCH($F4965,Mapping!$A$17:$A$22,0)),$F4965)&amp;" "&amp;IF($G4965="Banking","Banking",IFERROR(INDEX(Mapping!$E$17:$E$28,MATCH($J4965,Mapping!$D$17:$D$28,0)),"(unmapped)")))))</f>
        <v/>
      </c>
    </row>
    <row r="4966" spans="11:11" x14ac:dyDescent="0.3">
      <c r="K4966" t="str">
        <f>IF($D4966="","",IFERROR(INDEX(Mapping!$H$3:$H$32,MATCH($B4966,Mapping!$G$3:$G$32,0)),IF(LEFT($F4966,3)="P2P",IFERROR(INDEX(Mapping!$E$3:$E$6,MATCH($G4966,Mapping!$D$3:$D$6,0)),IFERROR(INDEX(Mapping!$B$3:$B$13,MATCH($J4966,Mapping!$A$3:$A$13,0)),"(unmapped)")),IFERROR(INDEX(Mapping!$B$17:$B$22,MATCH($F4966,Mapping!$A$17:$A$22,0)),$F4966)&amp;" "&amp;IF($G4966="Banking","Banking",IFERROR(INDEX(Mapping!$E$17:$E$28,MATCH($J4966,Mapping!$D$17:$D$28,0)),"(unmapped)")))))</f>
        <v/>
      </c>
    </row>
    <row r="4967" spans="11:11" x14ac:dyDescent="0.3">
      <c r="K4967" t="str">
        <f>IF($D4967="","",IFERROR(INDEX(Mapping!$H$3:$H$32,MATCH($B4967,Mapping!$G$3:$G$32,0)),IF(LEFT($F4967,3)="P2P",IFERROR(INDEX(Mapping!$E$3:$E$6,MATCH($G4967,Mapping!$D$3:$D$6,0)),IFERROR(INDEX(Mapping!$B$3:$B$13,MATCH($J4967,Mapping!$A$3:$A$13,0)),"(unmapped)")),IFERROR(INDEX(Mapping!$B$17:$B$22,MATCH($F4967,Mapping!$A$17:$A$22,0)),$F4967)&amp;" "&amp;IF($G4967="Banking","Banking",IFERROR(INDEX(Mapping!$E$17:$E$28,MATCH($J4967,Mapping!$D$17:$D$28,0)),"(unmapped)")))))</f>
        <v/>
      </c>
    </row>
    <row r="4968" spans="11:11" x14ac:dyDescent="0.3">
      <c r="K4968" t="str">
        <f>IF($D4968="","",IFERROR(INDEX(Mapping!$H$3:$H$32,MATCH($B4968,Mapping!$G$3:$G$32,0)),IF(LEFT($F4968,3)="P2P",IFERROR(INDEX(Mapping!$E$3:$E$6,MATCH($G4968,Mapping!$D$3:$D$6,0)),IFERROR(INDEX(Mapping!$B$3:$B$13,MATCH($J4968,Mapping!$A$3:$A$13,0)),"(unmapped)")),IFERROR(INDEX(Mapping!$B$17:$B$22,MATCH($F4968,Mapping!$A$17:$A$22,0)),$F4968)&amp;" "&amp;IF($G4968="Banking","Banking",IFERROR(INDEX(Mapping!$E$17:$E$28,MATCH($J4968,Mapping!$D$17:$D$28,0)),"(unmapped)")))))</f>
        <v/>
      </c>
    </row>
    <row r="4969" spans="11:11" x14ac:dyDescent="0.3">
      <c r="K4969" t="str">
        <f>IF($D4969="","",IFERROR(INDEX(Mapping!$H$3:$H$32,MATCH($B4969,Mapping!$G$3:$G$32,0)),IF(LEFT($F4969,3)="P2P",IFERROR(INDEX(Mapping!$E$3:$E$6,MATCH($G4969,Mapping!$D$3:$D$6,0)),IFERROR(INDEX(Mapping!$B$3:$B$13,MATCH($J4969,Mapping!$A$3:$A$13,0)),"(unmapped)")),IFERROR(INDEX(Mapping!$B$17:$B$22,MATCH($F4969,Mapping!$A$17:$A$22,0)),$F4969)&amp;" "&amp;IF($G4969="Banking","Banking",IFERROR(INDEX(Mapping!$E$17:$E$28,MATCH($J4969,Mapping!$D$17:$D$28,0)),"(unmapped)")))))</f>
        <v/>
      </c>
    </row>
    <row r="4970" spans="11:11" x14ac:dyDescent="0.3">
      <c r="K4970" t="str">
        <f>IF($D4970="","",IFERROR(INDEX(Mapping!$H$3:$H$32,MATCH($B4970,Mapping!$G$3:$G$32,0)),IF(LEFT($F4970,3)="P2P",IFERROR(INDEX(Mapping!$E$3:$E$6,MATCH($G4970,Mapping!$D$3:$D$6,0)),IFERROR(INDEX(Mapping!$B$3:$B$13,MATCH($J4970,Mapping!$A$3:$A$13,0)),"(unmapped)")),IFERROR(INDEX(Mapping!$B$17:$B$22,MATCH($F4970,Mapping!$A$17:$A$22,0)),$F4970)&amp;" "&amp;IF($G4970="Banking","Banking",IFERROR(INDEX(Mapping!$E$17:$E$28,MATCH($J4970,Mapping!$D$17:$D$28,0)),"(unmapped)")))))</f>
        <v/>
      </c>
    </row>
    <row r="4971" spans="11:11" x14ac:dyDescent="0.3">
      <c r="K4971" t="str">
        <f>IF($D4971="","",IFERROR(INDEX(Mapping!$H$3:$H$32,MATCH($B4971,Mapping!$G$3:$G$32,0)),IF(LEFT($F4971,3)="P2P",IFERROR(INDEX(Mapping!$E$3:$E$6,MATCH($G4971,Mapping!$D$3:$D$6,0)),IFERROR(INDEX(Mapping!$B$3:$B$13,MATCH($J4971,Mapping!$A$3:$A$13,0)),"(unmapped)")),IFERROR(INDEX(Mapping!$B$17:$B$22,MATCH($F4971,Mapping!$A$17:$A$22,0)),$F4971)&amp;" "&amp;IF($G4971="Banking","Banking",IFERROR(INDEX(Mapping!$E$17:$E$28,MATCH($J4971,Mapping!$D$17:$D$28,0)),"(unmapped)")))))</f>
        <v/>
      </c>
    </row>
    <row r="4972" spans="11:11" x14ac:dyDescent="0.3">
      <c r="K4972" t="str">
        <f>IF($D4972="","",IFERROR(INDEX(Mapping!$H$3:$H$32,MATCH($B4972,Mapping!$G$3:$G$32,0)),IF(LEFT($F4972,3)="P2P",IFERROR(INDEX(Mapping!$E$3:$E$6,MATCH($G4972,Mapping!$D$3:$D$6,0)),IFERROR(INDEX(Mapping!$B$3:$B$13,MATCH($J4972,Mapping!$A$3:$A$13,0)),"(unmapped)")),IFERROR(INDEX(Mapping!$B$17:$B$22,MATCH($F4972,Mapping!$A$17:$A$22,0)),$F4972)&amp;" "&amp;IF($G4972="Banking","Banking",IFERROR(INDEX(Mapping!$E$17:$E$28,MATCH($J4972,Mapping!$D$17:$D$28,0)),"(unmapped)")))))</f>
        <v/>
      </c>
    </row>
    <row r="4973" spans="11:11" x14ac:dyDescent="0.3">
      <c r="K4973" t="str">
        <f>IF($D4973="","",IFERROR(INDEX(Mapping!$H$3:$H$32,MATCH($B4973,Mapping!$G$3:$G$32,0)),IF(LEFT($F4973,3)="P2P",IFERROR(INDEX(Mapping!$E$3:$E$6,MATCH($G4973,Mapping!$D$3:$D$6,0)),IFERROR(INDEX(Mapping!$B$3:$B$13,MATCH($J4973,Mapping!$A$3:$A$13,0)),"(unmapped)")),IFERROR(INDEX(Mapping!$B$17:$B$22,MATCH($F4973,Mapping!$A$17:$A$22,0)),$F4973)&amp;" "&amp;IF($G4973="Banking","Banking",IFERROR(INDEX(Mapping!$E$17:$E$28,MATCH($J4973,Mapping!$D$17:$D$28,0)),"(unmapped)")))))</f>
        <v/>
      </c>
    </row>
    <row r="4974" spans="11:11" x14ac:dyDescent="0.3">
      <c r="K4974" t="str">
        <f>IF($D4974="","",IFERROR(INDEX(Mapping!$H$3:$H$32,MATCH($B4974,Mapping!$G$3:$G$32,0)),IF(LEFT($F4974,3)="P2P",IFERROR(INDEX(Mapping!$E$3:$E$6,MATCH($G4974,Mapping!$D$3:$D$6,0)),IFERROR(INDEX(Mapping!$B$3:$B$13,MATCH($J4974,Mapping!$A$3:$A$13,0)),"(unmapped)")),IFERROR(INDEX(Mapping!$B$17:$B$22,MATCH($F4974,Mapping!$A$17:$A$22,0)),$F4974)&amp;" "&amp;IF($G4974="Banking","Banking",IFERROR(INDEX(Mapping!$E$17:$E$28,MATCH($J4974,Mapping!$D$17:$D$28,0)),"(unmapped)")))))</f>
        <v/>
      </c>
    </row>
    <row r="4975" spans="11:11" x14ac:dyDescent="0.3">
      <c r="K4975" t="str">
        <f>IF($D4975="","",IFERROR(INDEX(Mapping!$H$3:$H$32,MATCH($B4975,Mapping!$G$3:$G$32,0)),IF(LEFT($F4975,3)="P2P",IFERROR(INDEX(Mapping!$E$3:$E$6,MATCH($G4975,Mapping!$D$3:$D$6,0)),IFERROR(INDEX(Mapping!$B$3:$B$13,MATCH($J4975,Mapping!$A$3:$A$13,0)),"(unmapped)")),IFERROR(INDEX(Mapping!$B$17:$B$22,MATCH($F4975,Mapping!$A$17:$A$22,0)),$F4975)&amp;" "&amp;IF($G4975="Banking","Banking",IFERROR(INDEX(Mapping!$E$17:$E$28,MATCH($J4975,Mapping!$D$17:$D$28,0)),"(unmapped)")))))</f>
        <v/>
      </c>
    </row>
    <row r="4976" spans="11:11" x14ac:dyDescent="0.3">
      <c r="K4976" t="str">
        <f>IF($D4976="","",IFERROR(INDEX(Mapping!$H$3:$H$32,MATCH($B4976,Mapping!$G$3:$G$32,0)),IF(LEFT($F4976,3)="P2P",IFERROR(INDEX(Mapping!$E$3:$E$6,MATCH($G4976,Mapping!$D$3:$D$6,0)),IFERROR(INDEX(Mapping!$B$3:$B$13,MATCH($J4976,Mapping!$A$3:$A$13,0)),"(unmapped)")),IFERROR(INDEX(Mapping!$B$17:$B$22,MATCH($F4976,Mapping!$A$17:$A$22,0)),$F4976)&amp;" "&amp;IF($G4976="Banking","Banking",IFERROR(INDEX(Mapping!$E$17:$E$28,MATCH($J4976,Mapping!$D$17:$D$28,0)),"(unmapped)")))))</f>
        <v/>
      </c>
    </row>
    <row r="4977" spans="11:11" x14ac:dyDescent="0.3">
      <c r="K4977" t="str">
        <f>IF($D4977="","",IFERROR(INDEX(Mapping!$H$3:$H$32,MATCH($B4977,Mapping!$G$3:$G$32,0)),IF(LEFT($F4977,3)="P2P",IFERROR(INDEX(Mapping!$E$3:$E$6,MATCH($G4977,Mapping!$D$3:$D$6,0)),IFERROR(INDEX(Mapping!$B$3:$B$13,MATCH($J4977,Mapping!$A$3:$A$13,0)),"(unmapped)")),IFERROR(INDEX(Mapping!$B$17:$B$22,MATCH($F4977,Mapping!$A$17:$A$22,0)),$F4977)&amp;" "&amp;IF($G4977="Banking","Banking",IFERROR(INDEX(Mapping!$E$17:$E$28,MATCH($J4977,Mapping!$D$17:$D$28,0)),"(unmapped)")))))</f>
        <v/>
      </c>
    </row>
    <row r="4978" spans="11:11" x14ac:dyDescent="0.3">
      <c r="K4978" t="str">
        <f>IF($D4978="","",IFERROR(INDEX(Mapping!$H$3:$H$32,MATCH($B4978,Mapping!$G$3:$G$32,0)),IF(LEFT($F4978,3)="P2P",IFERROR(INDEX(Mapping!$E$3:$E$6,MATCH($G4978,Mapping!$D$3:$D$6,0)),IFERROR(INDEX(Mapping!$B$3:$B$13,MATCH($J4978,Mapping!$A$3:$A$13,0)),"(unmapped)")),IFERROR(INDEX(Mapping!$B$17:$B$22,MATCH($F4978,Mapping!$A$17:$A$22,0)),$F4978)&amp;" "&amp;IF($G4978="Banking","Banking",IFERROR(INDEX(Mapping!$E$17:$E$28,MATCH($J4978,Mapping!$D$17:$D$28,0)),"(unmapped)")))))</f>
        <v/>
      </c>
    </row>
    <row r="4979" spans="11:11" x14ac:dyDescent="0.3">
      <c r="K4979" t="str">
        <f>IF($D4979="","",IFERROR(INDEX(Mapping!$H$3:$H$32,MATCH($B4979,Mapping!$G$3:$G$32,0)),IF(LEFT($F4979,3)="P2P",IFERROR(INDEX(Mapping!$E$3:$E$6,MATCH($G4979,Mapping!$D$3:$D$6,0)),IFERROR(INDEX(Mapping!$B$3:$B$13,MATCH($J4979,Mapping!$A$3:$A$13,0)),"(unmapped)")),IFERROR(INDEX(Mapping!$B$17:$B$22,MATCH($F4979,Mapping!$A$17:$A$22,0)),$F4979)&amp;" "&amp;IF($G4979="Banking","Banking",IFERROR(INDEX(Mapping!$E$17:$E$28,MATCH($J4979,Mapping!$D$17:$D$28,0)),"(unmapped)")))))</f>
        <v/>
      </c>
    </row>
    <row r="4980" spans="11:11" x14ac:dyDescent="0.3">
      <c r="K4980" t="str">
        <f>IF($D4980="","",IFERROR(INDEX(Mapping!$H$3:$H$32,MATCH($B4980,Mapping!$G$3:$G$32,0)),IF(LEFT($F4980,3)="P2P",IFERROR(INDEX(Mapping!$E$3:$E$6,MATCH($G4980,Mapping!$D$3:$D$6,0)),IFERROR(INDEX(Mapping!$B$3:$B$13,MATCH($J4980,Mapping!$A$3:$A$13,0)),"(unmapped)")),IFERROR(INDEX(Mapping!$B$17:$B$22,MATCH($F4980,Mapping!$A$17:$A$22,0)),$F4980)&amp;" "&amp;IF($G4980="Banking","Banking",IFERROR(INDEX(Mapping!$E$17:$E$28,MATCH($J4980,Mapping!$D$17:$D$28,0)),"(unmapped)")))))</f>
        <v/>
      </c>
    </row>
    <row r="4981" spans="11:11" x14ac:dyDescent="0.3">
      <c r="K4981" t="str">
        <f>IF($D4981="","",IFERROR(INDEX(Mapping!$H$3:$H$32,MATCH($B4981,Mapping!$G$3:$G$32,0)),IF(LEFT($F4981,3)="P2P",IFERROR(INDEX(Mapping!$E$3:$E$6,MATCH($G4981,Mapping!$D$3:$D$6,0)),IFERROR(INDEX(Mapping!$B$3:$B$13,MATCH($J4981,Mapping!$A$3:$A$13,0)),"(unmapped)")),IFERROR(INDEX(Mapping!$B$17:$B$22,MATCH($F4981,Mapping!$A$17:$A$22,0)),$F4981)&amp;" "&amp;IF($G4981="Banking","Banking",IFERROR(INDEX(Mapping!$E$17:$E$28,MATCH($J4981,Mapping!$D$17:$D$28,0)),"(unmapped)")))))</f>
        <v/>
      </c>
    </row>
    <row r="4982" spans="11:11" x14ac:dyDescent="0.3">
      <c r="K4982" t="str">
        <f>IF($D4982="","",IFERROR(INDEX(Mapping!$H$3:$H$32,MATCH($B4982,Mapping!$G$3:$G$32,0)),IF(LEFT($F4982,3)="P2P",IFERROR(INDEX(Mapping!$E$3:$E$6,MATCH($G4982,Mapping!$D$3:$D$6,0)),IFERROR(INDEX(Mapping!$B$3:$B$13,MATCH($J4982,Mapping!$A$3:$A$13,0)),"(unmapped)")),IFERROR(INDEX(Mapping!$B$17:$B$22,MATCH($F4982,Mapping!$A$17:$A$22,0)),$F4982)&amp;" "&amp;IF($G4982="Banking","Banking",IFERROR(INDEX(Mapping!$E$17:$E$28,MATCH($J4982,Mapping!$D$17:$D$28,0)),"(unmapped)")))))</f>
        <v/>
      </c>
    </row>
    <row r="4983" spans="11:11" x14ac:dyDescent="0.3">
      <c r="K4983" t="str">
        <f>IF($D4983="","",IFERROR(INDEX(Mapping!$H$3:$H$32,MATCH($B4983,Mapping!$G$3:$G$32,0)),IF(LEFT($F4983,3)="P2P",IFERROR(INDEX(Mapping!$E$3:$E$6,MATCH($G4983,Mapping!$D$3:$D$6,0)),IFERROR(INDEX(Mapping!$B$3:$B$13,MATCH($J4983,Mapping!$A$3:$A$13,0)),"(unmapped)")),IFERROR(INDEX(Mapping!$B$17:$B$22,MATCH($F4983,Mapping!$A$17:$A$22,0)),$F4983)&amp;" "&amp;IF($G4983="Banking","Banking",IFERROR(INDEX(Mapping!$E$17:$E$28,MATCH($J4983,Mapping!$D$17:$D$28,0)),"(unmapped)")))))</f>
        <v/>
      </c>
    </row>
    <row r="4984" spans="11:11" x14ac:dyDescent="0.3">
      <c r="K4984" t="str">
        <f>IF($D4984="","",IFERROR(INDEX(Mapping!$H$3:$H$32,MATCH($B4984,Mapping!$G$3:$G$32,0)),IF(LEFT($F4984,3)="P2P",IFERROR(INDEX(Mapping!$E$3:$E$6,MATCH($G4984,Mapping!$D$3:$D$6,0)),IFERROR(INDEX(Mapping!$B$3:$B$13,MATCH($J4984,Mapping!$A$3:$A$13,0)),"(unmapped)")),IFERROR(INDEX(Mapping!$B$17:$B$22,MATCH($F4984,Mapping!$A$17:$A$22,0)),$F4984)&amp;" "&amp;IF($G4984="Banking","Banking",IFERROR(INDEX(Mapping!$E$17:$E$28,MATCH($J4984,Mapping!$D$17:$D$28,0)),"(unmapped)")))))</f>
        <v/>
      </c>
    </row>
    <row r="4985" spans="11:11" x14ac:dyDescent="0.3">
      <c r="K4985" t="str">
        <f>IF($D4985="","",IFERROR(INDEX(Mapping!$H$3:$H$32,MATCH($B4985,Mapping!$G$3:$G$32,0)),IF(LEFT($F4985,3)="P2P",IFERROR(INDEX(Mapping!$E$3:$E$6,MATCH($G4985,Mapping!$D$3:$D$6,0)),IFERROR(INDEX(Mapping!$B$3:$B$13,MATCH($J4985,Mapping!$A$3:$A$13,0)),"(unmapped)")),IFERROR(INDEX(Mapping!$B$17:$B$22,MATCH($F4985,Mapping!$A$17:$A$22,0)),$F4985)&amp;" "&amp;IF($G4985="Banking","Banking",IFERROR(INDEX(Mapping!$E$17:$E$28,MATCH($J4985,Mapping!$D$17:$D$28,0)),"(unmapped)")))))</f>
        <v/>
      </c>
    </row>
    <row r="4986" spans="11:11" x14ac:dyDescent="0.3">
      <c r="K4986" t="str">
        <f>IF($D4986="","",IFERROR(INDEX(Mapping!$H$3:$H$32,MATCH($B4986,Mapping!$G$3:$G$32,0)),IF(LEFT($F4986,3)="P2P",IFERROR(INDEX(Mapping!$E$3:$E$6,MATCH($G4986,Mapping!$D$3:$D$6,0)),IFERROR(INDEX(Mapping!$B$3:$B$13,MATCH($J4986,Mapping!$A$3:$A$13,0)),"(unmapped)")),IFERROR(INDEX(Mapping!$B$17:$B$22,MATCH($F4986,Mapping!$A$17:$A$22,0)),$F4986)&amp;" "&amp;IF($G4986="Banking","Banking",IFERROR(INDEX(Mapping!$E$17:$E$28,MATCH($J4986,Mapping!$D$17:$D$28,0)),"(unmapped)")))))</f>
        <v/>
      </c>
    </row>
    <row r="4987" spans="11:11" x14ac:dyDescent="0.3">
      <c r="K4987" t="str">
        <f>IF($D4987="","",IFERROR(INDEX(Mapping!$H$3:$H$32,MATCH($B4987,Mapping!$G$3:$G$32,0)),IF(LEFT($F4987,3)="P2P",IFERROR(INDEX(Mapping!$E$3:$E$6,MATCH($G4987,Mapping!$D$3:$D$6,0)),IFERROR(INDEX(Mapping!$B$3:$B$13,MATCH($J4987,Mapping!$A$3:$A$13,0)),"(unmapped)")),IFERROR(INDEX(Mapping!$B$17:$B$22,MATCH($F4987,Mapping!$A$17:$A$22,0)),$F4987)&amp;" "&amp;IF($G4987="Banking","Banking",IFERROR(INDEX(Mapping!$E$17:$E$28,MATCH($J4987,Mapping!$D$17:$D$28,0)),"(unmapped)")))))</f>
        <v/>
      </c>
    </row>
    <row r="4988" spans="11:11" x14ac:dyDescent="0.3">
      <c r="K4988" t="str">
        <f>IF($D4988="","",IFERROR(INDEX(Mapping!$H$3:$H$32,MATCH($B4988,Mapping!$G$3:$G$32,0)),IF(LEFT($F4988,3)="P2P",IFERROR(INDEX(Mapping!$E$3:$E$6,MATCH($G4988,Mapping!$D$3:$D$6,0)),IFERROR(INDEX(Mapping!$B$3:$B$13,MATCH($J4988,Mapping!$A$3:$A$13,0)),"(unmapped)")),IFERROR(INDEX(Mapping!$B$17:$B$22,MATCH($F4988,Mapping!$A$17:$A$22,0)),$F4988)&amp;" "&amp;IF($G4988="Banking","Banking",IFERROR(INDEX(Mapping!$E$17:$E$28,MATCH($J4988,Mapping!$D$17:$D$28,0)),"(unmapped)")))))</f>
        <v/>
      </c>
    </row>
    <row r="4989" spans="11:11" x14ac:dyDescent="0.3">
      <c r="K4989" t="str">
        <f>IF($D4989="","",IFERROR(INDEX(Mapping!$H$3:$H$32,MATCH($B4989,Mapping!$G$3:$G$32,0)),IF(LEFT($F4989,3)="P2P",IFERROR(INDEX(Mapping!$E$3:$E$6,MATCH($G4989,Mapping!$D$3:$D$6,0)),IFERROR(INDEX(Mapping!$B$3:$B$13,MATCH($J4989,Mapping!$A$3:$A$13,0)),"(unmapped)")),IFERROR(INDEX(Mapping!$B$17:$B$22,MATCH($F4989,Mapping!$A$17:$A$22,0)),$F4989)&amp;" "&amp;IF($G4989="Banking","Banking",IFERROR(INDEX(Mapping!$E$17:$E$28,MATCH($J4989,Mapping!$D$17:$D$28,0)),"(unmapped)")))))</f>
        <v/>
      </c>
    </row>
    <row r="4990" spans="11:11" x14ac:dyDescent="0.3">
      <c r="K4990" t="str">
        <f>IF($D4990="","",IFERROR(INDEX(Mapping!$H$3:$H$32,MATCH($B4990,Mapping!$G$3:$G$32,0)),IF(LEFT($F4990,3)="P2P",IFERROR(INDEX(Mapping!$E$3:$E$6,MATCH($G4990,Mapping!$D$3:$D$6,0)),IFERROR(INDEX(Mapping!$B$3:$B$13,MATCH($J4990,Mapping!$A$3:$A$13,0)),"(unmapped)")),IFERROR(INDEX(Mapping!$B$17:$B$22,MATCH($F4990,Mapping!$A$17:$A$22,0)),$F4990)&amp;" "&amp;IF($G4990="Banking","Banking",IFERROR(INDEX(Mapping!$E$17:$E$28,MATCH($J4990,Mapping!$D$17:$D$28,0)),"(unmapped)")))))</f>
        <v/>
      </c>
    </row>
    <row r="4991" spans="11:11" x14ac:dyDescent="0.3">
      <c r="K4991" t="str">
        <f>IF($D4991="","",IFERROR(INDEX(Mapping!$H$3:$H$32,MATCH($B4991,Mapping!$G$3:$G$32,0)),IF(LEFT($F4991,3)="P2P",IFERROR(INDEX(Mapping!$E$3:$E$6,MATCH($G4991,Mapping!$D$3:$D$6,0)),IFERROR(INDEX(Mapping!$B$3:$B$13,MATCH($J4991,Mapping!$A$3:$A$13,0)),"(unmapped)")),IFERROR(INDEX(Mapping!$B$17:$B$22,MATCH($F4991,Mapping!$A$17:$A$22,0)),$F4991)&amp;" "&amp;IF($G4991="Banking","Banking",IFERROR(INDEX(Mapping!$E$17:$E$28,MATCH($J4991,Mapping!$D$17:$D$28,0)),"(unmapped)")))))</f>
        <v/>
      </c>
    </row>
    <row r="4992" spans="11:11" x14ac:dyDescent="0.3">
      <c r="K4992" t="str">
        <f>IF($D4992="","",IFERROR(INDEX(Mapping!$H$3:$H$32,MATCH($B4992,Mapping!$G$3:$G$32,0)),IF(LEFT($F4992,3)="P2P",IFERROR(INDEX(Mapping!$E$3:$E$6,MATCH($G4992,Mapping!$D$3:$D$6,0)),IFERROR(INDEX(Mapping!$B$3:$B$13,MATCH($J4992,Mapping!$A$3:$A$13,0)),"(unmapped)")),IFERROR(INDEX(Mapping!$B$17:$B$22,MATCH($F4992,Mapping!$A$17:$A$22,0)),$F4992)&amp;" "&amp;IF($G4992="Banking","Banking",IFERROR(INDEX(Mapping!$E$17:$E$28,MATCH($J4992,Mapping!$D$17:$D$28,0)),"(unmapped)")))))</f>
        <v/>
      </c>
    </row>
    <row r="4993" spans="11:11" x14ac:dyDescent="0.3">
      <c r="K4993" t="str">
        <f>IF($D4993="","",IFERROR(INDEX(Mapping!$H$3:$H$32,MATCH($B4993,Mapping!$G$3:$G$32,0)),IF(LEFT($F4993,3)="P2P",IFERROR(INDEX(Mapping!$E$3:$E$6,MATCH($G4993,Mapping!$D$3:$D$6,0)),IFERROR(INDEX(Mapping!$B$3:$B$13,MATCH($J4993,Mapping!$A$3:$A$13,0)),"(unmapped)")),IFERROR(INDEX(Mapping!$B$17:$B$22,MATCH($F4993,Mapping!$A$17:$A$22,0)),$F4993)&amp;" "&amp;IF($G4993="Banking","Banking",IFERROR(INDEX(Mapping!$E$17:$E$28,MATCH($J4993,Mapping!$D$17:$D$28,0)),"(unmapped)")))))</f>
        <v/>
      </c>
    </row>
    <row r="4994" spans="11:11" x14ac:dyDescent="0.3">
      <c r="K4994" t="str">
        <f>IF($D4994="","",IFERROR(INDEX(Mapping!$H$3:$H$32,MATCH($B4994,Mapping!$G$3:$G$32,0)),IF(LEFT($F4994,3)="P2P",IFERROR(INDEX(Mapping!$E$3:$E$6,MATCH($G4994,Mapping!$D$3:$D$6,0)),IFERROR(INDEX(Mapping!$B$3:$B$13,MATCH($J4994,Mapping!$A$3:$A$13,0)),"(unmapped)")),IFERROR(INDEX(Mapping!$B$17:$B$22,MATCH($F4994,Mapping!$A$17:$A$22,0)),$F4994)&amp;" "&amp;IF($G4994="Banking","Banking",IFERROR(INDEX(Mapping!$E$17:$E$28,MATCH($J4994,Mapping!$D$17:$D$28,0)),"(unmapped)")))))</f>
        <v/>
      </c>
    </row>
    <row r="4995" spans="11:11" x14ac:dyDescent="0.3">
      <c r="K4995" t="str">
        <f>IF($D4995="","",IFERROR(INDEX(Mapping!$H$3:$H$32,MATCH($B4995,Mapping!$G$3:$G$32,0)),IF(LEFT($F4995,3)="P2P",IFERROR(INDEX(Mapping!$E$3:$E$6,MATCH($G4995,Mapping!$D$3:$D$6,0)),IFERROR(INDEX(Mapping!$B$3:$B$13,MATCH($J4995,Mapping!$A$3:$A$13,0)),"(unmapped)")),IFERROR(INDEX(Mapping!$B$17:$B$22,MATCH($F4995,Mapping!$A$17:$A$22,0)),$F4995)&amp;" "&amp;IF($G4995="Banking","Banking",IFERROR(INDEX(Mapping!$E$17:$E$28,MATCH($J4995,Mapping!$D$17:$D$28,0)),"(unmapped)")))))</f>
        <v/>
      </c>
    </row>
    <row r="4996" spans="11:11" x14ac:dyDescent="0.3">
      <c r="K4996" t="str">
        <f>IF($D4996="","",IFERROR(INDEX(Mapping!$H$3:$H$32,MATCH($B4996,Mapping!$G$3:$G$32,0)),IF(LEFT($F4996,3)="P2P",IFERROR(INDEX(Mapping!$E$3:$E$6,MATCH($G4996,Mapping!$D$3:$D$6,0)),IFERROR(INDEX(Mapping!$B$3:$B$13,MATCH($J4996,Mapping!$A$3:$A$13,0)),"(unmapped)")),IFERROR(INDEX(Mapping!$B$17:$B$22,MATCH($F4996,Mapping!$A$17:$A$22,0)),$F4996)&amp;" "&amp;IF($G4996="Banking","Banking",IFERROR(INDEX(Mapping!$E$17:$E$28,MATCH($J4996,Mapping!$D$17:$D$28,0)),"(unmapped)")))))</f>
        <v/>
      </c>
    </row>
    <row r="4997" spans="11:11" x14ac:dyDescent="0.3">
      <c r="K4997" t="str">
        <f>IF($D4997="","",IFERROR(INDEX(Mapping!$H$3:$H$32,MATCH($B4997,Mapping!$G$3:$G$32,0)),IF(LEFT($F4997,3)="P2P",IFERROR(INDEX(Mapping!$E$3:$E$6,MATCH($G4997,Mapping!$D$3:$D$6,0)),IFERROR(INDEX(Mapping!$B$3:$B$13,MATCH($J4997,Mapping!$A$3:$A$13,0)),"(unmapped)")),IFERROR(INDEX(Mapping!$B$17:$B$22,MATCH($F4997,Mapping!$A$17:$A$22,0)),$F4997)&amp;" "&amp;IF($G4997="Banking","Banking",IFERROR(INDEX(Mapping!$E$17:$E$28,MATCH($J4997,Mapping!$D$17:$D$28,0)),"(unmapped)")))))</f>
        <v/>
      </c>
    </row>
    <row r="4998" spans="11:11" x14ac:dyDescent="0.3">
      <c r="K4998" t="str">
        <f>IF($D4998="","",IFERROR(INDEX(Mapping!$H$3:$H$32,MATCH($B4998,Mapping!$G$3:$G$32,0)),IF(LEFT($F4998,3)="P2P",IFERROR(INDEX(Mapping!$E$3:$E$6,MATCH($G4998,Mapping!$D$3:$D$6,0)),IFERROR(INDEX(Mapping!$B$3:$B$13,MATCH($J4998,Mapping!$A$3:$A$13,0)),"(unmapped)")),IFERROR(INDEX(Mapping!$B$17:$B$22,MATCH($F4998,Mapping!$A$17:$A$22,0)),$F4998)&amp;" "&amp;IF($G4998="Banking","Banking",IFERROR(INDEX(Mapping!$E$17:$E$28,MATCH($J4998,Mapping!$D$17:$D$28,0)),"(unmapped)")))))</f>
        <v/>
      </c>
    </row>
    <row r="4999" spans="11:11" x14ac:dyDescent="0.3">
      <c r="K4999" t="str">
        <f>IF($D4999="","",IFERROR(INDEX(Mapping!$H$3:$H$32,MATCH($B4999,Mapping!$G$3:$G$32,0)),IF(LEFT($F4999,3)="P2P",IFERROR(INDEX(Mapping!$E$3:$E$6,MATCH($G4999,Mapping!$D$3:$D$6,0)),IFERROR(INDEX(Mapping!$B$3:$B$13,MATCH($J4999,Mapping!$A$3:$A$13,0)),"(unmapped)")),IFERROR(INDEX(Mapping!$B$17:$B$22,MATCH($F4999,Mapping!$A$17:$A$22,0)),$F4999)&amp;" "&amp;IF($G4999="Banking","Banking",IFERROR(INDEX(Mapping!$E$17:$E$28,MATCH($J4999,Mapping!$D$17:$D$28,0)),"(unmapped)")))))</f>
        <v/>
      </c>
    </row>
    <row r="5000" spans="11:11" x14ac:dyDescent="0.3">
      <c r="K5000" t="str">
        <f>IF($D5000="","",IFERROR(INDEX(Mapping!$H$3:$H$32,MATCH($B5000,Mapping!$G$3:$G$32,0)),IF(LEFT($F5000,3)="P2P",IFERROR(INDEX(Mapping!$E$3:$E$6,MATCH($G5000,Mapping!$D$3:$D$6,0)),IFERROR(INDEX(Mapping!$B$3:$B$13,MATCH($J5000,Mapping!$A$3:$A$13,0)),"(unmapped)")),IFERROR(INDEX(Mapping!$B$17:$B$22,MATCH($F5000,Mapping!$A$17:$A$22,0)),$F5000)&amp;" "&amp;IF($G5000="Banking","Banking",IFERROR(INDEX(Mapping!$E$17:$E$28,MATCH($J5000,Mapping!$D$17:$D$28,0)),"(unmapped)")))))</f>
        <v/>
      </c>
    </row>
  </sheetData>
  <autoFilter ref="A1:K5000" xr:uid="{96FF0E5F-FBC3-46B8-A62D-240E47106600}"/>
  <pageMargins left="0.7" right="0.7" top="0.75" bottom="0.75" header="0.3" footer="0.3"/>
  <pageSetup paperSize="9" orientation="portrait" verticalDpi="0" r:id="rId1"/>
  <headerFooter>
    <oddFooter>&amp;L_x000D_&amp;1#&amp;"Aptos"&amp;10&amp;K000000 DS SMITH-BUSINESS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F3ED-554C-49AF-B27E-F2228DAA82B2}">
  <sheetPr codeName="Hoja5"/>
  <dimension ref="A1:E23"/>
  <sheetViews>
    <sheetView zoomScale="145" zoomScaleNormal="145" workbookViewId="0">
      <selection activeCell="AQ15" sqref="AQ15:AQ23"/>
    </sheetView>
  </sheetViews>
  <sheetFormatPr baseColWidth="10" defaultColWidth="11.44140625" defaultRowHeight="14.4" x14ac:dyDescent="0.3"/>
  <cols>
    <col min="1" max="1" width="15.6640625" bestFit="1" customWidth="1"/>
    <col min="4" max="4" width="12.33203125" bestFit="1" customWidth="1"/>
  </cols>
  <sheetData>
    <row r="1" spans="1:5" x14ac:dyDescent="0.3">
      <c r="A1" t="s">
        <v>10</v>
      </c>
      <c r="B1" t="s">
        <v>35</v>
      </c>
      <c r="C1" t="s">
        <v>36</v>
      </c>
      <c r="E1" t="s">
        <v>327</v>
      </c>
    </row>
    <row r="2" spans="1:5" x14ac:dyDescent="0.3">
      <c r="A2" t="s">
        <v>20</v>
      </c>
      <c r="B2" t="s">
        <v>0</v>
      </c>
      <c r="C2" t="s">
        <v>0</v>
      </c>
      <c r="D2" s="1"/>
    </row>
    <row r="3" spans="1:5" x14ac:dyDescent="0.3">
      <c r="A3" t="s">
        <v>34</v>
      </c>
      <c r="B3" t="s">
        <v>1</v>
      </c>
      <c r="C3" t="s">
        <v>1</v>
      </c>
      <c r="D3" s="1"/>
    </row>
    <row r="4" spans="1:5" x14ac:dyDescent="0.3">
      <c r="A4" s="1" t="s">
        <v>21</v>
      </c>
      <c r="B4" t="s">
        <v>1</v>
      </c>
      <c r="C4" t="s">
        <v>1</v>
      </c>
      <c r="D4" s="1"/>
    </row>
    <row r="5" spans="1:5" x14ac:dyDescent="0.3">
      <c r="A5" t="s">
        <v>22</v>
      </c>
      <c r="B5" t="s">
        <v>3</v>
      </c>
      <c r="C5" t="s">
        <v>3</v>
      </c>
      <c r="D5" s="1"/>
    </row>
    <row r="6" spans="1:5" x14ac:dyDescent="0.3">
      <c r="A6" t="s">
        <v>23</v>
      </c>
      <c r="B6" t="s">
        <v>4</v>
      </c>
      <c r="C6" t="s">
        <v>4</v>
      </c>
      <c r="D6" s="1"/>
    </row>
    <row r="7" spans="1:5" x14ac:dyDescent="0.3">
      <c r="A7" t="s">
        <v>24</v>
      </c>
      <c r="B7" t="s">
        <v>4</v>
      </c>
      <c r="C7" t="s">
        <v>4</v>
      </c>
      <c r="D7" s="1"/>
    </row>
    <row r="8" spans="1:5" x14ac:dyDescent="0.3">
      <c r="A8" t="s">
        <v>25</v>
      </c>
      <c r="B8" t="s">
        <v>5</v>
      </c>
      <c r="C8" t="s">
        <v>5</v>
      </c>
      <c r="D8" s="1"/>
    </row>
    <row r="9" spans="1:5" x14ac:dyDescent="0.3">
      <c r="A9" t="s">
        <v>26</v>
      </c>
      <c r="B9" t="s">
        <v>6</v>
      </c>
      <c r="C9" t="s">
        <v>6</v>
      </c>
      <c r="D9" s="1"/>
    </row>
    <row r="10" spans="1:5" x14ac:dyDescent="0.3">
      <c r="A10" t="s">
        <v>27</v>
      </c>
      <c r="B10" t="s">
        <v>8</v>
      </c>
      <c r="C10" t="s">
        <v>8</v>
      </c>
      <c r="D10" s="1"/>
    </row>
    <row r="11" spans="1:5" x14ac:dyDescent="0.3">
      <c r="A11" t="s">
        <v>28</v>
      </c>
      <c r="B11" t="s">
        <v>7</v>
      </c>
      <c r="C11" t="s">
        <v>7</v>
      </c>
      <c r="D11" s="1"/>
    </row>
    <row r="12" spans="1:5" x14ac:dyDescent="0.3">
      <c r="A12" t="s">
        <v>29</v>
      </c>
      <c r="B12" t="s">
        <v>7</v>
      </c>
      <c r="C12" t="s">
        <v>7</v>
      </c>
      <c r="D12" s="1"/>
    </row>
    <row r="13" spans="1:5" x14ac:dyDescent="0.3">
      <c r="A13" t="s">
        <v>30</v>
      </c>
      <c r="B13" t="s">
        <v>7</v>
      </c>
      <c r="C13" t="s">
        <v>7</v>
      </c>
      <c r="D13" s="1"/>
    </row>
    <row r="14" spans="1:5" x14ac:dyDescent="0.3">
      <c r="A14" t="s">
        <v>33</v>
      </c>
      <c r="B14" t="s">
        <v>7</v>
      </c>
      <c r="C14" t="s">
        <v>7</v>
      </c>
      <c r="D14" s="1"/>
    </row>
    <row r="15" spans="1:5" x14ac:dyDescent="0.3">
      <c r="A15" t="s">
        <v>13</v>
      </c>
      <c r="B15" t="s">
        <v>2</v>
      </c>
      <c r="C15" t="s">
        <v>2</v>
      </c>
      <c r="D15" s="1"/>
    </row>
    <row r="16" spans="1:5" x14ac:dyDescent="0.3">
      <c r="A16" t="s">
        <v>14</v>
      </c>
      <c r="B16" t="s">
        <v>2</v>
      </c>
      <c r="C16" t="s">
        <v>2</v>
      </c>
      <c r="D16" s="1"/>
    </row>
    <row r="17" spans="1:4" x14ac:dyDescent="0.3">
      <c r="A17" t="s">
        <v>15</v>
      </c>
      <c r="B17" t="s">
        <v>2</v>
      </c>
      <c r="C17" t="s">
        <v>1</v>
      </c>
      <c r="D17" s="1"/>
    </row>
    <row r="18" spans="1:4" x14ac:dyDescent="0.3">
      <c r="A18" t="s">
        <v>16</v>
      </c>
      <c r="B18" t="s">
        <v>2</v>
      </c>
      <c r="C18" t="s">
        <v>2</v>
      </c>
      <c r="D18" s="1"/>
    </row>
    <row r="19" spans="1:4" x14ac:dyDescent="0.3">
      <c r="A19" t="s">
        <v>17</v>
      </c>
      <c r="B19" t="s">
        <v>2</v>
      </c>
      <c r="C19" t="s">
        <v>2</v>
      </c>
      <c r="D19" s="1"/>
    </row>
    <row r="20" spans="1:4" x14ac:dyDescent="0.3">
      <c r="A20" t="s">
        <v>18</v>
      </c>
      <c r="B20" t="s">
        <v>2</v>
      </c>
      <c r="C20" t="s">
        <v>2</v>
      </c>
      <c r="D20" s="1"/>
    </row>
    <row r="21" spans="1:4" x14ac:dyDescent="0.3">
      <c r="A21" t="s">
        <v>19</v>
      </c>
      <c r="B21" t="s">
        <v>2</v>
      </c>
      <c r="C21" t="s">
        <v>9</v>
      </c>
      <c r="D21" s="1"/>
    </row>
    <row r="22" spans="1:4" x14ac:dyDescent="0.3">
      <c r="A22" t="s">
        <v>31</v>
      </c>
      <c r="B22" t="s">
        <v>9</v>
      </c>
      <c r="C22" t="s">
        <v>2</v>
      </c>
      <c r="D22" s="1"/>
    </row>
    <row r="23" spans="1:4" x14ac:dyDescent="0.3">
      <c r="A23" t="s">
        <v>32</v>
      </c>
      <c r="B23" t="s">
        <v>9</v>
      </c>
      <c r="C23" t="s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"/>
  <sheetViews>
    <sheetView showGridLines="0" workbookViewId="0">
      <selection activeCell="B8" sqref="B8"/>
    </sheetView>
  </sheetViews>
  <sheetFormatPr baseColWidth="10" defaultColWidth="8.88671875" defaultRowHeight="14.4" x14ac:dyDescent="0.3"/>
  <cols>
    <col min="1" max="1" width="14" customWidth="1"/>
    <col min="2" max="2" width="17" customWidth="1"/>
    <col min="3" max="3" width="3"/>
    <col min="4" max="4" width="20.109375" customWidth="1"/>
    <col min="5" max="5" width="17" customWidth="1"/>
    <col min="6" max="6" width="10.88671875" customWidth="1"/>
    <col min="7" max="7" width="12" customWidth="1"/>
    <col min="8" max="8" width="17" customWidth="1"/>
    <col min="9" max="9" width="28" customWidth="1"/>
    <col min="10" max="10" width="3"/>
    <col min="11" max="11" width="19" customWidth="1"/>
  </cols>
  <sheetData>
    <row r="1" spans="1:9" ht="15.6" x14ac:dyDescent="0.3">
      <c r="A1" s="26" t="s">
        <v>328</v>
      </c>
      <c r="D1" s="26" t="s">
        <v>329</v>
      </c>
      <c r="G1" s="26" t="s">
        <v>330</v>
      </c>
    </row>
    <row r="2" spans="1:9" x14ac:dyDescent="0.3">
      <c r="A2" s="14" t="s">
        <v>320</v>
      </c>
      <c r="B2" s="14" t="s">
        <v>326</v>
      </c>
      <c r="D2" s="14" t="s">
        <v>325</v>
      </c>
      <c r="E2" s="14" t="s">
        <v>326</v>
      </c>
      <c r="G2" s="14" t="s">
        <v>322</v>
      </c>
      <c r="H2" s="14" t="s">
        <v>326</v>
      </c>
      <c r="I2" s="14" t="s">
        <v>331</v>
      </c>
    </row>
    <row r="3" spans="1:9" x14ac:dyDescent="0.3">
      <c r="A3" s="28" t="s">
        <v>0</v>
      </c>
      <c r="B3" s="28" t="s">
        <v>222</v>
      </c>
      <c r="D3" s="28" t="s">
        <v>59</v>
      </c>
      <c r="E3" s="28" t="s">
        <v>59</v>
      </c>
      <c r="G3" s="28"/>
      <c r="H3" s="28"/>
      <c r="I3" s="24" t="str">
        <f>IF($G3="","",IFERROR(INDEX(Payroll!$C:$C,MATCH($G3,Payroll!$B:$B,0)),"(not found)"))</f>
        <v/>
      </c>
    </row>
    <row r="4" spans="1:9" x14ac:dyDescent="0.3">
      <c r="A4" s="28" t="s">
        <v>1</v>
      </c>
      <c r="B4" s="28" t="s">
        <v>223</v>
      </c>
      <c r="D4" s="28" t="s">
        <v>347</v>
      </c>
      <c r="E4" s="28" t="s">
        <v>231</v>
      </c>
      <c r="G4" s="28"/>
      <c r="H4" s="28"/>
      <c r="I4" s="24" t="str">
        <f>IF($G4="","",IFERROR(INDEX(Payroll!$C:$C,MATCH($G4,Payroll!$B:$B,0)),"(not found)"))</f>
        <v/>
      </c>
    </row>
    <row r="5" spans="1:9" x14ac:dyDescent="0.3">
      <c r="A5" s="28" t="s">
        <v>46</v>
      </c>
      <c r="B5" s="28" t="s">
        <v>224</v>
      </c>
      <c r="D5" s="28" t="s">
        <v>332</v>
      </c>
      <c r="E5" s="28" t="s">
        <v>249</v>
      </c>
      <c r="G5" s="28"/>
      <c r="H5" s="28"/>
      <c r="I5" s="24" t="str">
        <f>IF($G5="","",IFERROR(INDEX(Payroll!$C:$C,MATCH($G5,Payroll!$B:$B,0)),"(not found)"))</f>
        <v/>
      </c>
    </row>
    <row r="6" spans="1:9" x14ac:dyDescent="0.3">
      <c r="A6" s="28" t="s">
        <v>7</v>
      </c>
      <c r="B6" s="28" t="s">
        <v>225</v>
      </c>
      <c r="D6" s="28" t="s">
        <v>122</v>
      </c>
      <c r="E6" s="28" t="s">
        <v>232</v>
      </c>
      <c r="G6" s="28"/>
      <c r="H6" s="28"/>
      <c r="I6" s="24" t="str">
        <f>IF($G6="","",IFERROR(INDEX(Payroll!$C:$C,MATCH($G6,Payroll!$B:$B,0)),"(not found)"))</f>
        <v/>
      </c>
    </row>
    <row r="7" spans="1:9" x14ac:dyDescent="0.3">
      <c r="A7" s="28" t="s">
        <v>349</v>
      </c>
      <c r="B7" s="28" t="s">
        <v>229</v>
      </c>
      <c r="G7" s="28"/>
      <c r="H7" s="28"/>
      <c r="I7" s="24" t="str">
        <f>IF($G7="","",IFERROR(INDEX(Payroll!$C:$C,MATCH($G7,Payroll!$B:$B,0)),"(not found)"))</f>
        <v/>
      </c>
    </row>
    <row r="8" spans="1:9" x14ac:dyDescent="0.3">
      <c r="A8" s="28" t="s">
        <v>3</v>
      </c>
      <c r="B8" s="28" t="s">
        <v>228</v>
      </c>
      <c r="G8" s="28"/>
      <c r="H8" s="28"/>
      <c r="I8" s="24" t="str">
        <f>IF($G8="","",IFERROR(INDEX(Payroll!$C:$C,MATCH($G8,Payroll!$B:$B,0)),"(not found)"))</f>
        <v/>
      </c>
    </row>
    <row r="9" spans="1:9" x14ac:dyDescent="0.3">
      <c r="A9" s="28" t="s">
        <v>8</v>
      </c>
      <c r="B9" s="28" t="s">
        <v>230</v>
      </c>
      <c r="G9" s="28"/>
      <c r="H9" s="28"/>
      <c r="I9" s="24" t="str">
        <f>IF($G9="","",IFERROR(INDEX(Payroll!$C:$C,MATCH($G9,Payroll!$B:$B,0)),"(not found)"))</f>
        <v/>
      </c>
    </row>
    <row r="10" spans="1:9" x14ac:dyDescent="0.3">
      <c r="A10" s="28" t="s">
        <v>122</v>
      </c>
      <c r="B10" s="28" t="s">
        <v>232</v>
      </c>
      <c r="G10" s="28"/>
      <c r="H10" s="28"/>
      <c r="I10" s="24" t="str">
        <f>IF($G10="","",IFERROR(INDEX(Payroll!$C:$C,MATCH($G10,Payroll!$B:$B,0)),"(not found)"))</f>
        <v/>
      </c>
    </row>
    <row r="11" spans="1:9" x14ac:dyDescent="0.3">
      <c r="A11" s="28" t="s">
        <v>125</v>
      </c>
      <c r="B11" s="28" t="s">
        <v>348</v>
      </c>
      <c r="G11" s="28"/>
      <c r="H11" s="28"/>
      <c r="I11" s="24" t="str">
        <f>IF($G11="","",IFERROR(INDEX(Payroll!$C:$C,MATCH($G11,Payroll!$B:$B,0)),"(not found)"))</f>
        <v/>
      </c>
    </row>
    <row r="12" spans="1:9" x14ac:dyDescent="0.3">
      <c r="A12" s="28" t="s">
        <v>350</v>
      </c>
      <c r="B12" s="28" t="s">
        <v>353</v>
      </c>
      <c r="G12" s="28"/>
      <c r="H12" s="28"/>
      <c r="I12" s="24" t="str">
        <f>IF($G12="","",IFERROR(INDEX(Payroll!$C:$C,MATCH($G12,Payroll!$B:$B,0)),"(not found)"))</f>
        <v/>
      </c>
    </row>
    <row r="13" spans="1:9" x14ac:dyDescent="0.3">
      <c r="A13" s="28" t="s">
        <v>128</v>
      </c>
      <c r="B13" s="28" t="s">
        <v>229</v>
      </c>
      <c r="G13" s="28"/>
      <c r="H13" s="28"/>
      <c r="I13" s="24" t="str">
        <f>IF($G13="","",IFERROR(INDEX(Payroll!$C:$C,MATCH($G13,Payroll!$B:$B,0)),"(not found)"))</f>
        <v/>
      </c>
    </row>
    <row r="14" spans="1:9" x14ac:dyDescent="0.3">
      <c r="G14" s="28"/>
      <c r="H14" s="28"/>
      <c r="I14" s="24" t="str">
        <f>IF($G14="","",IFERROR(INDEX(Payroll!$C:$C,MATCH($G14,Payroll!$B:$B,0)),"(not found)"))</f>
        <v/>
      </c>
    </row>
    <row r="15" spans="1:9" ht="15.6" x14ac:dyDescent="0.3">
      <c r="A15" s="26" t="s">
        <v>373</v>
      </c>
      <c r="D15" s="26" t="s">
        <v>374</v>
      </c>
      <c r="G15" s="28"/>
      <c r="H15" s="28"/>
      <c r="I15" s="24" t="str">
        <f>IF($G15="","",IFERROR(INDEX(Payroll!$C:$C,MATCH($G15,Payroll!$B:$B,0)),"(not found)"))</f>
        <v/>
      </c>
    </row>
    <row r="16" spans="1:9" x14ac:dyDescent="0.3">
      <c r="A16" s="14" t="s">
        <v>324</v>
      </c>
      <c r="B16" s="14" t="s">
        <v>10</v>
      </c>
      <c r="D16" s="14" t="s">
        <v>320</v>
      </c>
      <c r="E16" s="14" t="s">
        <v>375</v>
      </c>
      <c r="G16" s="28"/>
      <c r="H16" s="28"/>
      <c r="I16" s="24" t="str">
        <f>IF($G16="","",IFERROR(INDEX(Payroll!$C:$C,MATCH($G16,Payroll!$B:$B,0)),"(not found)"))</f>
        <v/>
      </c>
    </row>
    <row r="17" spans="1:9" x14ac:dyDescent="0.3">
      <c r="A17" s="28" t="s">
        <v>57</v>
      </c>
      <c r="B17" s="28" t="s">
        <v>233</v>
      </c>
      <c r="D17" s="28" t="s">
        <v>46</v>
      </c>
      <c r="E17" s="28" t="s">
        <v>2</v>
      </c>
      <c r="G17" s="28"/>
      <c r="H17" s="28"/>
      <c r="I17" s="24" t="str">
        <f>IF($G17="","",IFERROR(INDEX(Payroll!$C:$C,MATCH($G17,Payroll!$B:$B,0)),"(not found)"))</f>
        <v/>
      </c>
    </row>
    <row r="18" spans="1:9" x14ac:dyDescent="0.3">
      <c r="A18" s="28" t="s">
        <v>206</v>
      </c>
      <c r="B18" s="28" t="s">
        <v>233</v>
      </c>
      <c r="D18" s="28" t="s">
        <v>1</v>
      </c>
      <c r="E18" s="28" t="s">
        <v>1</v>
      </c>
      <c r="G18" s="28"/>
      <c r="H18" s="28"/>
      <c r="I18" s="24" t="str">
        <f>IF($G18="","",IFERROR(INDEX(Payroll!$C:$C,MATCH($G18,Payroll!$B:$B,0)),"(not found)"))</f>
        <v/>
      </c>
    </row>
    <row r="19" spans="1:9" x14ac:dyDescent="0.3">
      <c r="A19" s="28" t="s">
        <v>84</v>
      </c>
      <c r="B19" s="28" t="s">
        <v>84</v>
      </c>
      <c r="D19" s="28" t="s">
        <v>3</v>
      </c>
      <c r="E19" s="28" t="s">
        <v>3</v>
      </c>
      <c r="G19" s="28"/>
      <c r="H19" s="28"/>
      <c r="I19" s="24" t="str">
        <f>IF($G19="","",IFERROR(INDEX(Payroll!$C:$C,MATCH($G19,Payroll!$B:$B,0)),"(not found)"))</f>
        <v/>
      </c>
    </row>
    <row r="20" spans="1:9" x14ac:dyDescent="0.3">
      <c r="A20" s="28" t="s">
        <v>52</v>
      </c>
      <c r="B20" s="28" t="s">
        <v>52</v>
      </c>
      <c r="D20" s="28" t="s">
        <v>350</v>
      </c>
      <c r="E20" s="28" t="s">
        <v>350</v>
      </c>
      <c r="G20" s="28"/>
      <c r="H20" s="28"/>
      <c r="I20" s="24" t="str">
        <f>IF($G20="","",IFERROR(INDEX(Payroll!$C:$C,MATCH($G20,Payroll!$B:$B,0)),"(not found)"))</f>
        <v/>
      </c>
    </row>
    <row r="21" spans="1:9" x14ac:dyDescent="0.3">
      <c r="A21" s="28" t="s">
        <v>44</v>
      </c>
      <c r="B21" s="28" t="s">
        <v>235</v>
      </c>
      <c r="D21" s="28" t="s">
        <v>0</v>
      </c>
      <c r="E21" s="28" t="s">
        <v>0</v>
      </c>
      <c r="G21" s="28"/>
      <c r="H21" s="28"/>
      <c r="I21" s="24" t="str">
        <f>IF($G21="","",IFERROR(INDEX(Payroll!$C:$C,MATCH($G21,Payroll!$B:$B,0)),"(not found)"))</f>
        <v/>
      </c>
    </row>
    <row r="22" spans="1:9" x14ac:dyDescent="0.3">
      <c r="A22" s="28" t="s">
        <v>48</v>
      </c>
      <c r="B22" s="28" t="s">
        <v>48</v>
      </c>
      <c r="D22" s="28" t="s">
        <v>7</v>
      </c>
      <c r="E22" s="28" t="s">
        <v>7</v>
      </c>
      <c r="G22" s="28"/>
      <c r="H22" s="28"/>
      <c r="I22" s="24" t="str">
        <f>IF($G22="","",IFERROR(INDEX(Payroll!$C:$C,MATCH($G22,Payroll!$B:$B,0)),"(not found)"))</f>
        <v/>
      </c>
    </row>
    <row r="23" spans="1:9" x14ac:dyDescent="0.3">
      <c r="D23" s="28" t="s">
        <v>349</v>
      </c>
      <c r="E23" s="28" t="s">
        <v>4</v>
      </c>
      <c r="G23" s="28"/>
      <c r="H23" s="28"/>
      <c r="I23" s="24" t="str">
        <f>IF($G23="","",IFERROR(INDEX(Payroll!$C:$C,MATCH($G23,Payroll!$B:$B,0)),"(not found)"))</f>
        <v/>
      </c>
    </row>
    <row r="24" spans="1:9" x14ac:dyDescent="0.3">
      <c r="D24" s="28" t="s">
        <v>128</v>
      </c>
      <c r="E24" s="28" t="s">
        <v>4</v>
      </c>
      <c r="G24" s="28"/>
      <c r="H24" s="28"/>
      <c r="I24" s="24" t="str">
        <f>IF($G24="","",IFERROR(INDEX(Payroll!$C:$C,MATCH($G24,Payroll!$B:$B,0)),"(not found)"))</f>
        <v/>
      </c>
    </row>
    <row r="25" spans="1:9" x14ac:dyDescent="0.3">
      <c r="D25" s="28" t="s">
        <v>8</v>
      </c>
      <c r="E25" s="28" t="s">
        <v>8</v>
      </c>
      <c r="G25" s="28"/>
      <c r="H25" s="28"/>
      <c r="I25" s="24" t="str">
        <f>IF($G25="","",IFERROR(INDEX(Payroll!$C:$C,MATCH($G25,Payroll!$B:$B,0)),"(not found)"))</f>
        <v/>
      </c>
    </row>
    <row r="26" spans="1:9" x14ac:dyDescent="0.3">
      <c r="D26" s="28" t="s">
        <v>85</v>
      </c>
      <c r="E26" s="28" t="s">
        <v>85</v>
      </c>
      <c r="G26" s="28"/>
      <c r="H26" s="28"/>
      <c r="I26" s="24" t="str">
        <f>IF($G26="","",IFERROR(INDEX(Payroll!$C:$C,MATCH($G26,Payroll!$B:$B,0)),"(not found)"))</f>
        <v/>
      </c>
    </row>
    <row r="27" spans="1:9" x14ac:dyDescent="0.3">
      <c r="D27" s="28" t="s">
        <v>125</v>
      </c>
      <c r="E27" s="28" t="s">
        <v>333</v>
      </c>
      <c r="G27" s="28"/>
      <c r="H27" s="28"/>
      <c r="I27" s="24" t="str">
        <f>IF($G27="","",IFERROR(INDEX(Payroll!$C:$C,MATCH($G27,Payroll!$B:$B,0)),"(not found)"))</f>
        <v/>
      </c>
    </row>
    <row r="28" spans="1:9" x14ac:dyDescent="0.3">
      <c r="D28" s="28" t="s">
        <v>122</v>
      </c>
      <c r="E28" s="28" t="s">
        <v>122</v>
      </c>
      <c r="G28" s="28"/>
      <c r="H28" s="28"/>
      <c r="I28" s="24" t="str">
        <f>IF($G28="","",IFERROR(INDEX(Payroll!$C:$C,MATCH($G28,Payroll!$B:$B,0)),"(not found)"))</f>
        <v/>
      </c>
    </row>
    <row r="29" spans="1:9" x14ac:dyDescent="0.3">
      <c r="G29" s="28"/>
      <c r="H29" s="28"/>
      <c r="I29" s="24" t="str">
        <f>IF($G29="","",IFERROR(INDEX(Payroll!$C:$C,MATCH($G29,Payroll!$B:$B,0)),"(not found)"))</f>
        <v/>
      </c>
    </row>
    <row r="30" spans="1:9" x14ac:dyDescent="0.3">
      <c r="G30" s="28"/>
      <c r="H30" s="28"/>
      <c r="I30" s="24" t="str">
        <f>IF($G30="","",IFERROR(INDEX(Payroll!$C:$C,MATCH($G30,Payroll!$B:$B,0)),"(not found)"))</f>
        <v/>
      </c>
    </row>
    <row r="31" spans="1:9" x14ac:dyDescent="0.3">
      <c r="G31" s="28"/>
      <c r="H31" s="28"/>
      <c r="I31" s="24" t="str">
        <f>IF($G31="","",IFERROR(INDEX(Payroll!$C:$C,MATCH($G31,Payroll!$B:$B,0)),"(not found)"))</f>
        <v/>
      </c>
    </row>
    <row r="32" spans="1:9" x14ac:dyDescent="0.3">
      <c r="G32" s="28"/>
      <c r="H32" s="28"/>
      <c r="I32" s="24" t="str">
        <f>IF($G32="","",IFERROR(INDEX(Payroll!$C:$C,MATCH($G32,Payroll!$B:$B,0)),"(not found)"))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showGridLines="0" workbookViewId="0">
      <selection activeCell="A8" sqref="A8"/>
    </sheetView>
  </sheetViews>
  <sheetFormatPr baseColWidth="10" defaultColWidth="8.88671875" defaultRowHeight="14.4" x14ac:dyDescent="0.3"/>
  <cols>
    <col min="1" max="1" width="34" customWidth="1"/>
    <col min="2" max="2" width="72" customWidth="1"/>
    <col min="3" max="3" width="52" customWidth="1"/>
  </cols>
  <sheetData>
    <row r="1" spans="1:7" ht="18" x14ac:dyDescent="0.3">
      <c r="A1" s="40" t="s">
        <v>257</v>
      </c>
      <c r="B1" s="40"/>
      <c r="C1" s="40"/>
      <c r="D1" s="40"/>
      <c r="E1" s="40"/>
      <c r="F1" s="40"/>
      <c r="G1" s="40"/>
    </row>
    <row r="3" spans="1:7" ht="15.6" x14ac:dyDescent="0.3">
      <c r="A3" s="26" t="s">
        <v>258</v>
      </c>
    </row>
    <row r="4" spans="1:7" ht="86.4" x14ac:dyDescent="0.3">
      <c r="A4" s="27" t="s">
        <v>259</v>
      </c>
    </row>
    <row r="6" spans="1:7" ht="15.6" x14ac:dyDescent="0.3">
      <c r="A6" s="26" t="s">
        <v>260</v>
      </c>
    </row>
    <row r="7" spans="1:7" ht="72" x14ac:dyDescent="0.3">
      <c r="A7" s="27" t="s">
        <v>379</v>
      </c>
    </row>
    <row r="8" spans="1:7" ht="43.2" x14ac:dyDescent="0.3">
      <c r="A8" s="27" t="s">
        <v>261</v>
      </c>
    </row>
    <row r="10" spans="1:7" ht="15.6" x14ac:dyDescent="0.3">
      <c r="A10" s="26" t="s">
        <v>262</v>
      </c>
    </row>
    <row r="11" spans="1:7" x14ac:dyDescent="0.3">
      <c r="A11" s="14" t="s">
        <v>263</v>
      </c>
      <c r="B11" s="14" t="s">
        <v>264</v>
      </c>
      <c r="C11" s="14" t="s">
        <v>265</v>
      </c>
    </row>
    <row r="12" spans="1:7" x14ac:dyDescent="0.3">
      <c r="A12" s="24" t="s">
        <v>266</v>
      </c>
      <c r="B12" s="24" t="s">
        <v>267</v>
      </c>
      <c r="C12" s="24" t="s">
        <v>268</v>
      </c>
    </row>
    <row r="13" spans="1:7" ht="27.6" x14ac:dyDescent="0.3">
      <c r="A13" s="24" t="s">
        <v>269</v>
      </c>
      <c r="B13" s="24" t="s">
        <v>270</v>
      </c>
      <c r="C13" s="24" t="s">
        <v>271</v>
      </c>
    </row>
    <row r="14" spans="1:7" x14ac:dyDescent="0.3">
      <c r="A14" s="24" t="s">
        <v>272</v>
      </c>
      <c r="B14" s="24" t="s">
        <v>273</v>
      </c>
      <c r="C14" s="24" t="s">
        <v>274</v>
      </c>
    </row>
    <row r="15" spans="1:7" x14ac:dyDescent="0.3">
      <c r="A15" s="24" t="s">
        <v>234</v>
      </c>
      <c r="B15" s="24" t="s">
        <v>275</v>
      </c>
      <c r="C15" s="24" t="s">
        <v>276</v>
      </c>
    </row>
    <row r="16" spans="1:7" x14ac:dyDescent="0.3">
      <c r="A16" s="24" t="s">
        <v>277</v>
      </c>
      <c r="B16" s="24" t="s">
        <v>278</v>
      </c>
      <c r="C16" s="24" t="s">
        <v>279</v>
      </c>
    </row>
    <row r="17" spans="1:3" x14ac:dyDescent="0.3">
      <c r="A17" s="24" t="s">
        <v>280</v>
      </c>
      <c r="B17" s="24" t="s">
        <v>281</v>
      </c>
      <c r="C17" s="24" t="s">
        <v>282</v>
      </c>
    </row>
    <row r="18" spans="1:3" x14ac:dyDescent="0.3">
      <c r="A18" s="24" t="s">
        <v>283</v>
      </c>
      <c r="B18" s="24" t="s">
        <v>284</v>
      </c>
      <c r="C18" s="24" t="s">
        <v>282</v>
      </c>
    </row>
    <row r="20" spans="1:3" ht="15.6" x14ac:dyDescent="0.3">
      <c r="A20" s="26" t="s">
        <v>285</v>
      </c>
    </row>
    <row r="21" spans="1:3" x14ac:dyDescent="0.3">
      <c r="A21" s="14" t="s">
        <v>286</v>
      </c>
      <c r="B21" s="14" t="s">
        <v>287</v>
      </c>
    </row>
    <row r="22" spans="1:3" x14ac:dyDescent="0.3">
      <c r="A22" s="24" t="s">
        <v>288</v>
      </c>
      <c r="B22" s="24" t="s">
        <v>289</v>
      </c>
    </row>
    <row r="23" spans="1:3" x14ac:dyDescent="0.3">
      <c r="A23" s="24" t="s">
        <v>290</v>
      </c>
      <c r="B23" s="24" t="s">
        <v>291</v>
      </c>
    </row>
    <row r="24" spans="1:3" x14ac:dyDescent="0.3">
      <c r="A24" s="24" t="s">
        <v>292</v>
      </c>
      <c r="B24" s="24" t="s">
        <v>293</v>
      </c>
    </row>
    <row r="25" spans="1:3" x14ac:dyDescent="0.3">
      <c r="A25" s="24" t="s">
        <v>294</v>
      </c>
      <c r="B25" s="24" t="s">
        <v>295</v>
      </c>
    </row>
    <row r="26" spans="1:3" x14ac:dyDescent="0.3">
      <c r="A26" s="24" t="s">
        <v>296</v>
      </c>
      <c r="B26" s="24" t="s">
        <v>297</v>
      </c>
    </row>
    <row r="27" spans="1:3" x14ac:dyDescent="0.3">
      <c r="A27" s="24" t="s">
        <v>298</v>
      </c>
      <c r="B27" s="24" t="s">
        <v>299</v>
      </c>
    </row>
    <row r="28" spans="1:3" x14ac:dyDescent="0.3">
      <c r="A28" s="24" t="s">
        <v>300</v>
      </c>
      <c r="B28" s="24" t="s">
        <v>301</v>
      </c>
    </row>
    <row r="29" spans="1:3" ht="27.6" x14ac:dyDescent="0.3">
      <c r="A29" s="24" t="s">
        <v>302</v>
      </c>
      <c r="B29" s="24" t="s">
        <v>303</v>
      </c>
    </row>
    <row r="30" spans="1:3" x14ac:dyDescent="0.3">
      <c r="A30" s="24" t="s">
        <v>304</v>
      </c>
      <c r="B30" s="24" t="s">
        <v>305</v>
      </c>
    </row>
    <row r="31" spans="1:3" x14ac:dyDescent="0.3">
      <c r="A31" s="24" t="s">
        <v>306</v>
      </c>
      <c r="B31" s="24" t="s">
        <v>307</v>
      </c>
    </row>
    <row r="33" spans="1:1" ht="15.6" x14ac:dyDescent="0.3">
      <c r="A33" s="26" t="s">
        <v>308</v>
      </c>
    </row>
    <row r="34" spans="1:1" ht="115.2" x14ac:dyDescent="0.3">
      <c r="A34" s="27" t="s">
        <v>309</v>
      </c>
    </row>
    <row r="35" spans="1:1" ht="115.2" x14ac:dyDescent="0.3">
      <c r="A35" s="27" t="s">
        <v>310</v>
      </c>
    </row>
    <row r="37" spans="1:1" ht="15.6" x14ac:dyDescent="0.3">
      <c r="A37" s="26" t="s">
        <v>311</v>
      </c>
    </row>
    <row r="38" spans="1:1" ht="86.4" x14ac:dyDescent="0.3">
      <c r="A38" s="27" t="s">
        <v>312</v>
      </c>
    </row>
    <row r="39" spans="1:1" ht="187.2" x14ac:dyDescent="0.3">
      <c r="A39" s="27" t="s">
        <v>395</v>
      </c>
    </row>
    <row r="41" spans="1:1" ht="15.6" x14ac:dyDescent="0.3">
      <c r="A41" s="26" t="s">
        <v>314</v>
      </c>
    </row>
    <row r="42" spans="1:1" ht="57.6" x14ac:dyDescent="0.3">
      <c r="A42" s="27" t="s">
        <v>315</v>
      </c>
    </row>
    <row r="43" spans="1:1" ht="57.6" x14ac:dyDescent="0.3">
      <c r="A43" s="27" t="s">
        <v>316</v>
      </c>
    </row>
    <row r="44" spans="1:1" x14ac:dyDescent="0.3">
      <c r="A44" s="27" t="s">
        <v>317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My Team Document" ma:contentTypeID="0x010100E55F46479D3A42EABCE42685EC9B891E008FABE4BAA3F6BF44A98CB75AF92BA1C8" ma:contentTypeVersion="15" ma:contentTypeDescription="Create a new document." ma:contentTypeScope="" ma:versionID="6595c584a4d1085b148a2deb94cd02ab">
  <xsd:schema xmlns:xsd="http://www.w3.org/2001/XMLSchema" xmlns:xs="http://www.w3.org/2001/XMLSchema" xmlns:p="http://schemas.microsoft.com/office/2006/metadata/properties" xmlns:ns2="4c78af77-e0cd-40b4-80d9-2a1010e285b8" xmlns:ns3="66defadc-8317-4353-989e-0a71001d949a" targetNamespace="http://schemas.microsoft.com/office/2006/metadata/properties" ma:root="true" ma:fieldsID="c4ecb31a68df2ace42a16db5af3f51a0" ns2:_="" ns3:_="">
    <xsd:import namespace="4c78af77-e0cd-40b4-80d9-2a1010e285b8"/>
    <xsd:import namespace="66defadc-8317-4353-989e-0a71001d949a"/>
    <xsd:element name="properties">
      <xsd:complexType>
        <xsd:sequence>
          <xsd:element name="documentManagement">
            <xsd:complexType>
              <xsd:all>
                <xsd:element ref="ns2:p71df3ce39a24b40a17a7d2626575f91" minOccurs="0"/>
                <xsd:element ref="ns2:TaxCatchAll" minOccurs="0"/>
                <xsd:element ref="ns2:TaxCatchAllLabel" minOccurs="0"/>
                <xsd:element ref="ns2:n1e52826d1eb4e579bfb2cc530a58c4f" minOccurs="0"/>
                <xsd:element ref="ns2:kb25605997f9412fa3e5cc1e516b1f13" minOccurs="0"/>
                <xsd:element ref="ns2:p5d80b53292b42ca9c5185430ba40db0" minOccurs="0"/>
                <xsd:element ref="ns2:d4afcf3262424b4e8fcc21db5f24725a" minOccurs="0"/>
                <xsd:element ref="ns2:dff694f32de74b18aa9298d27294d57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8af77-e0cd-40b4-80d9-2a1010e285b8" elementFormDefault="qualified">
    <xsd:import namespace="http://schemas.microsoft.com/office/2006/documentManagement/types"/>
    <xsd:import namespace="http://schemas.microsoft.com/office/infopath/2007/PartnerControls"/>
    <xsd:element name="p71df3ce39a24b40a17a7d2626575f91" ma:index="8" ma:taxonomy="true" ma:internalName="p71df3ce39a24b40a17a7d2626575f91" ma:taxonomyFieldName="dssDivision" ma:displayName="Division" ma:default="41;#Group (Plc)|cde685f8-3307-4473-ba23-d423d58838c3" ma:fieldId="{971df3ce-39a2-4b40-a17a-7d2626575f91}" ma:sspId="7b5fe846-f9e6-4723-8f63-6037faa24b3f" ma:termSetId="ae200869-6353-4b66-9eaf-3dce9f632f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03b9fae-590c-412b-a335-09933d8611d5}" ma:internalName="TaxCatchAll" ma:showField="CatchAllData" ma:web="4c78af77-e0cd-40b4-80d9-2a1010e285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03b9fae-590c-412b-a335-09933d8611d5}" ma:internalName="TaxCatchAllLabel" ma:readOnly="true" ma:showField="CatchAllDataLabel" ma:web="4c78af77-e0cd-40b4-80d9-2a1010e285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1e52826d1eb4e579bfb2cc530a58c4f" ma:index="12" ma:taxonomy="true" ma:internalName="n1e52826d1eb4e579bfb2cc530a58c4f" ma:taxonomyFieldName="dssSubdivision" ma:displayName="Subdivision" ma:default="3083;#Group Finance|3bd0a282-6260-48d9-8e77-e3cebf3e895e" ma:fieldId="{71e52826-d1eb-4e57-9bfb-2cc530a58c4f}" ma:sspId="7b5fe846-f9e6-4723-8f63-6037faa24b3f" ma:termSetId="63a2eb48-41d9-4bb3-a9ee-e31a3e11b09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b25605997f9412fa3e5cc1e516b1f13" ma:index="14" nillable="true" ma:taxonomy="true" ma:internalName="kb25605997f9412fa3e5cc1e516b1f13" ma:taxonomyFieldName="dssLocation" ma:displayName="Location" ma:readOnly="false" ma:fieldId="{4b256059-97f9-412f-a3e5-cc1e516b1f13}" ma:taxonomyMulti="true" ma:sspId="7b5fe846-f9e6-4723-8f63-6037faa24b3f" ma:termSetId="8584173b-0409-4656-9bcd-427400e3f8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5d80b53292b42ca9c5185430ba40db0" ma:index="16" nillable="true" ma:taxonomy="true" ma:internalName="p5d80b53292b42ca9c5185430ba40db0" ma:taxonomyFieldName="dssLanguage" ma:displayName="Content Language" ma:readOnly="false" ma:default="131;#Spanish/Español|afdbef78-3cdf-4db1-9993-82177e1a41c9" ma:fieldId="{95d80b53-292b-42ca-9c51-85430ba40db0}" ma:sspId="7b5fe846-f9e6-4723-8f63-6037faa24b3f" ma:termSetId="d211fbad-2acb-45f0-a3d7-406475f759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4afcf3262424b4e8fcc21db5f24725a" ma:index="18" nillable="true" ma:taxonomy="true" ma:internalName="d4afcf3262424b4e8fcc21db5f24725a" ma:taxonomyFieldName="dssInternalFunction" ma:displayName="Internal Function" ma:readOnly="false" ma:fieldId="{d4afcf32-6242-4b4e-8fcc-21db5f24725a}" ma:taxonomyMulti="true" ma:sspId="7b5fe846-f9e6-4723-8f63-6037faa24b3f" ma:termSetId="dfb3d142-8d81-44ff-af1d-c68811eddf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ff694f32de74b18aa9298d27294d57e" ma:index="20" nillable="true" ma:taxonomy="true" ma:internalName="dff694f32de74b18aa9298d27294d57e" ma:taxonomyFieldName="dssCountry" ma:displayName="Country" ma:readOnly="false" ma:fieldId="{dff694f3-2de7-4b18-aa92-98d27294d57e}" ma:taxonomyMulti="true" ma:sspId="7b5fe846-f9e6-4723-8f63-6037faa24b3f" ma:termSetId="6291b84b-48ed-4cdf-91e2-369f9598a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efadc-8317-4353-989e-0a71001d9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��
</file>

<file path=customXml/item2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71df3ce39a24b40a17a7d2626575f91 xmlns="4c78af77-e0cd-40b4-80d9-2a1010e285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EMEA</TermName>
          <TermId xmlns="http://schemas.microsoft.com/office/infopath/2007/PartnerControls">cde685f8-3307-4473-ba23-d423d58838c3</TermId>
        </TermInfo>
      </Terms>
    </p71df3ce39a24b40a17a7d2626575f91>
    <dff694f32de74b18aa9298d27294d57e xmlns="4c78af77-e0cd-40b4-80d9-2a1010e285b8">
      <Terms xmlns="http://schemas.microsoft.com/office/infopath/2007/PartnerControls"/>
    </dff694f32de74b18aa9298d27294d57e>
    <p5d80b53292b42ca9c5185430ba40db0 xmlns="4c78af77-e0cd-40b4-80d9-2a1010e285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Spanish/Español</TermName>
          <TermId xmlns="http://schemas.microsoft.com/office/infopath/2007/PartnerControls">afdbef78-3cdf-4db1-9993-82177e1a41c9</TermId>
        </TermInfo>
      </Terms>
    </p5d80b53292b42ca9c5185430ba40db0>
    <TaxCatchAll xmlns="4c78af77-e0cd-40b4-80d9-2a1010e285b8">
      <Value>41</Value>
      <Value>131</Value>
      <Value>3083</Value>
    </TaxCatchAll>
    <n1e52826d1eb4e579bfb2cc530a58c4f xmlns="4c78af77-e0cd-40b4-80d9-2a1010e285b8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Group Finance</TermName>
          <TermId xmlns="http://schemas.microsoft.com/office/infopath/2007/PartnerControls">3bd0a282-6260-48d9-8e77-e3cebf3e895e</TermId>
        </TermInfo>
      </Terms>
    </n1e52826d1eb4e579bfb2cc530a58c4f>
    <d4afcf3262424b4e8fcc21db5f24725a xmlns="4c78af77-e0cd-40b4-80d9-2a1010e285b8">
      <Terms xmlns="http://schemas.microsoft.com/office/infopath/2007/PartnerControls"/>
    </d4afcf3262424b4e8fcc21db5f24725a>
    <kb25605997f9412fa3e5cc1e516b1f13 xmlns="4c78af77-e0cd-40b4-80d9-2a1010e285b8">
      <Terms xmlns="http://schemas.microsoft.com/office/infopath/2007/PartnerControls"/>
    </kb25605997f9412fa3e5cc1e516b1f13>
  </documentManagement>
</p:properties>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BC656B9B-340D-4456-92E9-1698EE9A7E9A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CCB43E07-7EB6-47BA-9562-4A8FF70B7042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E06976BD-B240-4856-AC47-09E7F2D38A23}">
  <ds:schemaRefs>
    <ds:schemaRef ds:uri="http://gemini/pivotcustomization/837f716e-a70e-4601-9b43-4a7b58592c85"/>
  </ds:schemaRefs>
</ds:datastoreItem>
</file>

<file path=customXml/itemProps4.xml><?xml version="1.0" encoding="utf-8"?>
<ds:datastoreItem xmlns:ds="http://schemas.openxmlformats.org/officeDocument/2006/customXml" ds:itemID="{E9931E90-D97A-4C52-A6BC-B6700755C8AE}">
  <ds:schemaRefs>
    <ds:schemaRef ds:uri="http://gemini/pivotcustomization/TableXML_Combinar1_7bf2a03e-9cd2-4551-84a9-11a553f37cbd"/>
  </ds:schemaRefs>
</ds:datastoreItem>
</file>

<file path=customXml/itemProps5.xml><?xml version="1.0" encoding="utf-8"?>
<ds:datastoreItem xmlns:ds="http://schemas.openxmlformats.org/officeDocument/2006/customXml" ds:itemID="{1B16FD74-DDC4-497B-ADE4-A310D57508A6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90E32976-7F30-4910-BBAE-190DD46B929D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6BE4164C-CAEB-47BE-8C44-EFCB9F9D3711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06C4BDDE-7289-4F93-A73A-081945C8399F}">
  <ds:schemaRefs>
    <ds:schemaRef ds:uri="http://gemini/pivotcustomization/TableXML_Data_IT_Paper_825fe120-8120-448c-9e96-f10c808d91fb"/>
  </ds:schemaRefs>
</ds:datastoreItem>
</file>

<file path=customXml/itemProps9.xml><?xml version="1.0" encoding="utf-8"?>
<ds:datastoreItem xmlns:ds="http://schemas.openxmlformats.org/officeDocument/2006/customXml" ds:itemID="{326EC6CF-B129-4D25-891B-2D04E8424329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369E15F8-A87B-41AA-A43E-0953C184FA5A}">
  <ds:schemaRefs>
    <ds:schemaRef ds:uri="http://gemini/pivotcustomization/TableXML_Data_BE_Pack_ce0dc598-8329-431a-8cc8-915435dd98c4"/>
  </ds:schemaRefs>
</ds:datastoreItem>
</file>

<file path=customXml/itemProps11.xml><?xml version="1.0" encoding="utf-8"?>
<ds:datastoreItem xmlns:ds="http://schemas.openxmlformats.org/officeDocument/2006/customXml" ds:itemID="{04398919-96EA-4007-8481-B9BF9B365AE9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C3B1EC43-1C05-4483-95F1-FFF511A435FD}">
  <ds:schemaRefs>
    <ds:schemaRef ds:uri="http://gemini/pivotcustomization/641acc9d-3704-432c-bc90-94a60e1efc50"/>
  </ds:schemaRefs>
</ds:datastoreItem>
</file>

<file path=customXml/itemProps13.xml><?xml version="1.0" encoding="utf-8"?>
<ds:datastoreItem xmlns:ds="http://schemas.openxmlformats.org/officeDocument/2006/customXml" ds:itemID="{13525CBC-2A0D-4E5A-AF95-401E2161A0B2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04316F28-215F-46E2-8663-1B2C524224AC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30D95465-C9DC-4371-910F-0911324715F5}">
  <ds:schemaRefs>
    <ds:schemaRef ds:uri="http://gemini/pivotcustomization/TableXML_Data_BE_Pack_656cdd58-56b1-49da-b02a-519b25f50ffe"/>
  </ds:schemaRefs>
</ds:datastoreItem>
</file>

<file path=customXml/itemProps16.xml><?xml version="1.0" encoding="utf-8"?>
<ds:datastoreItem xmlns:ds="http://schemas.openxmlformats.org/officeDocument/2006/customXml" ds:itemID="{975BCA80-9DDE-4A76-BA49-AA1F537C4C00}">
  <ds:schemaRefs>
    <ds:schemaRef ds:uri="http://gemini/pivotcustomization/ClientWindowXML"/>
  </ds:schemaRefs>
</ds:datastoreItem>
</file>

<file path=customXml/itemProps17.xml><?xml version="1.0" encoding="utf-8"?>
<ds:datastoreItem xmlns:ds="http://schemas.openxmlformats.org/officeDocument/2006/customXml" ds:itemID="{F14B9790-FA3E-4DC7-BD68-F27897A07155}">
  <ds:schemaRefs>
    <ds:schemaRef ds:uri="http://gemini/pivotcustomization/6a47969a-65a1-42fd-bb20-b152fced6f4f"/>
  </ds:schemaRefs>
</ds:datastoreItem>
</file>

<file path=customXml/itemProps18.xml><?xml version="1.0" encoding="utf-8"?>
<ds:datastoreItem xmlns:ds="http://schemas.openxmlformats.org/officeDocument/2006/customXml" ds:itemID="{A0A99E42-B4FB-474C-B260-C9EA793D2918}">
  <ds:schemaRefs>
    <ds:schemaRef ds:uri="http://gemini/pivotcustomization/21a5e845-68a2-44bb-a4f6-fb4d39817651"/>
  </ds:schemaRefs>
</ds:datastoreItem>
</file>

<file path=customXml/itemProps19.xml><?xml version="1.0" encoding="utf-8"?>
<ds:datastoreItem xmlns:ds="http://schemas.openxmlformats.org/officeDocument/2006/customXml" ds:itemID="{24E9B624-242E-437C-80FA-597D823831CC}">
  <ds:schemaRefs>
    <ds:schemaRef ds:uri="http://gemini/pivotcustomization/RelationshipAutoDetectionEnabled"/>
  </ds:schemaRefs>
</ds:datastoreItem>
</file>

<file path=customXml/itemProps20.xml><?xml version="1.0" encoding="utf-8"?>
<ds:datastoreItem xmlns:ds="http://schemas.openxmlformats.org/officeDocument/2006/customXml" ds:itemID="{1ED18F5B-68A0-4784-8C23-0C4BC84F6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8af77-e0cd-40b4-80d9-2a1010e285b8"/>
    <ds:schemaRef ds:uri="66defadc-8317-4353-989e-0a71001d9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1.xml><?xml version="1.0" encoding="utf-8"?>
<ds:datastoreItem xmlns:ds="http://schemas.openxmlformats.org/officeDocument/2006/customXml" ds:itemID="{8495734D-FD9A-446B-BA41-C496E44EFC5C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D4D00CA9-D22A-40BA-AC62-9E87E276A0AA}">
  <ds:schemaRefs>
    <ds:schemaRef ds:uri="http://purl.org/dc/terms/"/>
    <ds:schemaRef ds:uri="4c78af77-e0cd-40b4-80d9-2a1010e285b8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66defadc-8317-4353-989e-0a71001d949a"/>
    <ds:schemaRef ds:uri="http://schemas.microsoft.com/office/2006/metadata/properties"/>
  </ds:schemaRefs>
</ds:datastoreItem>
</file>

<file path=customXml/itemProps23.xml><?xml version="1.0" encoding="utf-8"?>
<ds:datastoreItem xmlns:ds="http://schemas.openxmlformats.org/officeDocument/2006/customXml" ds:itemID="{3FFF3EA7-5DC2-4037-BC68-51112782BBA1}">
  <ds:schemaRefs>
    <ds:schemaRef ds:uri="http://gemini/pivotcustomization/561d63cb-2b41-47d4-93b0-911b98d98683"/>
  </ds:schemaRefs>
</ds:datastoreItem>
</file>

<file path=customXml/itemProps24.xml><?xml version="1.0" encoding="utf-8"?>
<ds:datastoreItem xmlns:ds="http://schemas.openxmlformats.org/officeDocument/2006/customXml" ds:itemID="{73872562-CF7B-4194-98CD-73D28BACC674}">
  <ds:schemaRefs>
    <ds:schemaRef ds:uri="http://gemini/pivotcustomization/979291e3-3d71-4064-8e98-3016ca587522"/>
  </ds:schemaRefs>
</ds:datastoreItem>
</file>

<file path=customXml/itemProps25.xml><?xml version="1.0" encoding="utf-8"?>
<ds:datastoreItem xmlns:ds="http://schemas.openxmlformats.org/officeDocument/2006/customXml" ds:itemID="{B651E069-6FC5-46D6-A731-69DED3FCC020}">
  <ds:schemaRefs>
    <ds:schemaRef ds:uri="http://gemini/pivotcustomization/TableXML_Data_BE_Pack_f27691be-2f66-465a-ba6c-456355331962"/>
  </ds:schemaRefs>
</ds:datastoreItem>
</file>

<file path=customXml/itemProps26.xml><?xml version="1.0" encoding="utf-8"?>
<ds:datastoreItem xmlns:ds="http://schemas.openxmlformats.org/officeDocument/2006/customXml" ds:itemID="{4059A63C-8CA5-4D24-8E5C-64DB5EF0C4C8}">
  <ds:schemaRefs>
    <ds:schemaRef ds:uri="http://gemini/pivotcustomization/TableXML_Data_DE_Pack_6a24993e-ccd9-43f4-9abb-6596ebaac0b0"/>
  </ds:schemaRefs>
</ds:datastoreItem>
</file>

<file path=customXml/itemProps27.xml><?xml version="1.0" encoding="utf-8"?>
<ds:datastoreItem xmlns:ds="http://schemas.openxmlformats.org/officeDocument/2006/customXml" ds:itemID="{F982242C-105E-4572-923D-3F2D236A0A3D}">
  <ds:schemaRefs>
    <ds:schemaRef ds:uri="http://gemini/pivotcustomization/PowerPivotVersion"/>
  </ds:schemaRefs>
</ds:datastoreItem>
</file>

<file path=customXml/itemProps28.xml><?xml version="1.0" encoding="utf-8"?>
<ds:datastoreItem xmlns:ds="http://schemas.openxmlformats.org/officeDocument/2006/customXml" ds:itemID="{DBDED0E1-7178-4DF0-8600-AF00FB14E2AD}">
  <ds:schemaRefs>
    <ds:schemaRef ds:uri="http://gemini/pivotcustomization/78a18a40-3fa5-414c-89ea-a6f4b8f92c41"/>
  </ds:schemaRefs>
</ds:datastoreItem>
</file>

<file path=customXml/itemProps29.xml><?xml version="1.0" encoding="utf-8"?>
<ds:datastoreItem xmlns:ds="http://schemas.openxmlformats.org/officeDocument/2006/customXml" ds:itemID="{45D16C34-4B7D-4A60-852B-D354276A65B9}">
  <ds:schemaRefs>
    <ds:schemaRef ds:uri="http://gemini/pivotcustomization/LinkedTableUpdateMode"/>
  </ds:schemaRefs>
</ds:datastoreItem>
</file>

<file path=customXml/itemProps30.xml><?xml version="1.0" encoding="utf-8"?>
<ds:datastoreItem xmlns:ds="http://schemas.openxmlformats.org/officeDocument/2006/customXml" ds:itemID="{6742FD28-AAC7-4B69-8EC9-A1B6E0D790FA}">
  <ds:schemaRefs>
    <ds:schemaRef ds:uri="http://gemini/pivotcustomization/1eedb341-cb9f-4561-b83d-7a9d58ab4482"/>
  </ds:schemaRefs>
</ds:datastoreItem>
</file>

<file path=customXml/itemProps31.xml><?xml version="1.0" encoding="utf-8"?>
<ds:datastoreItem xmlns:ds="http://schemas.openxmlformats.org/officeDocument/2006/customXml" ds:itemID="{23F0A101-52E7-4BA2-BBFD-0CF4441590BD}">
  <ds:schemaRefs>
    <ds:schemaRef ds:uri="http://gemini/pivotcustomization/ShowImplicitMeasures"/>
  </ds:schemaRefs>
</ds:datastoreItem>
</file>

<file path=customXml/itemProps32.xml><?xml version="1.0" encoding="utf-8"?>
<ds:datastoreItem xmlns:ds="http://schemas.openxmlformats.org/officeDocument/2006/customXml" ds:itemID="{EE587CE6-B28D-46D8-81BC-4363B8E13B86}">
  <ds:schemaRefs>
    <ds:schemaRef ds:uri="http://gemini/pivotcustomization/639564fd-8db8-4c2a-98ab-024206602c95"/>
  </ds:schemaRefs>
</ds:datastoreItem>
</file>

<file path=customXml/itemProps33.xml><?xml version="1.0" encoding="utf-8"?>
<ds:datastoreItem xmlns:ds="http://schemas.openxmlformats.org/officeDocument/2006/customXml" ds:itemID="{54F7C665-9825-4944-9E39-484C80FA8E82}">
  <ds:schemaRefs>
    <ds:schemaRef ds:uri="http://gemini/pivotcustomization/ErrorCache"/>
  </ds:schemaRefs>
</ds:datastoreItem>
</file>

<file path=customXml/itemProps34.xml><?xml version="1.0" encoding="utf-8"?>
<ds:datastoreItem xmlns:ds="http://schemas.openxmlformats.org/officeDocument/2006/customXml" ds:itemID="{E11D56BC-0E96-4C20-B190-2A13CE09A9E4}">
  <ds:schemaRefs>
    <ds:schemaRef ds:uri="http://gemini/pivotcustomization/4e9013d0-b892-43c2-8476-a9aadc2485f4"/>
  </ds:schemaRefs>
</ds:datastoreItem>
</file>

<file path=customXml/itemProps35.xml><?xml version="1.0" encoding="utf-8"?>
<ds:datastoreItem xmlns:ds="http://schemas.openxmlformats.org/officeDocument/2006/customXml" ds:itemID="{B3954815-AE4C-4905-BB7E-B2284BCA552C}">
  <ds:schemaRefs>
    <ds:schemaRef ds:uri="http://gemini/pivotcustomization/TableXML_Data_BE_Pack_72ec20dd-8676-4717-8596-151d9ce19b3f"/>
  </ds:schemaRefs>
</ds:datastoreItem>
</file>

<file path=customXml/itemProps36.xml><?xml version="1.0" encoding="utf-8"?>
<ds:datastoreItem xmlns:ds="http://schemas.openxmlformats.org/officeDocument/2006/customXml" ds:itemID="{228402B5-8435-4C6B-AAAF-E968328F1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DS Reconciliation</vt:lpstr>
      <vt:lpstr>IP Reconciliation</vt:lpstr>
      <vt:lpstr>FTE Scorecard</vt:lpstr>
      <vt:lpstr>Payroll</vt:lpstr>
      <vt:lpstr>DIV table</vt:lpstr>
      <vt:lpstr>Mapping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Sanz</dc:creator>
  <cp:keywords/>
  <dc:description/>
  <cp:lastModifiedBy>Angela Escobar</cp:lastModifiedBy>
  <cp:revision/>
  <dcterms:created xsi:type="dcterms:W3CDTF">2015-06-05T18:17:20Z</dcterms:created>
  <dcterms:modified xsi:type="dcterms:W3CDTF">2026-10-08T10:11:11Z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71943f-3f19-4698-8f6f-9daf6cf4a9d3_Enabled">
    <vt:lpwstr>true</vt:lpwstr>
  </property>
  <property fmtid="{D5CDD505-2E9C-101B-9397-08002B2CF9AE}" pid="3" name="MSIP_Label_2f71943f-3f19-4698-8f6f-9daf6cf4a9d3_SetDate">
    <vt:lpwstr>2026-02-16T22:03:42Z</vt:lpwstr>
  </property>
  <property fmtid="{D5CDD505-2E9C-101B-9397-08002B2CF9AE}" pid="4" name="MSIP_Label_2f71943f-3f19-4698-8f6f-9daf6cf4a9d3_Method">
    <vt:lpwstr>Standard</vt:lpwstr>
  </property>
  <property fmtid="{D5CDD505-2E9C-101B-9397-08002B2CF9AE}" pid="5" name="MSIP_Label_2f71943f-3f19-4698-8f6f-9daf6cf4a9d3_Name">
    <vt:lpwstr>BUSINESS USE</vt:lpwstr>
  </property>
  <property fmtid="{D5CDD505-2E9C-101B-9397-08002B2CF9AE}" pid="6" name="MSIP_Label_2f71943f-3f19-4698-8f6f-9daf6cf4a9d3_SiteId">
    <vt:lpwstr>423430e8-247c-44d1-9767-22723b7d4cb2</vt:lpwstr>
  </property>
  <property fmtid="{D5CDD505-2E9C-101B-9397-08002B2CF9AE}" pid="7" name="MSIP_Label_2f71943f-3f19-4698-8f6f-9daf6cf4a9d3_ActionId">
    <vt:lpwstr>171b5565-ecdb-4fdf-8e4d-5d6dfb4029ae</vt:lpwstr>
  </property>
  <property fmtid="{D5CDD505-2E9C-101B-9397-08002B2CF9AE}" pid="8" name="MSIP_Label_2f71943f-3f19-4698-8f6f-9daf6cf4a9d3_ContentBits">
    <vt:lpwstr>2</vt:lpwstr>
  </property>
  <property fmtid="{D5CDD505-2E9C-101B-9397-08002B2CF9AE}" pid="9" name="ContentTypeId">
    <vt:lpwstr>0x010100E55F46479D3A42EABCE42685EC9B891E008FABE4BAA3F6BF44A98CB75AF92BA1C8</vt:lpwstr>
  </property>
  <property fmtid="{D5CDD505-2E9C-101B-9397-08002B2CF9AE}" pid="10" name="dssLocation">
    <vt:lpwstr/>
  </property>
  <property fmtid="{D5CDD505-2E9C-101B-9397-08002B2CF9AE}" pid="11" name="dssCountry">
    <vt:lpwstr/>
  </property>
  <property fmtid="{D5CDD505-2E9C-101B-9397-08002B2CF9AE}" pid="12" name="dssDivision">
    <vt:lpwstr>41;#EMEA|cde685f8-3307-4473-ba23-d423d58838c3</vt:lpwstr>
  </property>
  <property fmtid="{D5CDD505-2E9C-101B-9397-08002B2CF9AE}" pid="13" name="dssInternalFunction">
    <vt:lpwstr/>
  </property>
  <property fmtid="{D5CDD505-2E9C-101B-9397-08002B2CF9AE}" pid="14" name="dssLanguage">
    <vt:lpwstr>131;#Spanish/Español|afdbef78-3cdf-4db1-9993-82177e1a41c9</vt:lpwstr>
  </property>
  <property fmtid="{D5CDD505-2E9C-101B-9397-08002B2CF9AE}" pid="15" name="dssSubdivision">
    <vt:lpwstr>3083;#Group Finance|3bd0a282-6260-48d9-8e77-e3cebf3e895e</vt:lpwstr>
  </property>
</Properties>
</file>